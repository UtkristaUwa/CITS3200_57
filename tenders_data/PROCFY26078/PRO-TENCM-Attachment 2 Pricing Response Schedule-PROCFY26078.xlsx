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urismaustralia.sharepoint.com/sites/ProcurementandTendering/Shared Documents/FY26/PROCFY26078 - Event Management Services 2027-2029 - North America/RFT/"/>
    </mc:Choice>
  </mc:AlternateContent>
  <xr:revisionPtr revIDLastSave="717" documentId="8_{8634ED6F-1B68-4971-80BD-CABA7ECFAF74}" xr6:coauthVersionLast="47" xr6:coauthVersionMax="47" xr10:uidLastSave="{D1DD9902-A0FC-4B4E-B095-5C0F6441D530}"/>
  <bookViews>
    <workbookView xWindow="29400" yWindow="600" windowWidth="51200" windowHeight="28200" xr2:uid="{D04C3B3B-E3B1-4B3B-8C91-1987621AF044}"/>
  </bookViews>
  <sheets>
    <sheet name="Tender Pricing" sheetId="1" r:id="rId1"/>
  </sheets>
  <definedNames>
    <definedName name="_xlnm.Print_Area" localSheetId="0">'Tender Pricing'!$A$3:$D$139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" l="1"/>
  <c r="C73" i="1"/>
  <c r="B73" i="1"/>
  <c r="D65" i="1"/>
  <c r="E124" i="1"/>
  <c r="E125" i="1"/>
  <c r="D121" i="1"/>
  <c r="D122" i="1"/>
  <c r="E122" i="1" s="1"/>
  <c r="D123" i="1"/>
  <c r="E123" i="1" s="1"/>
  <c r="C126" i="1"/>
  <c r="B126" i="1"/>
  <c r="C110" i="1"/>
  <c r="B110" i="1"/>
  <c r="C71" i="1"/>
  <c r="B71" i="1"/>
  <c r="C53" i="1"/>
  <c r="B53" i="1"/>
  <c r="D28" i="1"/>
  <c r="C39" i="1"/>
  <c r="B39" i="1"/>
  <c r="D58" i="1"/>
  <c r="D59" i="1"/>
  <c r="D61" i="1"/>
  <c r="D63" i="1"/>
  <c r="D67" i="1"/>
  <c r="D69" i="1"/>
  <c r="D44" i="1"/>
  <c r="D45" i="1"/>
  <c r="D46" i="1"/>
  <c r="D47" i="1"/>
  <c r="D48" i="1"/>
  <c r="D49" i="1"/>
  <c r="D50" i="1"/>
  <c r="D51" i="1"/>
  <c r="D38" i="1"/>
  <c r="D37" i="1"/>
  <c r="D35" i="1"/>
  <c r="D34" i="1"/>
  <c r="D32" i="1"/>
  <c r="D29" i="1"/>
  <c r="D30" i="1"/>
  <c r="D23" i="1"/>
  <c r="D24" i="1"/>
  <c r="D25" i="1"/>
  <c r="D26" i="1"/>
  <c r="D22" i="1"/>
  <c r="D95" i="1"/>
  <c r="D94" i="1"/>
  <c r="D93" i="1"/>
  <c r="D81" i="1"/>
  <c r="D82" i="1"/>
  <c r="D83" i="1"/>
  <c r="D106" i="1"/>
  <c r="D107" i="1"/>
  <c r="D108" i="1"/>
  <c r="D109" i="1"/>
  <c r="D85" i="1"/>
  <c r="D84" i="1"/>
  <c r="D105" i="1"/>
  <c r="D104" i="1"/>
  <c r="D126" i="1" l="1"/>
  <c r="D71" i="1"/>
  <c r="D110" i="1"/>
  <c r="D53" i="1"/>
  <c r="C115" i="1"/>
  <c r="B115" i="1"/>
  <c r="D39" i="1"/>
  <c r="D86" i="1"/>
  <c r="E126" i="1" l="1"/>
  <c r="E121" i="1"/>
  <c r="D115" i="1"/>
</calcChain>
</file>

<file path=xl/sharedStrings.xml><?xml version="1.0" encoding="utf-8"?>
<sst xmlns="http://schemas.openxmlformats.org/spreadsheetml/2006/main" count="118" uniqueCount="100">
  <si>
    <t xml:space="preserve">Pricing Spreadsheet </t>
  </si>
  <si>
    <t>RFT Number:</t>
  </si>
  <si>
    <t>PROCFY26078: Event Management Services North America - 2027-2029</t>
  </si>
  <si>
    <t>Tenderer Name:</t>
  </si>
  <si>
    <t>[Insert name here]</t>
  </si>
  <si>
    <t>Date:</t>
  </si>
  <si>
    <t>[Insert date here]</t>
  </si>
  <si>
    <t>Currency:</t>
  </si>
  <si>
    <t>USD</t>
  </si>
  <si>
    <t>Tax Rate:</t>
  </si>
  <si>
    <t>[Insert tax rate here]</t>
  </si>
  <si>
    <t>Instructions to Tenderers</t>
  </si>
  <si>
    <t>• Pricing submissions must include all costs, charges, and taxes necessary to deliver the complete Scope of Requirements.</t>
  </si>
  <si>
    <t>• Do not include any pricing information in your Technical Submission Packages (Packages 1 through 9).</t>
  </si>
  <si>
    <t>• Business Events Showcase Cap: Note that the total proposed cost for the Business Events North American Showcase (including event costs, management fees, and taxes) must not exceed the strict cap of USD $150,000.</t>
  </si>
  <si>
    <t>Event Operational Costs (Direct/Hard Costs)</t>
  </si>
  <si>
    <t xml:space="preserve">• Tenderers must provide a granular cost breakdown for the exact parameters proposed in their corresponding technical packages (Packages 5, 6, and 7). </t>
  </si>
  <si>
    <t>• Content below may be edited, as long as all items are captured in granular detail with no hidden costs</t>
  </si>
  <si>
    <t xml:space="preserve">• Blank rows may be added if a specific activation requires further line-item disclosure. </t>
  </si>
  <si>
    <t>• No pricing may be entered outside of this schedule.</t>
  </si>
  <si>
    <t>Event Element (Direct Operational Costs)</t>
  </si>
  <si>
    <t>Fee (Excl. Tax)</t>
  </si>
  <si>
    <t>Tax</t>
  </si>
  <si>
    <t>Fee (Incl. Tax)</t>
  </si>
  <si>
    <t>EVENT 1: Australia Marketplace North America (AMNA) 2027 - Los Angeles County</t>
  </si>
  <si>
    <t>Conference Facilities &amp; Venue Logistics</t>
  </si>
  <si>
    <t>Day 1: General Session room hire (TA Industry Update)</t>
  </si>
  <si>
    <t>Day 1: Welcome reception venue space hire</t>
  </si>
  <si>
    <t>Days 2-3: Main tradeshow exhibition hall space hire (minimum 120 supplier booths)</t>
  </si>
  <si>
    <t>Days 1-3: Standalone meeting room 1 (Event Logistics Office)</t>
  </si>
  <si>
    <t>Days 1-3: Standalone meeting room 2 (TA Team Briefing Room)</t>
  </si>
  <si>
    <t xml:space="preserve">Food &amp; Beverage </t>
  </si>
  <si>
    <t>Day 1: Welcome reception catering (heavy canapes and premium beverage package) for 250 delegates</t>
  </si>
  <si>
    <t xml:space="preserve">Days 2-3: Delegate full day packages (breakfast, buffet lunch, morning/afternoon tea breaks, seated dinner on day 2) for 250 delegates </t>
  </si>
  <si>
    <t>Day 3: Formal closing event/standing dinner reception, buffet style and premium beverage package</t>
  </si>
  <si>
    <t xml:space="preserve">Accommodation </t>
  </si>
  <si>
    <t>Contracted group block: 225 rooms per night (4-star minimum) x 3 nights</t>
  </si>
  <si>
    <t>Audiovisual, Staging and Production</t>
  </si>
  <si>
    <t>General Session: Stage build, lighting, master audio, projection,confidence monitor, roaming mics, technician labour etc</t>
  </si>
  <si>
    <t>Exhibition hall: Standard shell-scheme booth power drop and localised signage</t>
  </si>
  <si>
    <t>Sponsorship Onsite Activations</t>
  </si>
  <si>
    <t>Physical build, specific custom branding assets, and technical support for Gold Sponsor footprint</t>
  </si>
  <si>
    <t>AMNA 2027 SUBTOTAL</t>
  </si>
  <si>
    <t xml:space="preserve">EVENT 2: Signature Experiences Luxury Showcase 2028 </t>
  </si>
  <si>
    <t>New York City Leg (Core Submission of a proposed 3 city roadshow)</t>
  </si>
  <si>
    <t>Boutique upscale venue space hire (accommodating 75 luxury travel advisors)</t>
  </si>
  <si>
    <t>Premium welcome reception food footprint (substantial canapes/heavy appetizers)</t>
  </si>
  <si>
    <t>Bespoke menu execution, high-end design styling, and floral/décor asssets</t>
  </si>
  <si>
    <t>Seated presentation zone setup (dedicated screening room or premium AV equivalent)</t>
  </si>
  <si>
    <t>Premium bar beverage pacakge (4-hour evening block)</t>
  </si>
  <si>
    <t>Specialty talent and/or activation fees (local live musicians, guest speakers, curated artists)</t>
  </si>
  <si>
    <t>Professional localised photography and event capture</t>
  </si>
  <si>
    <t>Premium delegate gift items and custom-printed luxury showcase materials</t>
  </si>
  <si>
    <t>LUXURY SHOWCASE 2028 SUBTOTAL</t>
  </si>
  <si>
    <t>EVENT 3: Business Events Australia North American Showcase 2028 - Single-City Boutique Event</t>
  </si>
  <si>
    <t>Direct Sourcing and Operational Footprint accomodating approx. 60 attendees</t>
  </si>
  <si>
    <t>B2B workshop hall venue space hire (Standard workspace configurations)</t>
  </si>
  <si>
    <t>Centralised buyer and seller registration setup</t>
  </si>
  <si>
    <t>Workshop food and beverage (Breakfast, network lunch, all-day coffee)</t>
  </si>
  <si>
    <t>Group dinner on Day 2 (can be offsite from venue)</t>
  </si>
  <si>
    <t>Localised workshop AV setup, staging, digital scheduling support</t>
  </si>
  <si>
    <t>Contracted group block: 60 rooms per night (4-star minimum) x 2 nights</t>
  </si>
  <si>
    <t>Unique Audience Activation Element</t>
  </si>
  <si>
    <t>Bespoke, high-impact program element or unique networking activation as per Package 7</t>
  </si>
  <si>
    <t>Onsite Logistics and Hosting Support</t>
  </si>
  <si>
    <t>Ground transport management transfers for attendees.</t>
  </si>
  <si>
    <t>BUSINESS EVENTS SHOWCASE 2028 SUBTOTAL</t>
  </si>
  <si>
    <t>TOTAL</t>
  </si>
  <si>
    <t>Agency Management and Professional Fees</t>
  </si>
  <si>
    <t>• Please provide the fixed project management and account management fees required to service this contract. This must cover pre-event planning, procurement, and onsite execution.</t>
  </si>
  <si>
    <t>Agency Management Fees</t>
  </si>
  <si>
    <t>AMNA 2027: Total Project Management Fee</t>
  </si>
  <si>
    <t>AMNA 2029: Total Project Management Fee</t>
  </si>
  <si>
    <t>Luxury Showcase 2028: Total Project Management Fee</t>
  </si>
  <si>
    <t>Business Events Showcase 2028: Total Project Management Fee</t>
  </si>
  <si>
    <t>Standard Rate Card (For out-of-scope services)</t>
  </si>
  <si>
    <t>• Please provide the hourly/daily rates for key personnel. These rates will be locked in for the duration of the contract for any approved, out-of-scope variations.</t>
  </si>
  <si>
    <t>Role/Title (e.g., Event Director, Logistics Coordinator)</t>
  </si>
  <si>
    <t>Rate Per [Hour/Day]</t>
  </si>
  <si>
    <t>Rate Per [Hour/Day]  
(Incl. Tax)</t>
  </si>
  <si>
    <t>[Insert Role 1]</t>
  </si>
  <si>
    <t>[Insert Role 2]</t>
  </si>
  <si>
    <t>[Insert Role 3]</t>
  </si>
  <si>
    <t>Additional Costs &amp; Out-of-Pocket Expenses</t>
  </si>
  <si>
    <t>• Please detail any additional costs associated with providing the services (e.g., agency staff travel, accommodation, proprietary software licenses, etc)</t>
  </si>
  <si>
    <t>Additional Costs (Specify item)</t>
  </si>
  <si>
    <t>Agency Staff Travel &amp; Accommodation (Estimate)</t>
  </si>
  <si>
    <t>Event Management Software/Technology Licenses</t>
  </si>
  <si>
    <t>Other etc</t>
  </si>
  <si>
    <t>TOTAL PROPOSAL VALUE</t>
  </si>
  <si>
    <t>TOTAL FEES</t>
  </si>
  <si>
    <t>TOTAL (inclusive of all operational costs, management fees, estimated OOP expenses for all events)</t>
  </si>
  <si>
    <t>Proposed Payment Structure (Please outline as below, request only for consideration by Tourism Australia)</t>
  </si>
  <si>
    <t>• Please outline your proposed milestone payment schedule for consideration by Tourism Australia. Note: Tourism Australia prefers payment schedules tethered to the completion of specific project deliverables rather than upfront deposits.</t>
  </si>
  <si>
    <t>Milestone/Deliverable (Add rows as required)</t>
  </si>
  <si>
    <t>% of Overall Fee</t>
  </si>
  <si>
    <t>Est Date required</t>
  </si>
  <si>
    <t>Milestone 1: [e.g. Contract execution/initial planning]</t>
  </si>
  <si>
    <t>Milestone 2: [e.g. Venue contraction finalised]</t>
  </si>
  <si>
    <t>Milestone 3: [e.g. Post-event wrap and final reporting]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</si>
</sst>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[$-F800]dddd\,\ mmmm\ dd\,\ yyyy"/>
    <numFmt numFmtId="166" formatCode="[$-C09]dd\-mmm\-yy;@"/>
  </numFmts>
  <fonts count="15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1"/>
      <name val="Calibri"/>
      <family val="2"/>
    </font>
    <font>
      <sz val="11"/>
      <name val="Calibri"/>
      <family val="2"/>
    </font>
    <font>
      <b/>
      <sz val="11"/>
      <name val="Times New Roman"/>
      <family val="1"/>
    </font>
    <font>
      <b/>
      <i/>
      <sz val="11"/>
      <name val="Calibri"/>
      <family val="2"/>
    </font>
    <font>
      <b/>
      <sz val="16"/>
      <name val="Calibri"/>
      <family val="2"/>
      <scheme val="minor"/>
    </font>
    <font>
      <i/>
      <sz val="11"/>
      <name val="Calibri"/>
      <family val="2"/>
    </font>
    <font>
      <sz val="14"/>
      <color theme="0"/>
      <name val="Calibri"/>
      <family val="2"/>
    </font>
    <font>
      <b/>
      <sz val="12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D6E9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04000"/>
        <bgColor indexed="64"/>
      </patternFill>
    </fill>
    <fill>
      <patternFill patternType="solid">
        <fgColor rgb="FFFCD0A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2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2" fillId="2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indent="2"/>
    </xf>
    <xf numFmtId="0" fontId="10" fillId="5" borderId="1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164" fontId="6" fillId="8" borderId="3" xfId="0" applyNumberFormat="1" applyFont="1" applyFill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vertic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right" vertical="center" indent="1"/>
    </xf>
    <xf numFmtId="0" fontId="5" fillId="8" borderId="3" xfId="0" applyFont="1" applyFill="1" applyBorder="1" applyAlignment="1">
      <alignment horizontal="right" vertical="center"/>
    </xf>
    <xf numFmtId="2" fontId="5" fillId="8" borderId="3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3" xfId="0" applyNumberFormat="1" applyFont="1" applyBorder="1" applyAlignment="1">
      <alignment vertical="center"/>
    </xf>
    <xf numFmtId="164" fontId="6" fillId="0" borderId="3" xfId="1" applyNumberFormat="1" applyFont="1" applyBorder="1" applyAlignment="1">
      <alignment vertical="center"/>
    </xf>
    <xf numFmtId="0" fontId="12" fillId="10" borderId="3" xfId="0" applyFont="1" applyFill="1" applyBorder="1" applyAlignment="1">
      <alignment vertical="center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left" vertical="center"/>
    </xf>
    <xf numFmtId="164" fontId="6" fillId="10" borderId="3" xfId="0" applyNumberFormat="1" applyFont="1" applyFill="1" applyBorder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166" fontId="5" fillId="0" borderId="3" xfId="0" applyNumberFormat="1" applyFont="1" applyBorder="1" applyAlignment="1">
      <alignment vertical="center"/>
    </xf>
    <xf numFmtId="166" fontId="6" fillId="0" borderId="3" xfId="0" applyNumberFormat="1" applyFont="1" applyBorder="1" applyAlignment="1">
      <alignment vertical="center"/>
    </xf>
    <xf numFmtId="10" fontId="6" fillId="8" borderId="3" xfId="0" applyNumberFormat="1" applyFont="1" applyFill="1" applyBorder="1" applyAlignment="1">
      <alignment horizontal="center" vertical="center"/>
    </xf>
    <xf numFmtId="166" fontId="6" fillId="8" borderId="3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/>
    </xf>
    <xf numFmtId="0" fontId="10" fillId="5" borderId="10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10" fillId="5" borderId="11" xfId="0" applyFont="1" applyFill="1" applyBorder="1" applyAlignment="1">
      <alignment horizontal="left" vertical="center" wrapText="1"/>
    </xf>
    <xf numFmtId="0" fontId="12" fillId="6" borderId="6" xfId="0" applyFont="1" applyFill="1" applyBorder="1" applyAlignment="1">
      <alignment horizontal="left" vertical="center"/>
    </xf>
    <xf numFmtId="0" fontId="12" fillId="6" borderId="7" xfId="0" applyFont="1" applyFill="1" applyBorder="1" applyAlignment="1">
      <alignment horizontal="left" vertical="center"/>
    </xf>
    <xf numFmtId="0" fontId="12" fillId="6" borderId="8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10" fillId="5" borderId="12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/>
    </xf>
    <xf numFmtId="0" fontId="11" fillId="7" borderId="1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6" fillId="3" borderId="6" xfId="0" applyFont="1" applyFill="1" applyBorder="1" applyAlignment="1" applyProtection="1">
      <alignment horizontal="left" vertical="center"/>
      <protection locked="0"/>
    </xf>
    <xf numFmtId="0" fontId="5" fillId="3" borderId="7" xfId="0" applyFont="1" applyFill="1" applyBorder="1" applyAlignment="1" applyProtection="1">
      <alignment horizontal="left" vertical="center"/>
      <protection locked="0"/>
    </xf>
    <xf numFmtId="0" fontId="5" fillId="3" borderId="8" xfId="0" applyFont="1" applyFill="1" applyBorder="1" applyAlignment="1" applyProtection="1">
      <alignment horizontal="left" vertical="center"/>
      <protection locked="0"/>
    </xf>
    <xf numFmtId="0" fontId="6" fillId="4" borderId="6" xfId="0" applyFont="1" applyFill="1" applyBorder="1" applyAlignment="1" applyProtection="1">
      <alignment horizontal="left" vertical="center"/>
      <protection locked="0"/>
    </xf>
    <xf numFmtId="0" fontId="5" fillId="4" borderId="7" xfId="0" applyFont="1" applyFill="1" applyBorder="1" applyAlignment="1" applyProtection="1">
      <alignment horizontal="left" vertical="center"/>
      <protection locked="0"/>
    </xf>
    <xf numFmtId="0" fontId="5" fillId="4" borderId="8" xfId="0" applyFont="1" applyFill="1" applyBorder="1" applyAlignment="1" applyProtection="1">
      <alignment horizontal="left" vertical="center"/>
      <protection locked="0"/>
    </xf>
    <xf numFmtId="0" fontId="6" fillId="4" borderId="7" xfId="0" applyFont="1" applyFill="1" applyBorder="1" applyAlignment="1" applyProtection="1">
      <alignment horizontal="left" vertical="center"/>
      <protection locked="0"/>
    </xf>
    <xf numFmtId="0" fontId="6" fillId="4" borderId="8" xfId="0" applyFont="1" applyFill="1" applyBorder="1" applyAlignment="1" applyProtection="1">
      <alignment horizontal="left" vertical="center"/>
      <protection locked="0"/>
    </xf>
    <xf numFmtId="0" fontId="8" fillId="5" borderId="10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/>
    </xf>
    <xf numFmtId="0" fontId="10" fillId="5" borderId="1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0" fillId="5" borderId="12" xfId="0" applyFont="1" applyFill="1" applyBorder="1" applyAlignment="1">
      <alignment horizontal="left" vertical="center"/>
    </xf>
    <xf numFmtId="0" fontId="10" fillId="5" borderId="13" xfId="0" applyFont="1" applyFill="1" applyBorder="1" applyAlignment="1">
      <alignment horizontal="left" vertical="center"/>
    </xf>
    <xf numFmtId="0" fontId="10" fillId="5" borderId="4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left" vertical="center" wrapText="1"/>
    </xf>
    <xf numFmtId="0" fontId="10" fillId="5" borderId="8" xfId="0" applyFont="1" applyFill="1" applyBorder="1" applyAlignment="1">
      <alignment horizontal="left" vertical="center" wrapText="1"/>
    </xf>
    <xf numFmtId="0" fontId="11" fillId="9" borderId="14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CD0A9"/>
      <color rgb="FFF95A00"/>
      <color rgb="FFB04000"/>
      <color rgb="FFB4E9FF"/>
      <color rgb="FF0D6E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1790700</xdr:colOff>
      <xdr:row>0</xdr:row>
      <xdr:rowOff>63500</xdr:rowOff>
    </xdr:from>
    <xdr:to>
      <xdr:col>3</xdr:col>
      <xdr:colOff>1802749</xdr:colOff>
      <xdr:row>0</xdr:row>
      <xdr:rowOff>567592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5C4CA92-1BEC-5C46-BF91-E393831A141F}"/>
            </a:ext>
          </a:extLst>
        </xdr:cNvPr>
        <xdr:cNvGrpSpPr>
          <a:grpSpLocks/>
        </xdr:cNvGrpSpPr>
      </xdr:nvGrpSpPr>
      <xdr:grpSpPr bwMode="auto">
        <a:xfrm>
          <a:off x="12141200" y="63500"/>
          <a:ext cx="1940862" cy="504092"/>
          <a:chOff x="0" y="0"/>
          <a:chExt cx="3956050" cy="1047115"/>
        </a:xfrm>
      </xdr:grpSpPr>
      <xdr:pic>
        <xdr:nvPicPr>
          <xdr:cNvPr id="3" name="Picture 2" descr="../../../Logo%20Master%20File/*%202012%20Corporate%20Logo/TA%20GOVT%20CREST%20BLUE/TA%20GOV%20">
            <a:extLst>
              <a:ext uri="{FF2B5EF4-FFF2-40B4-BE49-F238E27FC236}">
                <a16:creationId xmlns:a16="http://schemas.microsoft.com/office/drawing/2014/main" id="{F34735CA-C661-1677-930F-F5415F1EA86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35390"/>
          <a:stretch>
            <a:fillRect/>
          </a:stretch>
        </xdr:blipFill>
        <xdr:spPr bwMode="auto">
          <a:xfrm>
            <a:off x="0" y="0"/>
            <a:ext cx="2066925" cy="10471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3" descr="A logo with orange and blue text&#10;&#10;AI-generated content may be incorrect.">
            <a:extLst>
              <a:ext uri="{FF2B5EF4-FFF2-40B4-BE49-F238E27FC236}">
                <a16:creationId xmlns:a16="http://schemas.microsoft.com/office/drawing/2014/main" id="{AEAA8F4B-B885-5036-B812-9718FB8F768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52650" y="161925"/>
            <a:ext cx="1803400" cy="7334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3519-26E2-454A-A340-439B8BE101FA}">
  <sheetPr>
    <pageSetUpPr fitToPage="1"/>
  </sheetPr>
  <dimension ref="A1:F134"/>
  <sheetViews>
    <sheetView tabSelected="1" topLeftCell="A94" zoomScale="160" zoomScaleNormal="160" workbookViewId="0">
      <selection activeCell="F66" sqref="F66"/>
    </sheetView>
  </sheetViews>
  <sheetFormatPr baseColWidth="10" defaultColWidth="9.1640625" defaultRowHeight="13" x14ac:dyDescent="0.15"/>
  <cols>
    <col min="1" max="1" width="110.5" style="14" customWidth="1"/>
    <col min="2" max="4" width="25.33203125" style="14" customWidth="1"/>
    <col min="5" max="5" width="20" style="14" customWidth="1"/>
    <col min="6" max="6" width="20.1640625" style="14" customWidth="1"/>
    <col min="7" max="16384" width="9.1640625" style="14"/>
  </cols>
  <sheetData>
    <row r="1" spans="1:5" ht="48.5" customHeight="1" x14ac:dyDescent="0.15">
      <c r="A1" s="66" t="s">
        <v>0</v>
      </c>
      <c r="B1" s="67"/>
      <c r="C1" s="67"/>
      <c r="D1" s="68"/>
    </row>
    <row r="2" spans="1:5" x14ac:dyDescent="0.15">
      <c r="A2" s="15"/>
      <c r="D2" s="16"/>
    </row>
    <row r="3" spans="1:5" s="2" customFormat="1" ht="22.5" customHeight="1" x14ac:dyDescent="0.15">
      <c r="A3" s="3" t="s">
        <v>1</v>
      </c>
      <c r="B3" s="69" t="s">
        <v>2</v>
      </c>
      <c r="C3" s="70"/>
      <c r="D3" s="71"/>
      <c r="E3" s="4"/>
    </row>
    <row r="4" spans="1:5" s="2" customFormat="1" ht="22.5" customHeight="1" x14ac:dyDescent="0.15">
      <c r="A4" s="3" t="s">
        <v>3</v>
      </c>
      <c r="B4" s="72" t="s">
        <v>4</v>
      </c>
      <c r="C4" s="75"/>
      <c r="D4" s="76"/>
      <c r="E4" s="1"/>
    </row>
    <row r="5" spans="1:5" s="2" customFormat="1" ht="22.5" customHeight="1" x14ac:dyDescent="0.15">
      <c r="A5" s="3" t="s">
        <v>5</v>
      </c>
      <c r="B5" s="72" t="s">
        <v>6</v>
      </c>
      <c r="C5" s="73"/>
      <c r="D5" s="74"/>
      <c r="E5" s="1"/>
    </row>
    <row r="6" spans="1:5" s="2" customFormat="1" ht="22.5" customHeight="1" x14ac:dyDescent="0.15">
      <c r="A6" s="3" t="s">
        <v>7</v>
      </c>
      <c r="B6" s="69" t="s">
        <v>8</v>
      </c>
      <c r="C6" s="70"/>
      <c r="D6" s="71"/>
      <c r="E6" s="4"/>
    </row>
    <row r="7" spans="1:5" s="2" customFormat="1" ht="22.5" customHeight="1" x14ac:dyDescent="0.15">
      <c r="A7" s="3" t="s">
        <v>9</v>
      </c>
      <c r="B7" s="72" t="s">
        <v>10</v>
      </c>
      <c r="C7" s="73"/>
      <c r="D7" s="74"/>
      <c r="E7" s="4"/>
    </row>
    <row r="8" spans="1:5" ht="23.25" customHeight="1" x14ac:dyDescent="0.15">
      <c r="A8" s="10"/>
      <c r="B8" s="10"/>
      <c r="C8" s="10"/>
      <c r="D8" s="10"/>
      <c r="E8" s="17"/>
    </row>
    <row r="9" spans="1:5" ht="23.25" customHeight="1" x14ac:dyDescent="0.15">
      <c r="A9" s="77" t="s">
        <v>11</v>
      </c>
      <c r="B9" s="78"/>
      <c r="C9" s="78"/>
      <c r="D9" s="79"/>
      <c r="E9" s="17"/>
    </row>
    <row r="10" spans="1:5" ht="23.25" customHeight="1" x14ac:dyDescent="0.15">
      <c r="A10" s="80" t="s">
        <v>12</v>
      </c>
      <c r="B10" s="81"/>
      <c r="C10" s="81"/>
      <c r="D10" s="82"/>
      <c r="E10" s="17"/>
    </row>
    <row r="11" spans="1:5" ht="23.25" customHeight="1" x14ac:dyDescent="0.15">
      <c r="A11" s="80" t="s">
        <v>13</v>
      </c>
      <c r="B11" s="81"/>
      <c r="C11" s="81"/>
      <c r="D11" s="82"/>
      <c r="E11" s="17"/>
    </row>
    <row r="12" spans="1:5" ht="23.25" customHeight="1" x14ac:dyDescent="0.15">
      <c r="A12" s="83" t="s">
        <v>14</v>
      </c>
      <c r="B12" s="84"/>
      <c r="C12" s="84"/>
      <c r="D12" s="85"/>
      <c r="E12" s="17"/>
    </row>
    <row r="13" spans="1:5" ht="23.25" customHeight="1" x14ac:dyDescent="0.15">
      <c r="A13" s="10"/>
      <c r="B13" s="10"/>
      <c r="C13" s="10"/>
      <c r="D13" s="10"/>
      <c r="E13" s="17"/>
    </row>
    <row r="14" spans="1:5" ht="23.25" customHeight="1" x14ac:dyDescent="0.15">
      <c r="A14" s="86" t="s">
        <v>15</v>
      </c>
      <c r="B14" s="86"/>
      <c r="C14" s="86"/>
      <c r="D14" s="86"/>
      <c r="E14" s="17"/>
    </row>
    <row r="15" spans="1:5" ht="23.25" customHeight="1" x14ac:dyDescent="0.15">
      <c r="A15" s="52" t="s">
        <v>16</v>
      </c>
      <c r="B15" s="53"/>
      <c r="C15" s="53"/>
      <c r="D15" s="54"/>
      <c r="E15" s="17"/>
    </row>
    <row r="16" spans="1:5" ht="23.25" customHeight="1" x14ac:dyDescent="0.15">
      <c r="A16" s="23" t="s">
        <v>17</v>
      </c>
      <c r="B16" s="24"/>
      <c r="C16" s="24"/>
      <c r="D16" s="25"/>
      <c r="E16" s="17"/>
    </row>
    <row r="17" spans="1:5" ht="23.25" customHeight="1" x14ac:dyDescent="0.15">
      <c r="A17" s="48" t="s">
        <v>18</v>
      </c>
      <c r="B17" s="49"/>
      <c r="C17" s="49"/>
      <c r="D17" s="50"/>
      <c r="E17" s="17"/>
    </row>
    <row r="18" spans="1:5" ht="23.25" customHeight="1" x14ac:dyDescent="0.15">
      <c r="A18" s="61" t="s">
        <v>19</v>
      </c>
      <c r="B18" s="62"/>
      <c r="C18" s="62"/>
      <c r="D18" s="63"/>
      <c r="E18" s="17"/>
    </row>
    <row r="19" spans="1:5" ht="30" customHeight="1" x14ac:dyDescent="0.15">
      <c r="A19" s="19" t="s">
        <v>20</v>
      </c>
      <c r="B19" s="20" t="s">
        <v>21</v>
      </c>
      <c r="C19" s="21" t="s">
        <v>22</v>
      </c>
      <c r="D19" s="20" t="s">
        <v>23</v>
      </c>
      <c r="E19" s="17"/>
    </row>
    <row r="20" spans="1:5" ht="15" customHeight="1" x14ac:dyDescent="0.15">
      <c r="A20" s="55" t="s">
        <v>24</v>
      </c>
      <c r="B20" s="56"/>
      <c r="C20" s="56"/>
      <c r="D20" s="57"/>
      <c r="E20" s="17"/>
    </row>
    <row r="21" spans="1:5" ht="15" customHeight="1" x14ac:dyDescent="0.15">
      <c r="A21" s="58" t="s">
        <v>25</v>
      </c>
      <c r="B21" s="59"/>
      <c r="C21" s="59"/>
      <c r="D21" s="60"/>
      <c r="E21" s="17"/>
    </row>
    <row r="22" spans="1:5" ht="15" customHeight="1" x14ac:dyDescent="0.15">
      <c r="A22" s="22" t="s">
        <v>26</v>
      </c>
      <c r="B22" s="6"/>
      <c r="C22" s="6"/>
      <c r="D22" s="6">
        <f>SUM(B22+C22)</f>
        <v>0</v>
      </c>
      <c r="E22" s="17"/>
    </row>
    <row r="23" spans="1:5" ht="15" customHeight="1" x14ac:dyDescent="0.15">
      <c r="A23" s="22" t="s">
        <v>27</v>
      </c>
      <c r="B23" s="6"/>
      <c r="C23" s="6"/>
      <c r="D23" s="6">
        <f t="shared" ref="D23:D38" si="0">SUM(B23+C23)</f>
        <v>0</v>
      </c>
      <c r="E23" s="17"/>
    </row>
    <row r="24" spans="1:5" ht="15" customHeight="1" x14ac:dyDescent="0.15">
      <c r="A24" s="22" t="s">
        <v>28</v>
      </c>
      <c r="B24" s="6"/>
      <c r="C24" s="6"/>
      <c r="D24" s="6">
        <f t="shared" si="0"/>
        <v>0</v>
      </c>
      <c r="E24" s="17"/>
    </row>
    <row r="25" spans="1:5" ht="15" customHeight="1" x14ac:dyDescent="0.15">
      <c r="A25" s="22" t="s">
        <v>29</v>
      </c>
      <c r="B25" s="6"/>
      <c r="C25" s="6"/>
      <c r="D25" s="6">
        <f t="shared" si="0"/>
        <v>0</v>
      </c>
      <c r="E25" s="17"/>
    </row>
    <row r="26" spans="1:5" ht="15" customHeight="1" x14ac:dyDescent="0.15">
      <c r="A26" s="22" t="s">
        <v>30</v>
      </c>
      <c r="B26" s="6"/>
      <c r="C26" s="6"/>
      <c r="D26" s="6">
        <f t="shared" si="0"/>
        <v>0</v>
      </c>
      <c r="E26" s="17"/>
    </row>
    <row r="27" spans="1:5" ht="15" x14ac:dyDescent="0.15">
      <c r="A27" s="58" t="s">
        <v>31</v>
      </c>
      <c r="B27" s="59"/>
      <c r="C27" s="59"/>
      <c r="D27" s="60"/>
      <c r="E27" s="17"/>
    </row>
    <row r="28" spans="1:5" ht="15" x14ac:dyDescent="0.15">
      <c r="A28" s="22" t="s">
        <v>32</v>
      </c>
      <c r="B28" s="27"/>
      <c r="C28" s="27"/>
      <c r="D28" s="6">
        <f t="shared" si="0"/>
        <v>0</v>
      </c>
      <c r="E28" s="17"/>
    </row>
    <row r="29" spans="1:5" ht="15" customHeight="1" x14ac:dyDescent="0.15">
      <c r="A29" s="22" t="s">
        <v>33</v>
      </c>
      <c r="B29" s="27"/>
      <c r="C29" s="27"/>
      <c r="D29" s="6">
        <f t="shared" si="0"/>
        <v>0</v>
      </c>
      <c r="E29" s="17"/>
    </row>
    <row r="30" spans="1:5" ht="15" customHeight="1" x14ac:dyDescent="0.15">
      <c r="A30" s="22" t="s">
        <v>34</v>
      </c>
      <c r="B30" s="27"/>
      <c r="C30" s="27"/>
      <c r="D30" s="6">
        <f t="shared" si="0"/>
        <v>0</v>
      </c>
      <c r="E30" s="17"/>
    </row>
    <row r="31" spans="1:5" ht="15" customHeight="1" x14ac:dyDescent="0.15">
      <c r="A31" s="58" t="s">
        <v>35</v>
      </c>
      <c r="B31" s="59"/>
      <c r="C31" s="59"/>
      <c r="D31" s="60"/>
      <c r="E31" s="17"/>
    </row>
    <row r="32" spans="1:5" ht="15" customHeight="1" x14ac:dyDescent="0.15">
      <c r="A32" s="22" t="s">
        <v>36</v>
      </c>
      <c r="B32" s="6"/>
      <c r="C32" s="6"/>
      <c r="D32" s="6">
        <f t="shared" si="0"/>
        <v>0</v>
      </c>
      <c r="E32" s="17"/>
    </row>
    <row r="33" spans="1:5" ht="15" customHeight="1" x14ac:dyDescent="0.15">
      <c r="A33" s="58" t="s">
        <v>37</v>
      </c>
      <c r="B33" s="59"/>
      <c r="C33" s="59"/>
      <c r="D33" s="60"/>
      <c r="E33" s="17"/>
    </row>
    <row r="34" spans="1:5" ht="15" customHeight="1" x14ac:dyDescent="0.15">
      <c r="A34" s="22" t="s">
        <v>38</v>
      </c>
      <c r="B34" s="6"/>
      <c r="C34" s="6"/>
      <c r="D34" s="6">
        <f t="shared" si="0"/>
        <v>0</v>
      </c>
      <c r="E34" s="17"/>
    </row>
    <row r="35" spans="1:5" ht="15" customHeight="1" x14ac:dyDescent="0.15">
      <c r="A35" s="22" t="s">
        <v>39</v>
      </c>
      <c r="B35" s="6"/>
      <c r="C35" s="6"/>
      <c r="D35" s="6">
        <f t="shared" si="0"/>
        <v>0</v>
      </c>
      <c r="E35" s="17"/>
    </row>
    <row r="36" spans="1:5" ht="15" customHeight="1" x14ac:dyDescent="0.15">
      <c r="A36" s="58" t="s">
        <v>40</v>
      </c>
      <c r="B36" s="59"/>
      <c r="C36" s="59"/>
      <c r="D36" s="60"/>
      <c r="E36" s="17"/>
    </row>
    <row r="37" spans="1:5" ht="15" customHeight="1" x14ac:dyDescent="0.15">
      <c r="A37" s="22" t="s">
        <v>41</v>
      </c>
      <c r="B37" s="6"/>
      <c r="C37" s="6"/>
      <c r="D37" s="6">
        <f t="shared" si="0"/>
        <v>0</v>
      </c>
      <c r="E37" s="17"/>
    </row>
    <row r="38" spans="1:5" ht="15" customHeight="1" x14ac:dyDescent="0.15">
      <c r="A38" s="22"/>
      <c r="B38" s="6"/>
      <c r="C38" s="6"/>
      <c r="D38" s="6">
        <f t="shared" si="0"/>
        <v>0</v>
      </c>
      <c r="E38" s="17"/>
    </row>
    <row r="39" spans="1:5" ht="15" customHeight="1" x14ac:dyDescent="0.15">
      <c r="A39" s="31" t="s">
        <v>42</v>
      </c>
      <c r="B39" s="26">
        <f>SUM(B21:B38)</f>
        <v>0</v>
      </c>
      <c r="C39" s="26">
        <f t="shared" ref="C39:D39" si="1">SUM(C21:C38)</f>
        <v>0</v>
      </c>
      <c r="D39" s="26">
        <f t="shared" si="1"/>
        <v>0</v>
      </c>
      <c r="E39" s="17"/>
    </row>
    <row r="40" spans="1:5" ht="15" customHeight="1" x14ac:dyDescent="0.15">
      <c r="A40" s="5"/>
      <c r="B40" s="6"/>
      <c r="C40" s="6"/>
      <c r="D40" s="7"/>
      <c r="E40" s="17"/>
    </row>
    <row r="41" spans="1:5" ht="15" customHeight="1" x14ac:dyDescent="0.15">
      <c r="A41" s="5"/>
      <c r="B41" s="6"/>
      <c r="C41" s="6"/>
      <c r="D41" s="7"/>
      <c r="E41" s="17"/>
    </row>
    <row r="42" spans="1:5" ht="15" customHeight="1" x14ac:dyDescent="0.15">
      <c r="A42" s="55" t="s">
        <v>43</v>
      </c>
      <c r="B42" s="56"/>
      <c r="C42" s="56"/>
      <c r="D42" s="57"/>
      <c r="E42" s="17"/>
    </row>
    <row r="43" spans="1:5" ht="15" customHeight="1" x14ac:dyDescent="0.15">
      <c r="A43" s="64" t="s">
        <v>44</v>
      </c>
      <c r="B43" s="59"/>
      <c r="C43" s="59"/>
      <c r="D43" s="60"/>
      <c r="E43" s="17"/>
    </row>
    <row r="44" spans="1:5" ht="15" customHeight="1" x14ac:dyDescent="0.15">
      <c r="A44" s="22" t="s">
        <v>45</v>
      </c>
      <c r="B44" s="6"/>
      <c r="C44" s="6"/>
      <c r="D44" s="6">
        <f t="shared" ref="D44:D51" si="2">SUM(B44+C44)</f>
        <v>0</v>
      </c>
      <c r="E44" s="17"/>
    </row>
    <row r="45" spans="1:5" ht="15" customHeight="1" x14ac:dyDescent="0.15">
      <c r="A45" s="22" t="s">
        <v>46</v>
      </c>
      <c r="B45" s="6"/>
      <c r="C45" s="6"/>
      <c r="D45" s="6">
        <f t="shared" si="2"/>
        <v>0</v>
      </c>
      <c r="E45" s="17"/>
    </row>
    <row r="46" spans="1:5" ht="15" customHeight="1" x14ac:dyDescent="0.15">
      <c r="A46" s="22" t="s">
        <v>47</v>
      </c>
      <c r="B46" s="6"/>
      <c r="C46" s="6"/>
      <c r="D46" s="6">
        <f t="shared" si="2"/>
        <v>0</v>
      </c>
      <c r="E46" s="17"/>
    </row>
    <row r="47" spans="1:5" ht="15" customHeight="1" x14ac:dyDescent="0.15">
      <c r="A47" s="22" t="s">
        <v>48</v>
      </c>
      <c r="B47" s="6"/>
      <c r="C47" s="6"/>
      <c r="D47" s="6">
        <f t="shared" si="2"/>
        <v>0</v>
      </c>
      <c r="E47" s="17"/>
    </row>
    <row r="48" spans="1:5" ht="15" customHeight="1" x14ac:dyDescent="0.15">
      <c r="A48" s="22" t="s">
        <v>49</v>
      </c>
      <c r="B48" s="6"/>
      <c r="C48" s="6"/>
      <c r="D48" s="6">
        <f t="shared" si="2"/>
        <v>0</v>
      </c>
      <c r="E48" s="17"/>
    </row>
    <row r="49" spans="1:5" ht="15" customHeight="1" x14ac:dyDescent="0.15">
      <c r="A49" s="22" t="s">
        <v>50</v>
      </c>
      <c r="B49" s="6"/>
      <c r="C49" s="6"/>
      <c r="D49" s="6">
        <f t="shared" si="2"/>
        <v>0</v>
      </c>
      <c r="E49" s="17"/>
    </row>
    <row r="50" spans="1:5" ht="15" customHeight="1" x14ac:dyDescent="0.15">
      <c r="A50" s="22" t="s">
        <v>51</v>
      </c>
      <c r="B50" s="6"/>
      <c r="C50" s="6"/>
      <c r="D50" s="6">
        <f t="shared" si="2"/>
        <v>0</v>
      </c>
      <c r="E50" s="17"/>
    </row>
    <row r="51" spans="1:5" ht="15" customHeight="1" x14ac:dyDescent="0.15">
      <c r="A51" s="22" t="s">
        <v>52</v>
      </c>
      <c r="B51" s="6"/>
      <c r="C51" s="6"/>
      <c r="D51" s="6">
        <f t="shared" si="2"/>
        <v>0</v>
      </c>
      <c r="E51" s="17"/>
    </row>
    <row r="52" spans="1:5" ht="15" customHeight="1" x14ac:dyDescent="0.15">
      <c r="A52" s="22"/>
      <c r="B52" s="6"/>
      <c r="C52" s="6"/>
      <c r="D52" s="6"/>
      <c r="E52" s="17"/>
    </row>
    <row r="53" spans="1:5" ht="15" customHeight="1" x14ac:dyDescent="0.15">
      <c r="A53" s="31" t="s">
        <v>53</v>
      </c>
      <c r="B53" s="26">
        <f>SUM(B44:B52)</f>
        <v>0</v>
      </c>
      <c r="C53" s="26">
        <f t="shared" ref="C53:D53" si="3">SUM(C44:C52)</f>
        <v>0</v>
      </c>
      <c r="D53" s="26">
        <f t="shared" si="3"/>
        <v>0</v>
      </c>
      <c r="E53" s="17"/>
    </row>
    <row r="54" spans="1:5" ht="15" customHeight="1" x14ac:dyDescent="0.15">
      <c r="A54" s="5"/>
      <c r="B54" s="6"/>
      <c r="C54" s="6"/>
      <c r="D54" s="7"/>
      <c r="E54" s="17"/>
    </row>
    <row r="55" spans="1:5" ht="15" customHeight="1" x14ac:dyDescent="0.15">
      <c r="A55" s="5"/>
      <c r="B55" s="6"/>
      <c r="C55" s="6"/>
      <c r="D55" s="7"/>
      <c r="E55" s="17"/>
    </row>
    <row r="56" spans="1:5" ht="15" customHeight="1" x14ac:dyDescent="0.15">
      <c r="A56" s="55" t="s">
        <v>54</v>
      </c>
      <c r="B56" s="56"/>
      <c r="C56" s="56"/>
      <c r="D56" s="57"/>
      <c r="E56" s="17"/>
    </row>
    <row r="57" spans="1:5" ht="15" customHeight="1" x14ac:dyDescent="0.15">
      <c r="A57" s="58" t="s">
        <v>55</v>
      </c>
      <c r="B57" s="59"/>
      <c r="C57" s="59"/>
      <c r="D57" s="60"/>
      <c r="E57" s="17"/>
    </row>
    <row r="58" spans="1:5" ht="15" customHeight="1" x14ac:dyDescent="0.15">
      <c r="A58" s="22" t="s">
        <v>56</v>
      </c>
      <c r="B58" s="6"/>
      <c r="C58" s="6"/>
      <c r="D58" s="6">
        <f t="shared" ref="D58:D69" si="4">SUM(B58+C58)</f>
        <v>0</v>
      </c>
      <c r="E58" s="17"/>
    </row>
    <row r="59" spans="1:5" ht="15" customHeight="1" x14ac:dyDescent="0.15">
      <c r="A59" s="22" t="s">
        <v>57</v>
      </c>
      <c r="B59" s="6"/>
      <c r="C59" s="6"/>
      <c r="D59" s="6">
        <f t="shared" si="4"/>
        <v>0</v>
      </c>
      <c r="E59" s="17"/>
    </row>
    <row r="60" spans="1:5" ht="15" customHeight="1" x14ac:dyDescent="0.15">
      <c r="A60" s="22" t="s">
        <v>46</v>
      </c>
      <c r="B60" s="6"/>
      <c r="C60" s="6"/>
      <c r="D60" s="6">
        <v>0</v>
      </c>
      <c r="E60" s="17"/>
    </row>
    <row r="61" spans="1:5" ht="15" customHeight="1" x14ac:dyDescent="0.15">
      <c r="A61" s="22" t="s">
        <v>58</v>
      </c>
      <c r="B61" s="6"/>
      <c r="C61" s="6"/>
      <c r="D61" s="6">
        <f t="shared" si="4"/>
        <v>0</v>
      </c>
      <c r="E61" s="17"/>
    </row>
    <row r="62" spans="1:5" ht="15" customHeight="1" x14ac:dyDescent="0.15">
      <c r="A62" s="22" t="s">
        <v>59</v>
      </c>
      <c r="B62" s="6"/>
      <c r="C62" s="6"/>
      <c r="D62" s="6">
        <v>0</v>
      </c>
      <c r="E62" s="17"/>
    </row>
    <row r="63" spans="1:5" ht="15" customHeight="1" x14ac:dyDescent="0.15">
      <c r="A63" s="22" t="s">
        <v>60</v>
      </c>
      <c r="B63" s="6"/>
      <c r="C63" s="6"/>
      <c r="D63" s="6">
        <f t="shared" si="4"/>
        <v>0</v>
      </c>
      <c r="E63" s="17"/>
    </row>
    <row r="64" spans="1:5" ht="15" customHeight="1" x14ac:dyDescent="0.15">
      <c r="A64" s="58" t="s">
        <v>35</v>
      </c>
      <c r="B64" s="59"/>
      <c r="C64" s="59"/>
      <c r="D64" s="60"/>
      <c r="E64" s="17"/>
    </row>
    <row r="65" spans="1:5" ht="15" x14ac:dyDescent="0.15">
      <c r="A65" s="22" t="s">
        <v>61</v>
      </c>
      <c r="B65" s="6"/>
      <c r="C65" s="6"/>
      <c r="D65" s="6">
        <f t="shared" ref="D65" si="5">SUM(B65+C65)</f>
        <v>0</v>
      </c>
      <c r="E65" s="17"/>
    </row>
    <row r="66" spans="1:5" ht="15" x14ac:dyDescent="0.15">
      <c r="A66" s="58" t="s">
        <v>62</v>
      </c>
      <c r="B66" s="59"/>
      <c r="C66" s="59"/>
      <c r="D66" s="60"/>
      <c r="E66" s="17"/>
    </row>
    <row r="67" spans="1:5" ht="15" customHeight="1" x14ac:dyDescent="0.15">
      <c r="A67" s="22" t="s">
        <v>63</v>
      </c>
      <c r="B67" s="6"/>
      <c r="C67" s="6"/>
      <c r="D67" s="6">
        <f t="shared" si="4"/>
        <v>0</v>
      </c>
      <c r="E67" s="17"/>
    </row>
    <row r="68" spans="1:5" ht="15" customHeight="1" x14ac:dyDescent="0.15">
      <c r="A68" s="58" t="s">
        <v>64</v>
      </c>
      <c r="B68" s="59"/>
      <c r="C68" s="59"/>
      <c r="D68" s="60"/>
      <c r="E68" s="17"/>
    </row>
    <row r="69" spans="1:5" ht="15" customHeight="1" x14ac:dyDescent="0.15">
      <c r="A69" s="22" t="s">
        <v>65</v>
      </c>
      <c r="B69" s="6"/>
      <c r="C69" s="6"/>
      <c r="D69" s="6">
        <f t="shared" si="4"/>
        <v>0</v>
      </c>
      <c r="E69" s="17"/>
    </row>
    <row r="70" spans="1:5" ht="15" customHeight="1" x14ac:dyDescent="0.15">
      <c r="A70" s="22"/>
      <c r="B70" s="6"/>
      <c r="C70" s="6"/>
      <c r="D70" s="6"/>
      <c r="E70" s="17"/>
    </row>
    <row r="71" spans="1:5" ht="15" customHeight="1" x14ac:dyDescent="0.15">
      <c r="A71" s="31" t="s">
        <v>66</v>
      </c>
      <c r="B71" s="26">
        <f>SUM(B57:B70)</f>
        <v>0</v>
      </c>
      <c r="C71" s="26">
        <f t="shared" ref="C71:D71" si="6">SUM(C57:C70)</f>
        <v>0</v>
      </c>
      <c r="D71" s="26">
        <f t="shared" si="6"/>
        <v>0</v>
      </c>
      <c r="E71" s="17"/>
    </row>
    <row r="72" spans="1:5" ht="15" customHeight="1" x14ac:dyDescent="0.15">
      <c r="B72" s="6"/>
      <c r="C72" s="6"/>
      <c r="D72" s="7"/>
      <c r="E72" s="17"/>
    </row>
    <row r="73" spans="1:5" ht="15" customHeight="1" x14ac:dyDescent="0.15">
      <c r="A73" s="31" t="s">
        <v>67</v>
      </c>
      <c r="B73" s="26">
        <f>B39+B53+B71</f>
        <v>0</v>
      </c>
      <c r="C73" s="26">
        <f>C39+C53+C71</f>
        <v>0</v>
      </c>
      <c r="D73" s="26">
        <f>D39+D53+D71</f>
        <v>0</v>
      </c>
      <c r="E73" s="17"/>
    </row>
    <row r="74" spans="1:5" ht="15" customHeight="1" x14ac:dyDescent="0.15">
      <c r="A74" s="5"/>
      <c r="B74" s="6"/>
      <c r="C74" s="6"/>
      <c r="D74" s="7"/>
      <c r="E74" s="17"/>
    </row>
    <row r="75" spans="1:5" ht="15" customHeight="1" x14ac:dyDescent="0.15">
      <c r="A75" s="8"/>
      <c r="B75" s="8"/>
      <c r="C75" s="8"/>
      <c r="D75" s="9"/>
      <c r="E75" s="17"/>
    </row>
    <row r="76" spans="1:5" ht="15" customHeight="1" x14ac:dyDescent="0.15">
      <c r="A76" s="8"/>
      <c r="B76" s="8"/>
      <c r="C76" s="8"/>
      <c r="D76" s="9"/>
      <c r="E76" s="17"/>
    </row>
    <row r="77" spans="1:5" ht="15" customHeight="1" x14ac:dyDescent="0.15">
      <c r="A77" s="8"/>
      <c r="B77" s="8"/>
      <c r="C77" s="8"/>
      <c r="D77" s="9"/>
      <c r="E77" s="17"/>
    </row>
    <row r="78" spans="1:5" ht="23.25" customHeight="1" x14ac:dyDescent="0.15">
      <c r="A78" s="86" t="s">
        <v>68</v>
      </c>
      <c r="B78" s="86"/>
      <c r="C78" s="86"/>
      <c r="D78" s="86"/>
      <c r="E78" s="17"/>
    </row>
    <row r="79" spans="1:5" ht="23.25" customHeight="1" x14ac:dyDescent="0.15">
      <c r="A79" s="51" t="s">
        <v>69</v>
      </c>
      <c r="B79" s="51"/>
      <c r="C79" s="51"/>
      <c r="D79" s="51"/>
      <c r="E79" s="17"/>
    </row>
    <row r="80" spans="1:5" ht="30" customHeight="1" x14ac:dyDescent="0.15">
      <c r="A80" s="19" t="s">
        <v>70</v>
      </c>
      <c r="B80" s="20" t="s">
        <v>21</v>
      </c>
      <c r="C80" s="21" t="s">
        <v>22</v>
      </c>
      <c r="D80" s="20" t="s">
        <v>23</v>
      </c>
      <c r="E80" s="17"/>
    </row>
    <row r="81" spans="1:5" ht="15" customHeight="1" x14ac:dyDescent="0.15">
      <c r="A81" s="5" t="s">
        <v>71</v>
      </c>
      <c r="B81" s="6"/>
      <c r="C81" s="6"/>
      <c r="D81" s="7">
        <f>SUM(B81:C81)</f>
        <v>0</v>
      </c>
      <c r="E81" s="17"/>
    </row>
    <row r="82" spans="1:5" ht="15" customHeight="1" x14ac:dyDescent="0.15">
      <c r="A82" s="5" t="s">
        <v>72</v>
      </c>
      <c r="B82" s="6"/>
      <c r="C82" s="6"/>
      <c r="D82" s="7">
        <f>SUM(B82:C82)</f>
        <v>0</v>
      </c>
      <c r="E82" s="17"/>
    </row>
    <row r="83" spans="1:5" ht="15" customHeight="1" x14ac:dyDescent="0.15">
      <c r="A83" s="5" t="s">
        <v>73</v>
      </c>
      <c r="B83" s="6"/>
      <c r="C83" s="6"/>
      <c r="D83" s="7">
        <f>SUM(B83:C83)</f>
        <v>0</v>
      </c>
      <c r="E83" s="17"/>
    </row>
    <row r="84" spans="1:5" ht="15" customHeight="1" x14ac:dyDescent="0.15">
      <c r="A84" s="5" t="s">
        <v>74</v>
      </c>
      <c r="B84" s="6"/>
      <c r="C84" s="6"/>
      <c r="D84" s="7">
        <f>SUM(B84:C84)</f>
        <v>0</v>
      </c>
      <c r="E84" s="17"/>
    </row>
    <row r="85" spans="1:5" ht="15" customHeight="1" x14ac:dyDescent="0.15">
      <c r="A85" s="5"/>
      <c r="B85" s="6"/>
      <c r="C85" s="6"/>
      <c r="D85" s="7">
        <f>SUM(B85:C85)</f>
        <v>0</v>
      </c>
      <c r="E85" s="17"/>
    </row>
    <row r="86" spans="1:5" ht="15" customHeight="1" x14ac:dyDescent="0.15">
      <c r="A86" s="31" t="s">
        <v>67</v>
      </c>
      <c r="B86" s="32"/>
      <c r="C86" s="32"/>
      <c r="D86" s="33">
        <f>SUM(D81:D85)</f>
        <v>0</v>
      </c>
      <c r="E86" s="17"/>
    </row>
    <row r="87" spans="1:5" ht="15" customHeight="1" x14ac:dyDescent="0.15">
      <c r="A87" s="8"/>
      <c r="B87" s="8"/>
      <c r="C87" s="8"/>
      <c r="D87" s="9"/>
      <c r="E87" s="17"/>
    </row>
    <row r="88" spans="1:5" ht="15" customHeight="1" x14ac:dyDescent="0.15">
      <c r="A88" s="8"/>
      <c r="B88" s="8"/>
      <c r="C88" s="8"/>
      <c r="D88" s="9"/>
      <c r="E88" s="17"/>
    </row>
    <row r="89" spans="1:5" ht="15" customHeight="1" x14ac:dyDescent="0.15">
      <c r="A89" s="8"/>
      <c r="B89" s="8"/>
      <c r="C89" s="8"/>
      <c r="D89" s="9"/>
      <c r="E89" s="17"/>
    </row>
    <row r="90" spans="1:5" ht="23.25" customHeight="1" x14ac:dyDescent="0.15">
      <c r="A90" s="65" t="s">
        <v>75</v>
      </c>
      <c r="B90" s="65"/>
      <c r="C90" s="65"/>
      <c r="D90" s="65"/>
      <c r="E90" s="17"/>
    </row>
    <row r="91" spans="1:5" ht="23.25" customHeight="1" x14ac:dyDescent="0.15">
      <c r="A91" s="87" t="s">
        <v>76</v>
      </c>
      <c r="B91" s="88"/>
      <c r="C91" s="88"/>
      <c r="D91" s="89"/>
      <c r="E91" s="17"/>
    </row>
    <row r="92" spans="1:5" ht="30" customHeight="1" x14ac:dyDescent="0.15">
      <c r="A92" s="28" t="s">
        <v>77</v>
      </c>
      <c r="B92" s="29" t="s">
        <v>78</v>
      </c>
      <c r="C92" s="30" t="s">
        <v>22</v>
      </c>
      <c r="D92" s="29" t="s">
        <v>79</v>
      </c>
      <c r="E92" s="17"/>
    </row>
    <row r="93" spans="1:5" ht="15" customHeight="1" x14ac:dyDescent="0.15">
      <c r="A93" s="5" t="s">
        <v>80</v>
      </c>
      <c r="B93" s="6"/>
      <c r="C93" s="6"/>
      <c r="D93" s="6">
        <f>SUM(B93:C93)</f>
        <v>0</v>
      </c>
      <c r="E93" s="17"/>
    </row>
    <row r="94" spans="1:5" ht="15" customHeight="1" x14ac:dyDescent="0.15">
      <c r="A94" s="5" t="s">
        <v>81</v>
      </c>
      <c r="B94" s="6"/>
      <c r="C94" s="6"/>
      <c r="D94" s="6">
        <f>SUM(B94:C94)</f>
        <v>0</v>
      </c>
      <c r="E94" s="17"/>
    </row>
    <row r="95" spans="1:5" ht="15" customHeight="1" x14ac:dyDescent="0.15">
      <c r="A95" s="5" t="s">
        <v>82</v>
      </c>
      <c r="B95" s="6"/>
      <c r="C95" s="6"/>
      <c r="D95" s="6">
        <f>SUM(B95:C95)</f>
        <v>0</v>
      </c>
      <c r="E95" s="17"/>
    </row>
    <row r="96" spans="1:5" ht="15" customHeight="1" x14ac:dyDescent="0.15">
      <c r="A96" s="5"/>
      <c r="B96" s="6"/>
      <c r="C96" s="6"/>
      <c r="D96" s="6"/>
      <c r="E96" s="17"/>
    </row>
    <row r="97" spans="1:5" ht="15" customHeight="1" x14ac:dyDescent="0.15">
      <c r="A97" s="5"/>
      <c r="B97" s="6"/>
      <c r="C97" s="6"/>
      <c r="D97" s="6"/>
      <c r="E97" s="17"/>
    </row>
    <row r="98" spans="1:5" ht="15" customHeight="1" x14ac:dyDescent="0.15">
      <c r="A98" s="10"/>
      <c r="B98" s="34"/>
      <c r="C98" s="34"/>
      <c r="D98" s="12"/>
      <c r="E98" s="17"/>
    </row>
    <row r="99" spans="1:5" ht="15" customHeight="1" x14ac:dyDescent="0.15">
      <c r="A99" s="10"/>
      <c r="B99" s="34"/>
      <c r="C99" s="34"/>
      <c r="D99" s="12"/>
      <c r="E99" s="17"/>
    </row>
    <row r="100" spans="1:5" ht="15" customHeight="1" x14ac:dyDescent="0.15">
      <c r="A100" s="8"/>
      <c r="B100" s="8"/>
      <c r="C100" s="8"/>
      <c r="D100" s="9"/>
      <c r="E100" s="17"/>
    </row>
    <row r="101" spans="1:5" ht="23.25" customHeight="1" x14ac:dyDescent="0.15">
      <c r="A101" s="65" t="s">
        <v>83</v>
      </c>
      <c r="B101" s="65"/>
      <c r="C101" s="65"/>
      <c r="D101" s="65"/>
      <c r="E101" s="17"/>
    </row>
    <row r="102" spans="1:5" ht="23.25" customHeight="1" x14ac:dyDescent="0.15">
      <c r="A102" s="87" t="s">
        <v>84</v>
      </c>
      <c r="B102" s="88"/>
      <c r="C102" s="88"/>
      <c r="D102" s="89"/>
      <c r="E102" s="17"/>
    </row>
    <row r="103" spans="1:5" s="18" customFormat="1" ht="30" customHeight="1" x14ac:dyDescent="0.15">
      <c r="A103" s="19" t="s">
        <v>85</v>
      </c>
      <c r="B103" s="20" t="s">
        <v>21</v>
      </c>
      <c r="C103" s="21" t="s">
        <v>22</v>
      </c>
      <c r="D103" s="20" t="s">
        <v>23</v>
      </c>
    </row>
    <row r="104" spans="1:5" ht="16.5" customHeight="1" x14ac:dyDescent="0.15">
      <c r="A104" s="5" t="s">
        <v>86</v>
      </c>
      <c r="B104" s="36"/>
      <c r="C104" s="36"/>
      <c r="D104" s="27">
        <f t="shared" ref="D104:D109" si="7">SUM(B104:C104)</f>
        <v>0</v>
      </c>
      <c r="E104" s="17"/>
    </row>
    <row r="105" spans="1:5" ht="15" x14ac:dyDescent="0.15">
      <c r="A105" s="5" t="s">
        <v>87</v>
      </c>
      <c r="B105" s="36"/>
      <c r="C105" s="36"/>
      <c r="D105" s="27">
        <f t="shared" si="7"/>
        <v>0</v>
      </c>
      <c r="E105" s="17"/>
    </row>
    <row r="106" spans="1:5" ht="15" x14ac:dyDescent="0.15">
      <c r="A106" s="5" t="s">
        <v>88</v>
      </c>
      <c r="B106" s="36"/>
      <c r="C106" s="36"/>
      <c r="D106" s="27">
        <f t="shared" si="7"/>
        <v>0</v>
      </c>
      <c r="E106" s="17"/>
    </row>
    <row r="107" spans="1:5" ht="15" x14ac:dyDescent="0.15">
      <c r="A107" s="5"/>
      <c r="B107" s="36"/>
      <c r="C107" s="36"/>
      <c r="D107" s="27">
        <f t="shared" si="7"/>
        <v>0</v>
      </c>
      <c r="E107" s="17"/>
    </row>
    <row r="108" spans="1:5" ht="15" x14ac:dyDescent="0.15">
      <c r="A108" s="5"/>
      <c r="B108" s="36"/>
      <c r="C108" s="36"/>
      <c r="D108" s="27">
        <f t="shared" si="7"/>
        <v>0</v>
      </c>
      <c r="E108" s="17"/>
    </row>
    <row r="109" spans="1:5" ht="15" x14ac:dyDescent="0.15">
      <c r="A109" s="5"/>
      <c r="B109" s="36"/>
      <c r="C109" s="36"/>
      <c r="D109" s="27">
        <f t="shared" si="7"/>
        <v>0</v>
      </c>
      <c r="E109" s="17"/>
    </row>
    <row r="110" spans="1:5" ht="15" x14ac:dyDescent="0.15">
      <c r="A110" s="31" t="s">
        <v>67</v>
      </c>
      <c r="B110" s="26">
        <f>SUM(B104:B109)</f>
        <v>0</v>
      </c>
      <c r="C110" s="26">
        <f t="shared" ref="C110:D110" si="8">SUM(C104:C109)</f>
        <v>0</v>
      </c>
      <c r="D110" s="26">
        <f t="shared" si="8"/>
        <v>0</v>
      </c>
      <c r="E110" s="17"/>
    </row>
    <row r="111" spans="1:5" ht="15" x14ac:dyDescent="0.15">
      <c r="A111" s="10"/>
      <c r="B111" s="10"/>
      <c r="C111" s="10"/>
      <c r="D111" s="9"/>
      <c r="E111" s="17"/>
    </row>
    <row r="112" spans="1:5" ht="15" x14ac:dyDescent="0.15">
      <c r="A112" s="10"/>
      <c r="B112" s="10"/>
      <c r="C112" s="10"/>
      <c r="D112" s="9"/>
      <c r="E112" s="17"/>
    </row>
    <row r="113" spans="1:6" ht="19" x14ac:dyDescent="0.15">
      <c r="A113" s="90" t="s">
        <v>89</v>
      </c>
      <c r="B113" s="90"/>
      <c r="C113" s="90"/>
      <c r="D113" s="90"/>
      <c r="E113" s="17"/>
    </row>
    <row r="114" spans="1:6" s="18" customFormat="1" ht="30" customHeight="1" x14ac:dyDescent="0.15">
      <c r="A114" s="37" t="s">
        <v>90</v>
      </c>
      <c r="B114" s="38" t="s">
        <v>21</v>
      </c>
      <c r="C114" s="39" t="s">
        <v>22</v>
      </c>
      <c r="D114" s="38" t="s">
        <v>23</v>
      </c>
    </row>
    <row r="115" spans="1:6" ht="15" x14ac:dyDescent="0.15">
      <c r="A115" s="40" t="s">
        <v>91</v>
      </c>
      <c r="B115" s="41">
        <f>B73+B86+B110</f>
        <v>0</v>
      </c>
      <c r="C115" s="41">
        <f t="shared" ref="C115:D115" si="9">C73+C86+C110</f>
        <v>0</v>
      </c>
      <c r="D115" s="41">
        <f t="shared" si="9"/>
        <v>0</v>
      </c>
      <c r="E115" s="17"/>
    </row>
    <row r="116" spans="1:6" ht="15" x14ac:dyDescent="0.15">
      <c r="A116" s="11"/>
      <c r="B116" s="10"/>
      <c r="C116" s="10"/>
      <c r="D116" s="12"/>
      <c r="E116" s="17"/>
    </row>
    <row r="117" spans="1:6" ht="15" x14ac:dyDescent="0.15">
      <c r="A117" s="11"/>
      <c r="B117" s="10"/>
      <c r="C117" s="10"/>
      <c r="D117" s="12"/>
      <c r="E117" s="17"/>
    </row>
    <row r="118" spans="1:6" ht="19" x14ac:dyDescent="0.15">
      <c r="A118" s="91" t="s">
        <v>92</v>
      </c>
      <c r="B118" s="92"/>
      <c r="C118" s="92"/>
      <c r="D118" s="92"/>
      <c r="E118" s="92"/>
      <c r="F118" s="93"/>
    </row>
    <row r="119" spans="1:6" ht="23.25" customHeight="1" x14ac:dyDescent="0.15">
      <c r="A119" s="87" t="s">
        <v>93</v>
      </c>
      <c r="B119" s="88"/>
      <c r="C119" s="88"/>
      <c r="D119" s="88"/>
      <c r="E119" s="88"/>
      <c r="F119" s="88"/>
    </row>
    <row r="120" spans="1:6" s="18" customFormat="1" ht="30" customHeight="1" x14ac:dyDescent="0.15">
      <c r="A120" s="19" t="s">
        <v>94</v>
      </c>
      <c r="B120" s="20" t="s">
        <v>21</v>
      </c>
      <c r="C120" s="21" t="s">
        <v>22</v>
      </c>
      <c r="D120" s="20" t="s">
        <v>23</v>
      </c>
      <c r="E120" s="20" t="s">
        <v>95</v>
      </c>
      <c r="F120" s="21" t="s">
        <v>96</v>
      </c>
    </row>
    <row r="121" spans="1:6" ht="15" x14ac:dyDescent="0.15">
      <c r="A121" s="5" t="s">
        <v>97</v>
      </c>
      <c r="B121" s="35"/>
      <c r="C121" s="35"/>
      <c r="D121" s="6">
        <f>SUM(B121:C121)</f>
        <v>0</v>
      </c>
      <c r="E121" s="13">
        <f>IFERROR((D121/D126)*100%,0)</f>
        <v>0</v>
      </c>
      <c r="F121" s="44"/>
    </row>
    <row r="122" spans="1:6" ht="15" x14ac:dyDescent="0.15">
      <c r="A122" s="5" t="s">
        <v>98</v>
      </c>
      <c r="B122" s="35"/>
      <c r="C122" s="35"/>
      <c r="D122" s="6">
        <f t="shared" ref="D122:D123" si="10">SUM(B122:C122)</f>
        <v>0</v>
      </c>
      <c r="E122" s="13">
        <f t="shared" ref="E122:E126" si="11">IFERROR((D122/D127)*100%,0)</f>
        <v>0</v>
      </c>
      <c r="F122" s="45"/>
    </row>
    <row r="123" spans="1:6" ht="15" x14ac:dyDescent="0.15">
      <c r="A123" s="5" t="s">
        <v>99</v>
      </c>
      <c r="B123" s="35"/>
      <c r="C123" s="35"/>
      <c r="D123" s="6">
        <f t="shared" si="10"/>
        <v>0</v>
      </c>
      <c r="E123" s="13">
        <f t="shared" si="11"/>
        <v>0</v>
      </c>
      <c r="F123" s="45"/>
    </row>
    <row r="124" spans="1:6" ht="15" x14ac:dyDescent="0.15">
      <c r="A124" s="5"/>
      <c r="B124" s="35"/>
      <c r="C124" s="35"/>
      <c r="D124" s="6"/>
      <c r="E124" s="13">
        <f t="shared" si="11"/>
        <v>0</v>
      </c>
      <c r="F124" s="45"/>
    </row>
    <row r="125" spans="1:6" ht="15" x14ac:dyDescent="0.15">
      <c r="A125" s="5"/>
      <c r="B125" s="35"/>
      <c r="C125" s="35"/>
      <c r="D125" s="6"/>
      <c r="E125" s="13">
        <f t="shared" si="11"/>
        <v>0</v>
      </c>
      <c r="F125" s="45"/>
    </row>
    <row r="126" spans="1:6" ht="15" x14ac:dyDescent="0.15">
      <c r="A126" s="31" t="s">
        <v>67</v>
      </c>
      <c r="B126" s="26">
        <f>SUM(B121:B125)</f>
        <v>0</v>
      </c>
      <c r="C126" s="26">
        <f t="shared" ref="C126:D126" si="12">SUM(C121:C125)</f>
        <v>0</v>
      </c>
      <c r="D126" s="26">
        <f t="shared" si="12"/>
        <v>0</v>
      </c>
      <c r="E126" s="46">
        <f t="shared" si="11"/>
        <v>0</v>
      </c>
      <c r="F126" s="47"/>
    </row>
    <row r="127" spans="1:6" ht="15" x14ac:dyDescent="0.15">
      <c r="A127" s="10"/>
      <c r="B127" s="10"/>
      <c r="C127" s="10"/>
      <c r="D127" s="12"/>
      <c r="E127" s="42"/>
      <c r="F127" s="43"/>
    </row>
    <row r="128" spans="1:6" ht="15" x14ac:dyDescent="0.15">
      <c r="A128" s="10"/>
      <c r="B128" s="10"/>
      <c r="C128" s="10"/>
      <c r="D128" s="12"/>
      <c r="E128" s="42"/>
      <c r="F128" s="43"/>
    </row>
    <row r="129" spans="1:5" ht="15" x14ac:dyDescent="0.15">
      <c r="A129" s="10"/>
      <c r="B129" s="10"/>
      <c r="C129" s="10"/>
      <c r="D129" s="12"/>
      <c r="E129" s="17"/>
    </row>
    <row r="130" spans="1:5" ht="15" x14ac:dyDescent="0.15">
      <c r="A130" s="10"/>
      <c r="B130" s="10"/>
      <c r="C130" s="10"/>
      <c r="D130" s="10"/>
      <c r="E130" s="17"/>
    </row>
    <row r="131" spans="1:5" ht="14" x14ac:dyDescent="0.15">
      <c r="A131" s="17"/>
      <c r="B131" s="17"/>
      <c r="C131" s="17"/>
      <c r="D131" s="17"/>
      <c r="E131" s="17"/>
    </row>
    <row r="132" spans="1:5" ht="14" x14ac:dyDescent="0.15">
      <c r="A132" s="17"/>
      <c r="B132" s="17"/>
      <c r="C132" s="17"/>
      <c r="D132" s="17"/>
      <c r="E132" s="17"/>
    </row>
    <row r="133" spans="1:5" ht="16" x14ac:dyDescent="0.15">
      <c r="A133" s="18"/>
      <c r="B133" s="18"/>
      <c r="C133" s="18"/>
      <c r="D133" s="18"/>
    </row>
    <row r="134" spans="1:5" ht="16" x14ac:dyDescent="0.15">
      <c r="A134" s="18"/>
      <c r="B134" s="18"/>
      <c r="C134" s="18"/>
      <c r="D134" s="18"/>
    </row>
  </sheetData>
  <sheetProtection insertRows="0" selectLockedCells="1"/>
  <mergeCells count="36">
    <mergeCell ref="A102:D102"/>
    <mergeCell ref="A113:D113"/>
    <mergeCell ref="A118:F118"/>
    <mergeCell ref="A119:F119"/>
    <mergeCell ref="A91:D91"/>
    <mergeCell ref="A101:D101"/>
    <mergeCell ref="A90:D90"/>
    <mergeCell ref="A1:D1"/>
    <mergeCell ref="B3:D3"/>
    <mergeCell ref="B5:D5"/>
    <mergeCell ref="B6:D6"/>
    <mergeCell ref="B4:D4"/>
    <mergeCell ref="B7:D7"/>
    <mergeCell ref="A9:D9"/>
    <mergeCell ref="A10:D10"/>
    <mergeCell ref="A11:D11"/>
    <mergeCell ref="A12:D12"/>
    <mergeCell ref="A14:D14"/>
    <mergeCell ref="A78:D78"/>
    <mergeCell ref="A64:D64"/>
    <mergeCell ref="A56:D56"/>
    <mergeCell ref="A17:D17"/>
    <mergeCell ref="A79:D79"/>
    <mergeCell ref="A15:D15"/>
    <mergeCell ref="A20:D20"/>
    <mergeCell ref="A21:D21"/>
    <mergeCell ref="A27:D27"/>
    <mergeCell ref="A42:D42"/>
    <mergeCell ref="A31:D31"/>
    <mergeCell ref="A33:D33"/>
    <mergeCell ref="A36:D36"/>
    <mergeCell ref="A18:D18"/>
    <mergeCell ref="A43:D43"/>
    <mergeCell ref="A57:D57"/>
    <mergeCell ref="A66:D66"/>
    <mergeCell ref="A68:D68"/>
  </mergeCells>
  <phoneticPr fontId="1" type="noConversion"/>
  <pageMargins left="0.92" right="0.27559055118110237" top="0.62992125984251968" bottom="0.31496062992125984" header="0.62" footer="0.23622047244094491"/>
  <pageSetup paperSize="9" scale="26" orientation="landscape" horizontalDpi="360" verticalDpi="36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A008CFB054674D903A60B239219506" ma:contentTypeVersion="30" ma:contentTypeDescription="Create a new document." ma:contentTypeScope="" ma:versionID="25b14f39542c2de57fba8eaaa7a47f32">
  <xsd:schema xmlns:xsd="http://www.w3.org/2001/XMLSchema" xmlns:xs="http://www.w3.org/2001/XMLSchema" xmlns:p="http://schemas.microsoft.com/office/2006/metadata/properties" xmlns:ns1="http://schemas.microsoft.com/sharepoint/v3" xmlns:ns2="50ffbb92-ac07-49cb-93ed-ed6ebc4066c6" xmlns:ns3="638318b3-0721-46bf-b617-bd34828cb1b0" xmlns:ns4="ed29e90d-12b3-4081-a639-e234c3e8a97a" targetNamespace="http://schemas.microsoft.com/office/2006/metadata/properties" ma:root="true" ma:fieldsID="36ce9e82f44fb257bed32117436ec59d" ns1:_="" ns2:_="" ns3:_="" ns4:_="">
    <xsd:import namespace="http://schemas.microsoft.com/sharepoint/v3"/>
    <xsd:import namespace="50ffbb92-ac07-49cb-93ed-ed6ebc4066c6"/>
    <xsd:import namespace="638318b3-0721-46bf-b617-bd34828cb1b0"/>
    <xsd:import namespace="ed29e90d-12b3-4081-a639-e234c3e8a97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Vendor" minOccurs="0"/>
                <xsd:element ref="ns3:Comments" minOccurs="0"/>
                <xsd:element ref="ns3:_Flow_SignoffStatus" minOccurs="0"/>
                <xsd:element ref="ns3:LinktoFolder" minOccurs="0"/>
                <xsd:element ref="ns3:MediaServiceBillingMetadata" minOccurs="0"/>
                <xsd:element ref="ns3:Parent_x002f_RelatedTo" minOccurs="0"/>
                <xsd:element ref="ns3:PCMHubRef" minOccurs="0"/>
                <xsd:element ref="ns3:PCMHubModu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ffbb92-ac07-49cb-93ed-ed6ebc4066c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318b3-0721-46bf-b617-bd34828cb1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ede894a-157a-4d9f-8cea-9a2bfdc7e6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Vendor" ma:index="29" nillable="true" ma:displayName="Vendor" ma:format="Dropdown" ma:internalName="Vendor">
      <xsd:simpleType>
        <xsd:restriction base="dms:Text">
          <xsd:maxLength value="255"/>
        </xsd:restriction>
      </xsd:simpleType>
    </xsd:element>
    <xsd:element name="Comments" ma:index="30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_Flow_SignoffStatus" ma:index="31" nillable="true" ma:displayName="Sign-off status" ma:internalName="_x0024_Resources_x003a_core_x002c_Signoff_Status">
      <xsd:simpleType>
        <xsd:restriction base="dms:Text"/>
      </xsd:simpleType>
    </xsd:element>
    <xsd:element name="LinktoFolder" ma:index="32" nillable="true" ma:displayName="Link to Folder" ma:format="Hyperlink" ma:internalName="LinktoFold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  <xsd:element name="Parent_x002f_RelatedTo" ma:index="34" nillable="true" ma:displayName="Parent/Related To" ma:format="Hyperlink" ma:internalName="Parent_x002f_RelatedT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CMHubRef" ma:index="35" nillable="true" ma:displayName="PCM Hub Ref" ma:format="Dropdown" ma:internalName="PCMHubRef">
      <xsd:simpleType>
        <xsd:restriction base="dms:Text">
          <xsd:maxLength value="255"/>
        </xsd:restriction>
      </xsd:simpleType>
    </xsd:element>
    <xsd:element name="PCMHubModule" ma:index="36" nillable="true" ma:displayName="PCM Hub Module" ma:format="Dropdown" ma:internalName="PCMHubModul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9e90d-12b3-4081-a639-e234c3e8a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8318b3-0721-46bf-b617-bd34828cb1b0">
      <Terms xmlns="http://schemas.microsoft.com/office/infopath/2007/PartnerControls"/>
    </lcf76f155ced4ddcb4097134ff3c332f>
    <_Flow_SignoffStatus xmlns="638318b3-0721-46bf-b617-bd34828cb1b0" xsi:nil="true"/>
    <_ip_UnifiedCompliancePolicyUIAction xmlns="http://schemas.microsoft.com/sharepoint/v3" xsi:nil="true"/>
    <PCMHubModule xmlns="638318b3-0721-46bf-b617-bd34828cb1b0" xsi:nil="true"/>
    <_ip_UnifiedCompliancePolicyProperties xmlns="http://schemas.microsoft.com/sharepoint/v3" xsi:nil="true"/>
    <Vendor xmlns="638318b3-0721-46bf-b617-bd34828cb1b0" xsi:nil="true"/>
    <Comments xmlns="638318b3-0721-46bf-b617-bd34828cb1b0" xsi:nil="true"/>
    <Parent_x002f_RelatedTo xmlns="638318b3-0721-46bf-b617-bd34828cb1b0">
      <Url xsi:nil="true"/>
      <Description xsi:nil="true"/>
    </Parent_x002f_RelatedTo>
    <PCMHubRef xmlns="638318b3-0721-46bf-b617-bd34828cb1b0" xsi:nil="true"/>
    <LinktoFolder xmlns="638318b3-0721-46bf-b617-bd34828cb1b0">
      <Url xsi:nil="true"/>
      <Description xsi:nil="true"/>
    </LinktoFolder>
    <_dlc_DocId xmlns="50ffbb92-ac07-49cb-93ed-ed6ebc4066c6">YKY3ZDJJMPXV-692161407-51844</_dlc_DocId>
    <_dlc_DocIdUrl xmlns="50ffbb92-ac07-49cb-93ed-ed6ebc4066c6">
      <Url>https://tourismaustralia.sharepoint.com/sites/ProcurementandTendering/_layouts/15/DocIdRedir.aspx?ID=YKY3ZDJJMPXV-692161407-51844</Url>
      <Description>YKY3ZDJJMPXV-692161407-51844</Description>
    </_dlc_DocIdUrl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A4437D5-E4C2-4C3F-B1EA-AE33374EE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0ffbb92-ac07-49cb-93ed-ed6ebc4066c6"/>
    <ds:schemaRef ds:uri="638318b3-0721-46bf-b617-bd34828cb1b0"/>
    <ds:schemaRef ds:uri="ed29e90d-12b3-4081-a639-e234c3e8a9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FB1279-A776-47C3-BF1F-5A4F0EDD1D5D}">
  <ds:schemaRefs>
    <ds:schemaRef ds:uri="638318b3-0721-46bf-b617-bd34828cb1b0"/>
    <ds:schemaRef ds:uri="50ffbb92-ac07-49cb-93ed-ed6ebc4066c6"/>
    <ds:schemaRef ds:uri="http://purl.org/dc/dcmitype/"/>
    <ds:schemaRef ds:uri="ed29e90d-12b3-4081-a639-e234c3e8a97a"/>
    <ds:schemaRef ds:uri="http://purl.org/dc/terms/"/>
    <ds:schemaRef ds:uri="http://schemas.microsoft.com/sharepoint/v3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BE7083E-6A92-4343-8FA9-D9776A1BF7D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68A8506-962F-4089-8184-9DE5BDC1B16B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4093ABB0-6289-49DA-B287-02227BA6C036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Tender Pricing</vt:lpstr>
      <vt:lpstr>'Tender Pricing'!Print_Area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Pricing Spreadsheet</dc:title>
  <dc:subject/>
  <dc:creator>Nadia Barletta</dc:creator>
  <cp:keywords/>
  <dc:description/>
  <cp:lastModifiedBy>Carmen Russell</cp:lastModifiedBy>
  <cp:revision/>
  <dcterms:created xsi:type="dcterms:W3CDTF">2005-11-30T06:10:36Z</dcterms:created>
  <dcterms:modified xsi:type="dcterms:W3CDTF">2026-07-20T05:02:52Z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Type">
    <vt:lpwstr>1</vt:lpwstr>
  </property>
  <property fmtid="{D5CDD505-2E9C-101B-9397-08002B2CF9AE}" pid="3" name="ContentType">
    <vt:lpwstr>Team Spreadsheet</vt:lpwstr>
  </property>
  <property fmtid="{D5CDD505-2E9C-101B-9397-08002B2CF9AE}" pid="4" name="ContentTypeId">
    <vt:lpwstr>0x010100FEA008CFB054674D903A60B239219506</vt:lpwstr>
  </property>
  <property fmtid="{D5CDD505-2E9C-101B-9397-08002B2CF9AE}" pid="5" name="display_urn:schemas-microsoft-com:office:office#Editor">
    <vt:lpwstr>Bikram Punia</vt:lpwstr>
  </property>
  <property fmtid="{D5CDD505-2E9C-101B-9397-08002B2CF9AE}" pid="6" name="OriginalFilePath">
    <vt:lpwstr/>
  </property>
  <property fmtid="{D5CDD505-2E9C-101B-9397-08002B2CF9AE}" pid="7" name="Team Group">
    <vt:lpwstr>211;#Finance|c5376391-b07b-43ac-804f-ae4978ffb03b</vt:lpwstr>
  </property>
  <property fmtid="{D5CDD505-2E9C-101B-9397-08002B2CF9AE}" pid="8" name="m235001d4c4b443697e6434015145462">
    <vt:lpwstr>Templates|ad488c35-9dee-44a9-83af-ddfe67bdb066</vt:lpwstr>
  </property>
  <property fmtid="{D5CDD505-2E9C-101B-9397-08002B2CF9AE}" pid="9" name="Team Name">
    <vt:lpwstr>212;#Procurement|8ef7d12e-5561-4b2a-be27-f951ae7fd88a</vt:lpwstr>
  </property>
  <property fmtid="{D5CDD505-2E9C-101B-9397-08002B2CF9AE}" pid="10" name="i1610d38131443ef95b7acc034b7b8b4">
    <vt:lpwstr>Finance|c5376391-b07b-43ac-804f-ae4978ffb03b</vt:lpwstr>
  </property>
  <property fmtid="{D5CDD505-2E9C-101B-9397-08002B2CF9AE}" pid="11" name="mdc6c2c1342c4e1bacfc52b82825965b">
    <vt:lpwstr>Procurement|8ef7d12e-5561-4b2a-be27-f951ae7fd88a</vt:lpwstr>
  </property>
  <property fmtid="{D5CDD505-2E9C-101B-9397-08002B2CF9AE}" pid="12" name="TaxCatchAll">
    <vt:lpwstr>351;#Templates|2a153cc8-44f9-402b-b6d0-0545ce275fd6;#4;#Procurement|bfc606d4-2818-4c57-9388-3d7763549011;#1;#Finance|45dfbc5b-5eb4-4666-a334-5d3afe6f5b55</vt:lpwstr>
  </property>
  <property fmtid="{D5CDD505-2E9C-101B-9397-08002B2CF9AE}" pid="13" name="Document Type">
    <vt:lpwstr>168;#Templates|ad488c35-9dee-44a9-83af-ddfe67bdb066</vt:lpwstr>
  </property>
  <property fmtid="{D5CDD505-2E9C-101B-9397-08002B2CF9AE}" pid="14" name="_dlc_DocId">
    <vt:lpwstr>YKY3ZDJJMPXV-1172443059-19025</vt:lpwstr>
  </property>
  <property fmtid="{D5CDD505-2E9C-101B-9397-08002B2CF9AE}" pid="15" name="_dlc_DocIdItemGuid">
    <vt:lpwstr>42321e13-5d60-4ecf-9599-ba24d459cf5b</vt:lpwstr>
  </property>
  <property fmtid="{D5CDD505-2E9C-101B-9397-08002B2CF9AE}" pid="16" name="_dlc_DocIdUrl">
    <vt:lpwstr>https://tourismaustralia.sharepoint.com/sites/ProcurementandTendering/_layouts/15/DocIdRedir.aspx?ID=YKY3ZDJJMPXV-1172443059-19025, YKY3ZDJJMPXV-1172443059-19025</vt:lpwstr>
  </property>
  <property fmtid="{D5CDD505-2E9C-101B-9397-08002B2CF9AE}" pid="17" name="TA_DocType">
    <vt:lpwstr>351;#Templates|2a153cc8-44f9-402b-b6d0-0545ce275fd6</vt:lpwstr>
  </property>
  <property fmtid="{D5CDD505-2E9C-101B-9397-08002B2CF9AE}" pid="18" name="TA_TeamGroup_0">
    <vt:lpwstr>Finance|45dfbc5b-5eb4-4666-a334-5d3afe6f5b55</vt:lpwstr>
  </property>
  <property fmtid="{D5CDD505-2E9C-101B-9397-08002B2CF9AE}" pid="19" name="TA_DocType_0">
    <vt:lpwstr>Templates|2a153cc8-44f9-402b-b6d0-0545ce275fd6</vt:lpwstr>
  </property>
  <property fmtid="{D5CDD505-2E9C-101B-9397-08002B2CF9AE}" pid="20" name="DocumentSetDescription">
    <vt:lpwstr/>
  </property>
  <property fmtid="{D5CDD505-2E9C-101B-9397-08002B2CF9AE}" pid="21" name="ma9f00433b4840a986aee5e1c0a8603d">
    <vt:lpwstr/>
  </property>
  <property fmtid="{D5CDD505-2E9C-101B-9397-08002B2CF9AE}" pid="22" name="display_urn:schemas-microsoft-com:office:office#Author">
    <vt:lpwstr>System Account</vt:lpwstr>
  </property>
  <property fmtid="{D5CDD505-2E9C-101B-9397-08002B2CF9AE}" pid="23" name="Document Group">
    <vt:lpwstr/>
  </property>
  <property fmtid="{D5CDD505-2E9C-101B-9397-08002B2CF9AE}" pid="24" name="TA_TeamGroup">
    <vt:lpwstr>1;#Finance|45dfbc5b-5eb4-4666-a334-5d3afe6f5b55</vt:lpwstr>
  </property>
  <property fmtid="{D5CDD505-2E9C-101B-9397-08002B2CF9AE}" pid="25" name="TA_TeamName_0">
    <vt:lpwstr>Procurement|bfc606d4-2818-4c57-9388-3d7763549011</vt:lpwstr>
  </property>
  <property fmtid="{D5CDD505-2E9C-101B-9397-08002B2CF9AE}" pid="26" name="TA_TeamName">
    <vt:lpwstr>4;#Procurement|bfc606d4-2818-4c57-9388-3d7763549011</vt:lpwstr>
  </property>
  <property fmtid="{D5CDD505-2E9C-101B-9397-08002B2CF9AE}" pid="27" name="TA_Topic_0">
    <vt:lpwstr/>
  </property>
  <property fmtid="{D5CDD505-2E9C-101B-9397-08002B2CF9AE}" pid="28" name="TA_Topic">
    <vt:lpwstr/>
  </property>
  <property fmtid="{D5CDD505-2E9C-101B-9397-08002B2CF9AE}" pid="29" name="_ip_UnifiedCompliancePolicyUIAction">
    <vt:lpwstr/>
  </property>
  <property fmtid="{D5CDD505-2E9C-101B-9397-08002B2CF9AE}" pid="30" name="_ip_UnifiedCompliancePolicyProperties">
    <vt:lpwstr/>
  </property>
  <property fmtid="{D5CDD505-2E9C-101B-9397-08002B2CF9AE}" pid="31" name="lcf76f155ced4ddcb4097134ff3c332f">
    <vt:lpwstr/>
  </property>
  <property fmtid="{D5CDD505-2E9C-101B-9397-08002B2CF9AE}" pid="32" name="MediaServiceImageTags">
    <vt:lpwstr/>
  </property>
  <property fmtid="{D5CDD505-2E9C-101B-9397-08002B2CF9AE}" pid="33" name="Document_x0020_Group">
    <vt:lpwstr/>
  </property>
</Properties>
</file>