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pal\Music\"/>
    </mc:Choice>
  </mc:AlternateContent>
  <xr:revisionPtr revIDLastSave="0" documentId="8_{369C7513-9096-46B4-99F8-B59AAED3086C}" xr6:coauthVersionLast="47" xr6:coauthVersionMax="47" xr10:uidLastSave="{00000000-0000-0000-0000-000000000000}"/>
  <bookViews>
    <workbookView xWindow="28680" yWindow="-120" windowWidth="29040" windowHeight="15720" tabRatio="759" firstSheet="1" activeTab="1" xr2:uid="{00000000-000D-0000-FFFF-FFFF00000000}"/>
  </bookViews>
  <sheets>
    <sheet name="Product Group 1 " sheetId="1" state="hidden" r:id="rId1"/>
    <sheet name="Contents" sheetId="12" r:id="rId2"/>
    <sheet name="1. Pricing Schedule" sheetId="13" r:id="rId3"/>
    <sheet name="2. Volume Discounts" sheetId="14" r:id="rId4"/>
    <sheet name="3. Additional Services" sheetId="15" r:id="rId5"/>
    <sheet name="4. Static Polling Places" sheetId="9" r:id="rId6"/>
    <sheet name="5. Pre-Polling Voting Centre" sheetId="11" r:id="rId7"/>
    <sheet name="6. Out-Posted Centre 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0" i="6" l="1"/>
  <c r="H30" i="6"/>
  <c r="F30" i="6"/>
  <c r="F22" i="9" l="1"/>
  <c r="E22" i="9"/>
  <c r="B22" i="9"/>
  <c r="B7" i="9"/>
  <c r="K103" i="11" l="1"/>
  <c r="J103" i="11"/>
  <c r="I103" i="11"/>
  <c r="H103" i="11"/>
  <c r="G103" i="11"/>
  <c r="F103" i="11"/>
  <c r="E103" i="11"/>
  <c r="B103" i="11"/>
  <c r="K97" i="11"/>
  <c r="J97" i="11"/>
  <c r="I97" i="11"/>
  <c r="H97" i="11"/>
  <c r="G97" i="11"/>
  <c r="F97" i="11"/>
  <c r="E97" i="11"/>
  <c r="B97" i="11"/>
  <c r="K14" i="11"/>
  <c r="J14" i="11"/>
  <c r="I14" i="11"/>
  <c r="H14" i="11"/>
  <c r="G14" i="11"/>
  <c r="F14" i="11"/>
  <c r="E14" i="11"/>
  <c r="B14" i="11"/>
  <c r="K91" i="11"/>
  <c r="J91" i="11"/>
  <c r="I91" i="11"/>
  <c r="H91" i="11"/>
  <c r="G91" i="11"/>
  <c r="F91" i="11"/>
  <c r="E91" i="11"/>
  <c r="B91" i="11"/>
  <c r="K81" i="11"/>
  <c r="J81" i="11"/>
  <c r="I81" i="11"/>
  <c r="H81" i="11"/>
  <c r="G81" i="11"/>
  <c r="F81" i="11"/>
  <c r="E81" i="11"/>
  <c r="B81" i="11"/>
  <c r="K78" i="11"/>
  <c r="J78" i="11"/>
  <c r="I78" i="11"/>
  <c r="H78" i="11"/>
  <c r="G78" i="11"/>
  <c r="F78" i="11"/>
  <c r="E78" i="11"/>
  <c r="B78" i="11"/>
  <c r="K67" i="11"/>
  <c r="J67" i="11"/>
  <c r="I67" i="11"/>
  <c r="H67" i="11"/>
  <c r="G67" i="11"/>
  <c r="F67" i="11"/>
  <c r="E67" i="11"/>
  <c r="B67" i="11"/>
  <c r="K61" i="11"/>
  <c r="J61" i="11"/>
  <c r="I61" i="11"/>
  <c r="H61" i="11"/>
  <c r="G61" i="11"/>
  <c r="F61" i="11"/>
  <c r="E61" i="11"/>
  <c r="B61" i="11"/>
  <c r="K55" i="11"/>
  <c r="J55" i="11"/>
  <c r="I55" i="11"/>
  <c r="H55" i="11"/>
  <c r="G55" i="11"/>
  <c r="F55" i="11"/>
  <c r="E55" i="11"/>
  <c r="B55" i="11"/>
  <c r="K52" i="11"/>
  <c r="J52" i="11"/>
  <c r="I52" i="11"/>
  <c r="H52" i="11"/>
  <c r="G52" i="11"/>
  <c r="F52" i="11"/>
  <c r="E52" i="11"/>
  <c r="B52" i="11"/>
  <c r="K47" i="11"/>
  <c r="J47" i="11"/>
  <c r="I47" i="11"/>
  <c r="H47" i="11"/>
  <c r="G47" i="11"/>
  <c r="F47" i="11"/>
  <c r="E47" i="11"/>
  <c r="B47" i="11"/>
  <c r="K39" i="11"/>
  <c r="J39" i="11"/>
  <c r="I39" i="11"/>
  <c r="H39" i="11"/>
  <c r="G39" i="11"/>
  <c r="F39" i="11"/>
  <c r="E39" i="11"/>
  <c r="B39" i="11"/>
  <c r="K32" i="11"/>
  <c r="J32" i="11"/>
  <c r="I32" i="11"/>
  <c r="H32" i="11"/>
  <c r="G32" i="11"/>
  <c r="F32" i="11"/>
  <c r="E32" i="11"/>
  <c r="B32" i="11"/>
  <c r="K26" i="11"/>
  <c r="J26" i="11"/>
  <c r="I26" i="11"/>
  <c r="H26" i="11"/>
  <c r="G26" i="11"/>
  <c r="F26" i="11"/>
  <c r="E26" i="11"/>
  <c r="B26" i="11"/>
  <c r="K18" i="11"/>
  <c r="J18" i="11"/>
  <c r="I18" i="11"/>
  <c r="H18" i="11"/>
  <c r="G18" i="11"/>
  <c r="F18" i="11"/>
  <c r="E18" i="11"/>
  <c r="B18" i="11"/>
  <c r="K8" i="11"/>
  <c r="J8" i="11"/>
  <c r="I8" i="11"/>
  <c r="H8" i="11"/>
  <c r="G8" i="11"/>
  <c r="F8" i="11"/>
  <c r="E8" i="11"/>
  <c r="B8" i="11"/>
  <c r="E7" i="9" l="1"/>
  <c r="F7" i="9"/>
  <c r="B40" i="9"/>
  <c r="E40" i="9"/>
  <c r="F40" i="9"/>
  <c r="B54" i="9"/>
  <c r="E54" i="9"/>
  <c r="F54" i="9"/>
  <c r="B67" i="9"/>
  <c r="E67" i="9"/>
  <c r="F67" i="9"/>
  <c r="B81" i="9"/>
  <c r="E81" i="9"/>
  <c r="F81" i="9"/>
  <c r="B104" i="9"/>
  <c r="E104" i="9"/>
  <c r="F104" i="9"/>
  <c r="B121" i="9"/>
  <c r="E121" i="9"/>
  <c r="F121" i="9"/>
  <c r="B136" i="9"/>
  <c r="E136" i="9"/>
  <c r="F136" i="9"/>
  <c r="B154" i="9"/>
  <c r="E154" i="9"/>
  <c r="F154" i="9"/>
  <c r="B171" i="9"/>
  <c r="E171" i="9"/>
  <c r="F171" i="9"/>
  <c r="B184" i="9"/>
  <c r="E184" i="9"/>
  <c r="F184" i="9"/>
  <c r="B198" i="9"/>
  <c r="E198" i="9"/>
  <c r="F198" i="9"/>
  <c r="B213" i="9"/>
  <c r="E213" i="9"/>
  <c r="F213" i="9"/>
  <c r="B229" i="9"/>
  <c r="E229" i="9"/>
  <c r="F229" i="9"/>
  <c r="B244" i="9"/>
  <c r="E244" i="9"/>
  <c r="F244" i="9"/>
  <c r="D11" i="1" l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Carvalho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200-000006000000}">
      <text/>
    </comment>
    <comment ref="F2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200-00000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200-00000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200-00000D000000}">
      <text/>
    </comment>
    <comment ref="F3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200-000011000000}">
      <text/>
    </comment>
    <comment ref="F39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00000000-0006-0000-0200-00001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00000000-0006-0000-0200-00001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 xr:uid="{00000000-0006-0000-0200-00001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4" authorId="0" shapeId="0" xr:uid="{00000000-0006-0000-0200-000017000000}">
      <text/>
    </comment>
    <comment ref="F45" authorId="0" shapeId="0" xr:uid="{00000000-0006-0000-0200-00001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200-00001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00000000-0006-0000-0200-00001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00000000-0006-0000-0200-00001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0000000-0006-0000-0200-00001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00000000-0006-0000-0200-00001D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00000000-0006-0000-0200-00001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 xr:uid="{00000000-0006-0000-0200-00001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4" authorId="0" shapeId="0" xr:uid="{00000000-0006-0000-0200-00002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 xr:uid="{CB769741-02B9-47B0-AE7F-69F17EAD4DCA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<sst xmlns="http://schemas.openxmlformats.org/spreadsheetml/2006/main" count="987" uniqueCount="437">
  <si>
    <t xml:space="preserve">Division </t>
  </si>
  <si>
    <t xml:space="preserve">Trestle Tables </t>
  </si>
  <si>
    <t xml:space="preserve">Plastic Chairs </t>
  </si>
  <si>
    <t xml:space="preserve">Total Delivery  
Locations </t>
  </si>
  <si>
    <t>Hire Period 
(Days)</t>
  </si>
  <si>
    <t xml:space="preserve">Demographic  
Rating </t>
  </si>
  <si>
    <t>BRASSALL</t>
  </si>
  <si>
    <t>QLD</t>
  </si>
  <si>
    <t xml:space="preserve">Suburb </t>
  </si>
  <si>
    <t xml:space="preserve">Total Product Quantity Required </t>
  </si>
  <si>
    <t xml:space="preserve">Delivery </t>
  </si>
  <si>
    <t xml:space="preserve">BLAIR </t>
  </si>
  <si>
    <t xml:space="preserve">BLAIR DETAILS </t>
  </si>
  <si>
    <t xml:space="preserve">Postcode </t>
  </si>
  <si>
    <t>IPSWICH</t>
  </si>
  <si>
    <t>COLLINGWOOD PARK</t>
  </si>
  <si>
    <t>EAST IPSWICH</t>
  </si>
  <si>
    <t>RIPLEY</t>
  </si>
  <si>
    <t>GRANDCHESTER</t>
  </si>
  <si>
    <t>KARALEE</t>
  </si>
  <si>
    <t>LOWOOD</t>
  </si>
  <si>
    <t>NEWTOWN</t>
  </si>
  <si>
    <t>NORTH BOOVAL</t>
  </si>
  <si>
    <t>NORTH IPSWICH</t>
  </si>
  <si>
    <t>PINE MOUNTAIN</t>
  </si>
  <si>
    <t>RACEVIEW</t>
  </si>
  <si>
    <t>TARAMPA</t>
  </si>
  <si>
    <t>TIVOLI</t>
  </si>
  <si>
    <t>YAMANTO</t>
  </si>
  <si>
    <t>SPRINGFIELD</t>
  </si>
  <si>
    <t xml:space="preserve">Inner- Metro </t>
  </si>
  <si>
    <t>Total Divisional Delivery Price</t>
  </si>
  <si>
    <t xml:space="preserve">Total Divsional Product Supply Price </t>
  </si>
  <si>
    <t xml:space="preserve">Static Polling Places </t>
  </si>
  <si>
    <t>BONNER</t>
  </si>
  <si>
    <t>WA</t>
  </si>
  <si>
    <t>BRAND</t>
  </si>
  <si>
    <t>BALDIVIS</t>
  </si>
  <si>
    <t>HILLMAN</t>
  </si>
  <si>
    <t>MEDINA</t>
  </si>
  <si>
    <t>PORT KENNEDY</t>
  </si>
  <si>
    <t>ROCKINGHAM</t>
  </si>
  <si>
    <t>WAIKIKI</t>
  </si>
  <si>
    <t>WANDI</t>
  </si>
  <si>
    <t>WARNBRO</t>
  </si>
  <si>
    <t>WELLARD</t>
  </si>
  <si>
    <t>Outer Metropolitan</t>
  </si>
  <si>
    <t xml:space="preserve">BRAND Details </t>
  </si>
  <si>
    <t xml:space="preserve">BURT </t>
  </si>
  <si>
    <t>ARMADALE</t>
  </si>
  <si>
    <t>SOUTHERN RIVER</t>
  </si>
  <si>
    <t xml:space="preserve">BURT Details </t>
  </si>
  <si>
    <t>CANNING</t>
  </si>
  <si>
    <t>BYFORD</t>
  </si>
  <si>
    <t>GREENFIELDS</t>
  </si>
  <si>
    <t>MADORA BAY</t>
  </si>
  <si>
    <t>MANDURAH</t>
  </si>
  <si>
    <t>SOUTH YUNDERUP</t>
  </si>
  <si>
    <t>See below +</t>
  </si>
  <si>
    <t>BALLAJURA</t>
  </si>
  <si>
    <t>GIRRAWHEEN</t>
  </si>
  <si>
    <t>LANDSDALE</t>
  </si>
  <si>
    <t>WANNEROO</t>
  </si>
  <si>
    <t>COWAN</t>
  </si>
  <si>
    <t>CLAREMONT</t>
  </si>
  <si>
    <t>COTTESLOE</t>
  </si>
  <si>
    <t>DALKEITH</t>
  </si>
  <si>
    <t>DOUBLEVIEW</t>
  </si>
  <si>
    <t>FLOREAT</t>
  </si>
  <si>
    <t>INNALOO</t>
  </si>
  <si>
    <t>JOLIMONT</t>
  </si>
  <si>
    <t>KARRINYUP</t>
  </si>
  <si>
    <t>MOUNT CLAREMONT</t>
  </si>
  <si>
    <t>NEDLANDS</t>
  </si>
  <si>
    <t>PEPPERMINT GROVE</t>
  </si>
  <si>
    <t>SHENTON PARK</t>
  </si>
  <si>
    <t>SUBIACO</t>
  </si>
  <si>
    <t>SWANBOURNE</t>
  </si>
  <si>
    <t>WEMBLEY</t>
  </si>
  <si>
    <t>WEMBLEY DOWNS</t>
  </si>
  <si>
    <t>WOODLANDS</t>
  </si>
  <si>
    <t>CURTIN</t>
  </si>
  <si>
    <t>COWAN Details</t>
  </si>
  <si>
    <t xml:space="preserve">CURTIN Details </t>
  </si>
  <si>
    <t>DURACK</t>
  </si>
  <si>
    <t>BROOME</t>
  </si>
  <si>
    <t>SOUTH HEDLAND</t>
  </si>
  <si>
    <t>DURACK Details</t>
  </si>
  <si>
    <t>FORREST</t>
  </si>
  <si>
    <t>FORREST Details</t>
  </si>
  <si>
    <t>AUSTRALIND</t>
  </si>
  <si>
    <t>BUNBURY</t>
  </si>
  <si>
    <t>FREMANTLE</t>
  </si>
  <si>
    <t>SPEARWOOD</t>
  </si>
  <si>
    <t>SUCCESS</t>
  </si>
  <si>
    <t>FREMANTLE Details</t>
  </si>
  <si>
    <t>HASLUCK</t>
  </si>
  <si>
    <t xml:space="preserve">HASLUCK Details </t>
  </si>
  <si>
    <t>CHIDLOW</t>
  </si>
  <si>
    <t>DARLINGTON</t>
  </si>
  <si>
    <t>GIDGEGANNUP</t>
  </si>
  <si>
    <t>GLEN FORREST</t>
  </si>
  <si>
    <t>LESMURDIE</t>
  </si>
  <si>
    <t>MAIDA VALE</t>
  </si>
  <si>
    <t>MIDLAND</t>
  </si>
  <si>
    <t>MUNDARING</t>
  </si>
  <si>
    <t>STRATTON</t>
  </si>
  <si>
    <t>SWAN VIEW</t>
  </si>
  <si>
    <t>WALLISTON</t>
  </si>
  <si>
    <t>MOORE</t>
  </si>
  <si>
    <t>JOONDALUP</t>
  </si>
  <si>
    <t>PADBURY</t>
  </si>
  <si>
    <t xml:space="preserve">MOORE Details </t>
  </si>
  <si>
    <t>O'CONNOR</t>
  </si>
  <si>
    <t>ALBANY</t>
  </si>
  <si>
    <t>COLLIE</t>
  </si>
  <si>
    <t>O'CONNOR Details</t>
  </si>
  <si>
    <t>PEARCE</t>
  </si>
  <si>
    <t>ELLENBROOK</t>
  </si>
  <si>
    <t>MINDARIE</t>
  </si>
  <si>
    <t>YANCHEP</t>
  </si>
  <si>
    <t>PEARCE Details</t>
  </si>
  <si>
    <t>PERTH</t>
  </si>
  <si>
    <t>MORLEY</t>
  </si>
  <si>
    <t>PERTH Details</t>
  </si>
  <si>
    <t>BALCATTA</t>
  </si>
  <si>
    <t>BALGA</t>
  </si>
  <si>
    <t>MIRRABOOKA</t>
  </si>
  <si>
    <t>NOLLAMARA</t>
  </si>
  <si>
    <t>SWAN</t>
  </si>
  <si>
    <t xml:space="preserve">SWAN Details </t>
  </si>
  <si>
    <t>BELMONT</t>
  </si>
  <si>
    <t>BENTLEY</t>
  </si>
  <si>
    <t>HIGH WYCOMBE</t>
  </si>
  <si>
    <t>ARDROSS</t>
  </si>
  <si>
    <t>WILLETTON</t>
  </si>
  <si>
    <t>TANGNEY</t>
  </si>
  <si>
    <t xml:space="preserve">TANGNEY Details </t>
  </si>
  <si>
    <t>Rural</t>
  </si>
  <si>
    <t>Inner Metropolitan</t>
  </si>
  <si>
    <t>KWINANA TOWN CENTRE</t>
  </si>
  <si>
    <t>LANGFORD</t>
  </si>
  <si>
    <t>MALAGA</t>
  </si>
  <si>
    <t>Refrigerator</t>
  </si>
  <si>
    <t>Microwave Oven</t>
  </si>
  <si>
    <t>Large flatbed trolley</t>
  </si>
  <si>
    <t xml:space="preserve">Water Dispenser </t>
  </si>
  <si>
    <t xml:space="preserve">Hot Water Urn </t>
  </si>
  <si>
    <t>Flatbed Trolley</t>
  </si>
  <si>
    <t>Ergonomic Typist Chair</t>
  </si>
  <si>
    <t xml:space="preserve">Solid table </t>
  </si>
  <si>
    <t>Ergonomic typist chair</t>
  </si>
  <si>
    <t xml:space="preserve">Floor mat/carpet tile </t>
  </si>
  <si>
    <t xml:space="preserve">Fencing panel (black plastic)
L/M </t>
  </si>
  <si>
    <t>Upright trolley</t>
  </si>
  <si>
    <t xml:space="preserve">Pallet wrapping handle </t>
  </si>
  <si>
    <t>Pallet jack</t>
  </si>
  <si>
    <t>Data projector</t>
  </si>
  <si>
    <t xml:space="preserve">Projector screen </t>
  </si>
  <si>
    <t>Microwave oven</t>
  </si>
  <si>
    <t>Hot water urn</t>
  </si>
  <si>
    <t>Water dispenser with filter</t>
  </si>
  <si>
    <t>Pre-Polling Voting Centre</t>
  </si>
  <si>
    <t>Trestle Table</t>
  </si>
  <si>
    <t xml:space="preserve"> Plastic Chairs </t>
  </si>
  <si>
    <t>Whiteboard</t>
  </si>
  <si>
    <t>Bollards</t>
  </si>
  <si>
    <t xml:space="preserve">Shelving bays, large </t>
  </si>
  <si>
    <t xml:space="preserve">Shelving bays, small </t>
  </si>
  <si>
    <t>Lockers</t>
  </si>
  <si>
    <t xml:space="preserve">Items </t>
  </si>
  <si>
    <t xml:space="preserve">Estimated Total Days Required </t>
  </si>
  <si>
    <t>ELECTION PERIOD</t>
  </si>
  <si>
    <t>Estimated Maximum Quantity Required</t>
  </si>
  <si>
    <t>BURT Details</t>
  </si>
  <si>
    <t xml:space="preserve">Canning Details </t>
  </si>
  <si>
    <t xml:space="preserve">COWAN Details </t>
  </si>
  <si>
    <t xml:space="preserve">DURACK Details </t>
  </si>
  <si>
    <t xml:space="preserve">FREMANTLE Details </t>
  </si>
  <si>
    <t xml:space="preserve">PERTH Details </t>
  </si>
  <si>
    <t>Classification</t>
  </si>
  <si>
    <t xml:space="preserve">QUANTITY REQUIREMENTS  </t>
  </si>
  <si>
    <t>CANNING Details</t>
  </si>
  <si>
    <t xml:space="preserve">Out-Posted Centre - Total Requirements </t>
  </si>
  <si>
    <t xml:space="preserve">Out-Posted Centre </t>
  </si>
  <si>
    <t xml:space="preserve">Contents </t>
  </si>
  <si>
    <t xml:space="preserve">Page </t>
  </si>
  <si>
    <t xml:space="preserve">Title </t>
  </si>
  <si>
    <t>Description</t>
  </si>
  <si>
    <t>Pricing Schedule</t>
  </si>
  <si>
    <t>Volume Discounts</t>
  </si>
  <si>
    <t xml:space="preserve">Additional Services </t>
  </si>
  <si>
    <t xml:space="preserve">A reference page providing quantities and locations for Static Polling Places. </t>
  </si>
  <si>
    <t xml:space="preserve">Pre-Poll Voting Centre </t>
  </si>
  <si>
    <t xml:space="preserve">A reference page providing quantities and locations for Pre-Poll Voting Centres. </t>
  </si>
  <si>
    <t>A reference page providing quantities and locations for Out-posted Centres.</t>
  </si>
  <si>
    <t xml:space="preserve">AEC Product Request </t>
  </si>
  <si>
    <t>Divisions are allocated a demographic classification as per below, for your reference.</t>
  </si>
  <si>
    <r>
      <t>Inner Metropolitan</t>
    </r>
    <r>
      <rPr>
        <sz val="11"/>
        <color theme="1"/>
        <rFont val="Arial"/>
        <family val="2"/>
      </rPr>
      <t> </t>
    </r>
  </si>
  <si>
    <t>Situated in capital cities and consisting of well-established built-up suburbs.</t>
  </si>
  <si>
    <r>
      <t>Outer Metropolitan</t>
    </r>
    <r>
      <rPr>
        <sz val="11"/>
        <color theme="1"/>
        <rFont val="Arial"/>
        <family val="2"/>
      </rPr>
      <t> </t>
    </r>
  </si>
  <si>
    <t>Situated in capital cities and containing large areas of recent suburban expansion.</t>
  </si>
  <si>
    <r>
      <t>Provincial</t>
    </r>
    <r>
      <rPr>
        <sz val="11"/>
        <color theme="1"/>
        <rFont val="Arial"/>
        <family val="2"/>
      </rPr>
      <t> </t>
    </r>
  </si>
  <si>
    <t>Outside capital cities, but with a majority of enrolment in major provincial cities.</t>
  </si>
  <si>
    <r>
      <t>Rural</t>
    </r>
    <r>
      <rPr>
        <sz val="11"/>
        <color theme="1"/>
        <rFont val="Arial"/>
        <family val="2"/>
      </rPr>
      <t> </t>
    </r>
  </si>
  <si>
    <t>Outside capital cities and without majority of enrolment in major provincial cities.</t>
  </si>
  <si>
    <t xml:space="preserve">Furniture &amp; Equipment Pricing Schedule </t>
  </si>
  <si>
    <t xml:space="preserve">PRODUCT SCOPE </t>
  </si>
  <si>
    <t>REQUESTED ITEM</t>
  </si>
  <si>
    <t>SUPPLIED ITEM</t>
  </si>
  <si>
    <t>RENTAL</t>
  </si>
  <si>
    <t>Assumptions/Caveats</t>
  </si>
  <si>
    <t xml:space="preserve">Product Group </t>
  </si>
  <si>
    <t xml:space="preserve">AEC Facility </t>
  </si>
  <si>
    <t>Expected Period of Requirement (Days)</t>
  </si>
  <si>
    <t xml:space="preserve">Product </t>
  </si>
  <si>
    <t>Product Description / Approximate Dimensions</t>
  </si>
  <si>
    <t xml:space="preserve">Reference Image </t>
  </si>
  <si>
    <r>
      <t xml:space="preserve">As per AEC Product </t>
    </r>
    <r>
      <rPr>
        <b/>
        <sz val="12"/>
        <color rgb="FFFF0000"/>
        <rFont val="HelveticaNeueLT Std Lt Cn"/>
        <family val="2"/>
      </rPr>
      <t>(Y/N)</t>
    </r>
    <r>
      <rPr>
        <sz val="12"/>
        <color theme="1"/>
        <rFont val="HelveticaNeueLT Std Lt Cn"/>
        <family val="2"/>
      </rPr>
      <t xml:space="preserve">
(If ‘N’ and an alternative product can be supplied, be complete adjacent field)</t>
    </r>
  </si>
  <si>
    <t>Alternate or Equivalent Product - Description /  Dimensions</t>
  </si>
  <si>
    <r>
      <t xml:space="preserve">Price per unit 
</t>
    </r>
    <r>
      <rPr>
        <b/>
        <sz val="12"/>
        <color rgb="FFFF0000"/>
        <rFont val="HelveticaNeueLT Std Lt Cn"/>
        <family val="2"/>
      </rPr>
      <t xml:space="preserve">(per day)
</t>
    </r>
    <r>
      <rPr>
        <sz val="12"/>
        <color theme="1"/>
        <rFont val="HelveticaNeueLT Std Lt Cn"/>
        <family val="2"/>
      </rPr>
      <t>(GST Inclusive)</t>
    </r>
  </si>
  <si>
    <r>
      <t xml:space="preserve">Rental period 
</t>
    </r>
    <r>
      <rPr>
        <b/>
        <sz val="12"/>
        <color rgb="FFFF0000"/>
        <rFont val="HelveticaNeueLT Std Lt Cn"/>
        <family val="2"/>
      </rPr>
      <t>(in days)</t>
    </r>
  </si>
  <si>
    <r>
      <t xml:space="preserve">Assumptions/Caveats
</t>
    </r>
    <r>
      <rPr>
        <b/>
        <i/>
        <sz val="11"/>
        <rFont val="Arial"/>
        <family val="2"/>
      </rPr>
      <t>Please describe any assumptions or caveats that apply</t>
    </r>
  </si>
  <si>
    <t xml:space="preserve"> Static Polling Places </t>
  </si>
  <si>
    <t>Moulded plastic 1800 x 900mm</t>
  </si>
  <si>
    <t>Stackable chairs, Plastic, Armless</t>
  </si>
  <si>
    <t>Delivery &amp; Collection</t>
  </si>
  <si>
    <t>Inner Metropolitan </t>
  </si>
  <si>
    <t>Outer Metropolitan </t>
  </si>
  <si>
    <t>Provincial </t>
  </si>
  <si>
    <t>Rural </t>
  </si>
  <si>
    <t xml:space="preserve">
 Pre-Polling Voting Centres </t>
  </si>
  <si>
    <t>1 - 21</t>
  </si>
  <si>
    <t>Acoustic screens</t>
  </si>
  <si>
    <t xml:space="preserve">1500 x 1800mm </t>
  </si>
  <si>
    <t xml:space="preserve">300L Max, Fridge / Freezer </t>
  </si>
  <si>
    <t xml:space="preserve">20-30L </t>
  </si>
  <si>
    <t>8-30L</t>
  </si>
  <si>
    <t xml:space="preserve">600 x 900mm,  150kg Capacity </t>
  </si>
  <si>
    <t>4 bay, standing unit</t>
  </si>
  <si>
    <t xml:space="preserve">1200 x 450, Light duty garage racking </t>
  </si>
  <si>
    <t xml:space="preserve">Fencing Cage </t>
  </si>
  <si>
    <t xml:space="preserve">Large lockable cabinet </t>
  </si>
  <si>
    <t xml:space="preserve">
Out-Posted Centre
</t>
  </si>
  <si>
    <t xml:space="preserve">Timber top table that has structural support (wont sag) </t>
  </si>
  <si>
    <t>1800 x 1200mm, mobile</t>
  </si>
  <si>
    <t xml:space="preserve">Orange bollards with weighted base </t>
  </si>
  <si>
    <t xml:space="preserve">2700 x 900mm, Heavy duty racking </t>
  </si>
  <si>
    <t xml:space="preserve">1200 x 900mm, 300kg Capacity </t>
  </si>
  <si>
    <t>Standard AU pallet size</t>
  </si>
  <si>
    <t xml:space="preserve">500L Fridge / Freezer </t>
  </si>
  <si>
    <t>CHARGES FOR ADDITIONAL SERVICES</t>
  </si>
  <si>
    <t>Any volume discounts the Service Provider is offering</t>
  </si>
  <si>
    <t>Pricing for equipment hire and/or purchase for the items the Service Provider is offering</t>
  </si>
  <si>
    <t>Any related additional services/products the Service Provider is offering</t>
  </si>
  <si>
    <t>Demographic Classification</t>
  </si>
  <si>
    <t xml:space="preserve"> Offer /  Response</t>
  </si>
  <si>
    <t>All Delivery and Collection charges are subject finalisation dependant on location and volume and will be agreed in a resultant work order</t>
  </si>
  <si>
    <t>Day 33-62</t>
  </si>
  <si>
    <t>Day 63-74</t>
  </si>
  <si>
    <t>74 days Total</t>
  </si>
  <si>
    <t>Plastic Chair</t>
  </si>
  <si>
    <t>Day 21-32</t>
  </si>
  <si>
    <t>Outline of Potential Surcharges (additional costs associated with weekend/public holiday or urgent deliveries)</t>
  </si>
  <si>
    <t>Additional Costs</t>
  </si>
  <si>
    <t>Fencing Gate</t>
  </si>
  <si>
    <t>Acoustic Screen</t>
  </si>
  <si>
    <t>CALISTA</t>
  </si>
  <si>
    <t>COOLOONGUP</t>
  </si>
  <si>
    <t>SAFETY BAY</t>
  </si>
  <si>
    <t>Volume Discounts (OPTIONAL)</t>
  </si>
  <si>
    <t>Additional Services (OPTIONAL)</t>
  </si>
  <si>
    <t>Price per KM
(GST Inclusive)</t>
  </si>
  <si>
    <t>Price per delivery 
(GST Inclusive)</t>
  </si>
  <si>
    <t>Price per Hour
(GST Inclusive)</t>
  </si>
  <si>
    <t>Delivery Costs (Complete one or more options)</t>
  </si>
  <si>
    <t xml:space="preserve">The total items required per grouping in the election period section represents the total amount required for that group. (i.e. Do not add or subtract weeks to one another). </t>
  </si>
  <si>
    <t>14-74</t>
  </si>
  <si>
    <t>Day 1-20</t>
  </si>
  <si>
    <r>
      <t xml:space="preserve">OPC Requirements 
</t>
    </r>
    <r>
      <rPr>
        <b/>
        <sz val="16"/>
        <color rgb="FF7030A0"/>
        <rFont val="HelveticaNeueLT Std Lt Cn"/>
        <family val="2"/>
      </rPr>
      <t>CORE Items</t>
    </r>
    <r>
      <rPr>
        <b/>
        <sz val="16"/>
        <color theme="1"/>
        <rFont val="HelveticaNeueLT Std Lt Cn"/>
        <family val="2"/>
      </rPr>
      <t xml:space="preserve">
(Per Divison)</t>
    </r>
  </si>
  <si>
    <r>
      <t xml:space="preserve">OPC Requirements
</t>
    </r>
    <r>
      <rPr>
        <b/>
        <sz val="16"/>
        <color rgb="FF0070C0"/>
        <rFont val="HelveticaNeueLT Std Lt Cn"/>
        <family val="2"/>
      </rPr>
      <t>OPTIONAL Items</t>
    </r>
    <r>
      <rPr>
        <b/>
        <sz val="16"/>
        <color theme="1"/>
        <rFont val="HelveticaNeueLT Std Lt Cn"/>
        <family val="2"/>
      </rPr>
      <t xml:space="preserve">
(Per Divison)</t>
    </r>
  </si>
  <si>
    <t>BULLWINKEL</t>
  </si>
  <si>
    <t xml:space="preserve">Bullwinkel Details </t>
  </si>
  <si>
    <t>KOONGAMIA</t>
  </si>
  <si>
    <t>ROLEYSTONE</t>
  </si>
  <si>
    <t>TOODYAY</t>
  </si>
  <si>
    <t>Armadale</t>
  </si>
  <si>
    <t>Byford</t>
  </si>
  <si>
    <t>Camillo</t>
  </si>
  <si>
    <t>Gosnells</t>
  </si>
  <si>
    <t>Harrisdale</t>
  </si>
  <si>
    <t>Huntingdale</t>
  </si>
  <si>
    <t>Kenwick</t>
  </si>
  <si>
    <t>Maddington</t>
  </si>
  <si>
    <t>Piara Waters</t>
  </si>
  <si>
    <t>Southern River</t>
  </si>
  <si>
    <t>Thornlie</t>
  </si>
  <si>
    <t>DUDLEY PARK</t>
  </si>
  <si>
    <t>DWELLINGUP</t>
  </si>
  <si>
    <t>JARRAHDALE</t>
  </si>
  <si>
    <t>MEADOW SPRINGS</t>
  </si>
  <si>
    <t>SINGLETON</t>
  </si>
  <si>
    <t>WANNANUP</t>
  </si>
  <si>
    <t>DARCH</t>
  </si>
  <si>
    <t>GREENWOOD</t>
  </si>
  <si>
    <t>HAMERSLEY</t>
  </si>
  <si>
    <t>MADELEY</t>
  </si>
  <si>
    <t>CITY BEACH</t>
  </si>
  <si>
    <t>SCARBOROUGH</t>
  </si>
  <si>
    <t>WEST LEEDERVILLE</t>
  </si>
  <si>
    <t>BULLSBROOK</t>
  </si>
  <si>
    <t>DALWALLINU</t>
  </si>
  <si>
    <t>DRUMMOND COVE</t>
  </si>
  <si>
    <t>GINGIN</t>
  </si>
  <si>
    <t>JURIEN BAY</t>
  </si>
  <si>
    <t>MILLARS WELL</t>
  </si>
  <si>
    <t>MULLEWA</t>
  </si>
  <si>
    <t>NICKOL</t>
  </si>
  <si>
    <t>ONSLOW</t>
  </si>
  <si>
    <t>RANGEWAY</t>
  </si>
  <si>
    <t>THREE SPRINGS</t>
  </si>
  <si>
    <t>WESTONIA</t>
  </si>
  <si>
    <t>WONGAN HILLS</t>
  </si>
  <si>
    <t>TBD</t>
  </si>
  <si>
    <t>CARBUNUP RIVER</t>
  </si>
  <si>
    <t>CAREY PARK</t>
  </si>
  <si>
    <t>COWARAMUP</t>
  </si>
  <si>
    <t>DALYELLUP</t>
  </si>
  <si>
    <t>EAST BUNBURY</t>
  </si>
  <si>
    <t>EATON</t>
  </si>
  <si>
    <t>SOUTH BUNBURY</t>
  </si>
  <si>
    <t>WEST BUSSELTON</t>
  </si>
  <si>
    <t>WITCHCLIFFE</t>
  </si>
  <si>
    <t>ATWELL</t>
  </si>
  <si>
    <t>AUBIN GROVE</t>
  </si>
  <si>
    <t>BEACONSFIELD</t>
  </si>
  <si>
    <t>BEELIAR</t>
  </si>
  <si>
    <t>BIBRA LAKE</t>
  </si>
  <si>
    <t>COOLBELLUP</t>
  </si>
  <si>
    <t>HAMILTON HILL</t>
  </si>
  <si>
    <t>NORTH FREMANTLE</t>
  </si>
  <si>
    <t>SAMSON</t>
  </si>
  <si>
    <t>SOUTH LAKE</t>
  </si>
  <si>
    <t>WHITE GUM VALLEY</t>
  </si>
  <si>
    <t>YANGEBUP</t>
  </si>
  <si>
    <t>AVELEY</t>
  </si>
  <si>
    <t>BASSENDEAN</t>
  </si>
  <si>
    <t>BEECHBORO</t>
  </si>
  <si>
    <t>CAVERSHAM</t>
  </si>
  <si>
    <t>DAYTON</t>
  </si>
  <si>
    <t>HAZELMERE</t>
  </si>
  <si>
    <t>HERNE HILL</t>
  </si>
  <si>
    <t>KIARA</t>
  </si>
  <si>
    <t>LOCKRIDGE</t>
  </si>
  <si>
    <t>NORANDA</t>
  </si>
  <si>
    <t>UPPER SWAN</t>
  </si>
  <si>
    <t>WEST SWAN</t>
  </si>
  <si>
    <t>CARINE</t>
  </si>
  <si>
    <t>CONNOLLY</t>
  </si>
  <si>
    <t>DUNCRAIG</t>
  </si>
  <si>
    <t>GWELUP</t>
  </si>
  <si>
    <t>KINGSLEY</t>
  </si>
  <si>
    <t>NORTH BEACH</t>
  </si>
  <si>
    <t>OCEAN REEF</t>
  </si>
  <si>
    <t>SORRENTO</t>
  </si>
  <si>
    <t>WOODVALE</t>
  </si>
  <si>
    <t>BAYONET HEAD</t>
  </si>
  <si>
    <t>BOULDER</t>
  </si>
  <si>
    <t>BRUCE ROCK</t>
  </si>
  <si>
    <t>ELLEKER</t>
  </si>
  <si>
    <t>HANNANS</t>
  </si>
  <si>
    <t>LOWER KING</t>
  </si>
  <si>
    <t>MOUNT CLARENCE</t>
  </si>
  <si>
    <t>PINGRUP</t>
  </si>
  <si>
    <t>QUAIRADING</t>
  </si>
  <si>
    <t>SCOTSDALE</t>
  </si>
  <si>
    <t>BANKSIA GROVE</t>
  </si>
  <si>
    <t>BUTLER</t>
  </si>
  <si>
    <t>CARRAMAR</t>
  </si>
  <si>
    <t>CLARKSON</t>
  </si>
  <si>
    <t>HOCKING</t>
  </si>
  <si>
    <t>MERRIWA</t>
  </si>
  <si>
    <t>PEARSALL</t>
  </si>
  <si>
    <t>QUINNS ROCKS</t>
  </si>
  <si>
    <t>TAPPING</t>
  </si>
  <si>
    <t>BAYSWATER</t>
  </si>
  <si>
    <t>COOLBINIA</t>
  </si>
  <si>
    <t>DIANELLA</t>
  </si>
  <si>
    <t>EMBLETON</t>
  </si>
  <si>
    <t>INGLEWOOD</t>
  </si>
  <si>
    <t>JOONDANNA</t>
  </si>
  <si>
    <t>MOUNT LAWLEY</t>
  </si>
  <si>
    <t>NORTH PERTH</t>
  </si>
  <si>
    <t>OSBORNE PARK</t>
  </si>
  <si>
    <t>TUART HILL</t>
  </si>
  <si>
    <t>WEST PERTH</t>
  </si>
  <si>
    <t>YOKINE</t>
  </si>
  <si>
    <t>COMO</t>
  </si>
  <si>
    <t>FERNDALE</t>
  </si>
  <si>
    <t>KENSINGTON</t>
  </si>
  <si>
    <t>LATHLAIN</t>
  </si>
  <si>
    <t>LYNWOOD</t>
  </si>
  <si>
    <t>MANNING</t>
  </si>
  <si>
    <t>RIVERVALE</t>
  </si>
  <si>
    <t>SOUTH PERTH</t>
  </si>
  <si>
    <t>WILSON</t>
  </si>
  <si>
    <t>APPLECROSS</t>
  </si>
  <si>
    <t>ATTADALE</t>
  </si>
  <si>
    <t>BATEMAN</t>
  </si>
  <si>
    <t>BICTON</t>
  </si>
  <si>
    <t>BOORAGOON</t>
  </si>
  <si>
    <t>BRENTWOOD</t>
  </si>
  <si>
    <t>CANNING VALE</t>
  </si>
  <si>
    <t>KARDINYA</t>
  </si>
  <si>
    <t>LEEMING</t>
  </si>
  <si>
    <t>MELVILLE</t>
  </si>
  <si>
    <t>MOUNT PLEASANT</t>
  </si>
  <si>
    <t>PARKWOOD</t>
  </si>
  <si>
    <t>RIVERTON</t>
  </si>
  <si>
    <t>ROSSMOYNE</t>
  </si>
  <si>
    <t>WILLAGEE</t>
  </si>
  <si>
    <t>WINTHROP</t>
  </si>
  <si>
    <t>BULLWINKEL Details</t>
  </si>
  <si>
    <t>MADDINGTON</t>
  </si>
  <si>
    <t>HALLS HEAD</t>
  </si>
  <si>
    <t>WANGARA</t>
  </si>
  <si>
    <t>WARWICK</t>
  </si>
  <si>
    <t>BENNETT SPRINGS</t>
  </si>
  <si>
    <t>CURRAMBINE</t>
  </si>
  <si>
    <t>JINDALEE</t>
  </si>
  <si>
    <t>TWO ROCKS</t>
  </si>
  <si>
    <t>Shelving bays, small 
(H1800 x D600 x W1200)</t>
  </si>
  <si>
    <t>Shelving bays, large 
(H2400 x D1200x W2400)</t>
  </si>
  <si>
    <t>Portable Toilets and associated servicing</t>
  </si>
  <si>
    <t>TBC</t>
  </si>
  <si>
    <t>Portable toilets and associated servicing</t>
  </si>
  <si>
    <t>Please specify type. If more than one form of unit available please add further rows and describe.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</si>
</sst>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NeueLT Std Cn"/>
      <family val="2"/>
    </font>
    <font>
      <b/>
      <sz val="28"/>
      <color theme="1"/>
      <name val="HelveticaNeueLT Std Cn"/>
      <family val="2"/>
    </font>
    <font>
      <sz val="24"/>
      <color theme="0"/>
      <name val="HelveticaNeueLT Std Cn"/>
      <family val="2"/>
    </font>
    <font>
      <sz val="10"/>
      <name val="Arial"/>
      <family val="2"/>
    </font>
    <font>
      <sz val="11"/>
      <color theme="1"/>
      <name val="HelveticaNeueLT Std Lt Cn"/>
      <family val="2"/>
    </font>
    <font>
      <b/>
      <sz val="14"/>
      <color theme="1"/>
      <name val="HelveticaNeueLT Std Lt Cn"/>
      <family val="2"/>
    </font>
    <font>
      <sz val="24"/>
      <color theme="0"/>
      <name val="HelveticaNeueLT Std Lt Cn"/>
      <family val="2"/>
    </font>
    <font>
      <sz val="12"/>
      <color theme="1"/>
      <name val="HelveticaNeueLT Std Lt Cn"/>
      <family val="2"/>
    </font>
    <font>
      <b/>
      <sz val="16"/>
      <color theme="1"/>
      <name val="HelveticaNeueLT Std Lt C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HelveticaNeueLT Std Lt Cn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2"/>
      <name val="HelveticaNeueLT Std Lt Cn"/>
      <family val="2"/>
    </font>
    <font>
      <sz val="8"/>
      <name val="Arial"/>
      <family val="2"/>
    </font>
    <font>
      <b/>
      <sz val="16"/>
      <color rgb="FF0070C0"/>
      <name val="HelveticaNeueLT Std Lt Cn"/>
      <family val="2"/>
    </font>
    <font>
      <b/>
      <sz val="16"/>
      <color rgb="FF7030A0"/>
      <name val="HelveticaNeueLT Std Lt Cn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E267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164" fontId="1" fillId="0" borderId="0" applyFont="0" applyFill="0" applyBorder="0" applyAlignment="0" applyProtection="0"/>
  </cellStyleXfs>
  <cellXfs count="20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8" fillId="35" borderId="0" xfId="0" applyFont="1" applyFill="1"/>
    <xf numFmtId="0" fontId="20" fillId="33" borderId="0" xfId="0" applyFont="1" applyFill="1" applyAlignment="1">
      <alignment horizontal="left" vertical="center"/>
    </xf>
    <xf numFmtId="0" fontId="20" fillId="35" borderId="0" xfId="0" applyFont="1" applyFill="1" applyAlignment="1">
      <alignment horizontal="left"/>
    </xf>
    <xf numFmtId="0" fontId="19" fillId="34" borderId="0" xfId="0" applyFont="1" applyFill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center" vertical="center" wrapText="1"/>
    </xf>
    <xf numFmtId="0" fontId="20" fillId="35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  <xf numFmtId="0" fontId="22" fillId="35" borderId="0" xfId="0" applyFont="1" applyFill="1"/>
    <xf numFmtId="0" fontId="25" fillId="37" borderId="1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left"/>
    </xf>
    <xf numFmtId="0" fontId="27" fillId="0" borderId="0" xfId="0" applyFont="1"/>
    <xf numFmtId="0" fontId="27" fillId="35" borderId="11" xfId="0" applyFont="1" applyFill="1" applyBorder="1"/>
    <xf numFmtId="0" fontId="27" fillId="0" borderId="11" xfId="0" applyFont="1" applyBorder="1"/>
    <xf numFmtId="0" fontId="27" fillId="35" borderId="0" xfId="0" applyFont="1" applyFill="1"/>
    <xf numFmtId="0" fontId="27" fillId="0" borderId="11" xfId="0" applyFont="1" applyBorder="1" applyAlignment="1">
      <alignment horizontal="left" vertical="center"/>
    </xf>
    <xf numFmtId="0" fontId="27" fillId="34" borderId="20" xfId="0" applyFont="1" applyFill="1" applyBorder="1"/>
    <xf numFmtId="0" fontId="27" fillId="34" borderId="0" xfId="0" applyFont="1" applyFill="1"/>
    <xf numFmtId="0" fontId="27" fillId="0" borderId="11" xfId="0" applyFont="1" applyBorder="1" applyAlignment="1">
      <alignment vertical="center"/>
    </xf>
    <xf numFmtId="0" fontId="28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0" borderId="10" xfId="0" applyFont="1" applyBorder="1"/>
    <xf numFmtId="0" fontId="30" fillId="0" borderId="10" xfId="0" applyFont="1" applyBorder="1"/>
    <xf numFmtId="0" fontId="27" fillId="0" borderId="11" xfId="0" applyFont="1" applyBorder="1" applyAlignment="1">
      <alignment horizontal="center" vertical="center"/>
    </xf>
    <xf numFmtId="0" fontId="27" fillId="35" borderId="0" xfId="0" applyFont="1" applyFill="1" applyAlignment="1">
      <alignment horizontal="left"/>
    </xf>
    <xf numFmtId="0" fontId="27" fillId="35" borderId="0" xfId="0" applyFont="1" applyFill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7" fillId="34" borderId="34" xfId="0" applyFont="1" applyFill="1" applyBorder="1"/>
    <xf numFmtId="0" fontId="27" fillId="34" borderId="35" xfId="0" applyFont="1" applyFill="1" applyBorder="1"/>
    <xf numFmtId="0" fontId="19" fillId="35" borderId="0" xfId="0" applyFont="1" applyFill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28" fillId="37" borderId="11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7" fillId="41" borderId="11" xfId="0" applyFont="1" applyFill="1" applyBorder="1"/>
    <xf numFmtId="0" fontId="27" fillId="41" borderId="15" xfId="0" applyFont="1" applyFill="1" applyBorder="1"/>
    <xf numFmtId="0" fontId="36" fillId="35" borderId="0" xfId="0" applyFont="1" applyFill="1"/>
    <xf numFmtId="0" fontId="27" fillId="34" borderId="21" xfId="0" applyFont="1" applyFill="1" applyBorder="1"/>
    <xf numFmtId="0" fontId="27" fillId="34" borderId="17" xfId="0" applyFont="1" applyFill="1" applyBorder="1"/>
    <xf numFmtId="0" fontId="37" fillId="35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7" fillId="41" borderId="11" xfId="0" applyFont="1" applyFill="1" applyBorder="1" applyAlignment="1">
      <alignment vertical="center"/>
    </xf>
    <xf numFmtId="0" fontId="27" fillId="34" borderId="15" xfId="0" applyFont="1" applyFill="1" applyBorder="1" applyAlignment="1">
      <alignment vertical="center"/>
    </xf>
    <xf numFmtId="0" fontId="27" fillId="34" borderId="13" xfId="0" applyFont="1" applyFill="1" applyBorder="1" applyAlignment="1">
      <alignment vertical="center"/>
    </xf>
    <xf numFmtId="0" fontId="27" fillId="34" borderId="13" xfId="0" applyFont="1" applyFill="1" applyBorder="1"/>
    <xf numFmtId="0" fontId="27" fillId="41" borderId="12" xfId="0" applyFont="1" applyFill="1" applyBorder="1"/>
    <xf numFmtId="0" fontId="40" fillId="35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2" fillId="35" borderId="0" xfId="0" applyFont="1" applyFill="1" applyAlignment="1">
      <alignment horizontal="left" vertical="center"/>
    </xf>
    <xf numFmtId="0" fontId="40" fillId="35" borderId="0" xfId="0" applyFont="1" applyFill="1"/>
    <xf numFmtId="0" fontId="23" fillId="38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20" fillId="35" borderId="0" xfId="0" applyFont="1" applyFill="1" applyAlignment="1">
      <alignment horizontal="left" vertical="center" wrapText="1"/>
    </xf>
    <xf numFmtId="0" fontId="27" fillId="41" borderId="11" xfId="0" applyFont="1" applyFill="1" applyBorder="1" applyAlignment="1">
      <alignment wrapText="1"/>
    </xf>
    <xf numFmtId="0" fontId="27" fillId="35" borderId="0" xfId="0" applyFont="1" applyFill="1" applyAlignment="1">
      <alignment wrapText="1"/>
    </xf>
    <xf numFmtId="0" fontId="27" fillId="41" borderId="14" xfId="0" applyFont="1" applyFill="1" applyBorder="1" applyAlignment="1">
      <alignment wrapText="1"/>
    </xf>
    <xf numFmtId="0" fontId="23" fillId="38" borderId="14" xfId="0" applyFont="1" applyFill="1" applyBorder="1" applyAlignment="1">
      <alignment horizontal="center" vertical="center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0" fillId="35" borderId="0" xfId="0" applyFill="1" applyAlignment="1">
      <alignment horizontal="center" wrapText="1"/>
    </xf>
    <xf numFmtId="0" fontId="27" fillId="0" borderId="12" xfId="0" applyFont="1" applyBorder="1" applyAlignment="1">
      <alignment horizontal="center" vertical="center"/>
    </xf>
    <xf numFmtId="0" fontId="27" fillId="34" borderId="35" xfId="0" applyFont="1" applyFill="1" applyBorder="1" applyAlignment="1">
      <alignment vertical="center"/>
    </xf>
    <xf numFmtId="0" fontId="27" fillId="34" borderId="20" xfId="0" applyFont="1" applyFill="1" applyBorder="1" applyAlignment="1">
      <alignment vertical="center"/>
    </xf>
    <xf numFmtId="0" fontId="0" fillId="37" borderId="14" xfId="0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wrapText="1"/>
    </xf>
    <xf numFmtId="0" fontId="27" fillId="0" borderId="37" xfId="0" applyFont="1" applyBorder="1" applyAlignment="1">
      <alignment horizontal="center" wrapText="1"/>
    </xf>
    <xf numFmtId="0" fontId="27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38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31" xfId="0" applyFont="1" applyBorder="1" applyAlignment="1">
      <alignment horizontal="center" wrapText="1"/>
    </xf>
    <xf numFmtId="0" fontId="30" fillId="0" borderId="39" xfId="0" applyFont="1" applyBorder="1" applyAlignment="1">
      <alignment horizontal="center" wrapText="1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wrapText="1"/>
    </xf>
    <xf numFmtId="0" fontId="30" fillId="0" borderId="42" xfId="0" applyFont="1" applyBorder="1" applyAlignment="1">
      <alignment horizontal="center" wrapText="1"/>
    </xf>
    <xf numFmtId="0" fontId="0" fillId="0" borderId="11" xfId="0" applyBorder="1" applyAlignment="1">
      <alignment horizontal="left" indent="1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left" indent="1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" fontId="27" fillId="0" borderId="24" xfId="0" applyNumberFormat="1" applyFont="1" applyBorder="1" applyAlignment="1">
      <alignment horizontal="center" vertical="center"/>
    </xf>
    <xf numFmtId="1" fontId="27" fillId="0" borderId="12" xfId="0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/>
    </xf>
    <xf numFmtId="1" fontId="27" fillId="0" borderId="31" xfId="0" applyNumberFormat="1" applyFont="1" applyBorder="1" applyAlignment="1">
      <alignment horizontal="center" vertical="center"/>
    </xf>
    <xf numFmtId="1" fontId="27" fillId="35" borderId="0" xfId="0" applyNumberFormat="1" applyFont="1" applyFill="1"/>
    <xf numFmtId="1" fontId="27" fillId="0" borderId="15" xfId="0" applyNumberFormat="1" applyFont="1" applyBorder="1" applyAlignment="1">
      <alignment horizontal="center" vertical="center"/>
    </xf>
    <xf numFmtId="0" fontId="27" fillId="35" borderId="31" xfId="0" applyFont="1" applyFill="1" applyBorder="1" applyAlignment="1">
      <alignment horizontal="left" vertical="center"/>
    </xf>
    <xf numFmtId="0" fontId="27" fillId="35" borderId="31" xfId="0" applyFont="1" applyFill="1" applyBorder="1" applyAlignment="1">
      <alignment horizontal="center" vertical="center"/>
    </xf>
    <xf numFmtId="0" fontId="27" fillId="35" borderId="39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7" fillId="35" borderId="11" xfId="0" applyFont="1" applyFill="1" applyBorder="1" applyAlignment="1">
      <alignment horizontal="left"/>
    </xf>
    <xf numFmtId="0" fontId="23" fillId="34" borderId="11" xfId="0" applyFont="1" applyFill="1" applyBorder="1" applyAlignment="1">
      <alignment horizontal="left" vertical="center" wrapText="1"/>
    </xf>
    <xf numFmtId="0" fontId="28" fillId="35" borderId="10" xfId="0" applyFont="1" applyFill="1" applyBorder="1" applyAlignment="1">
      <alignment horizontal="left"/>
    </xf>
    <xf numFmtId="0" fontId="28" fillId="35" borderId="16" xfId="0" applyFont="1" applyFill="1" applyBorder="1" applyAlignment="1">
      <alignment horizontal="left"/>
    </xf>
    <xf numFmtId="0" fontId="28" fillId="35" borderId="14" xfId="0" applyFont="1" applyFill="1" applyBorder="1" applyAlignment="1">
      <alignment horizontal="left"/>
    </xf>
    <xf numFmtId="0" fontId="24" fillId="36" borderId="0" xfId="0" applyFont="1" applyFill="1" applyAlignment="1">
      <alignment horizontal="left" vertical="center"/>
    </xf>
    <xf numFmtId="0" fontId="23" fillId="34" borderId="11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6" fillId="39" borderId="11" xfId="0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/>
    </xf>
    <xf numFmtId="0" fontId="27" fillId="42" borderId="15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42" borderId="12" xfId="0" applyFont="1" applyFill="1" applyBorder="1" applyAlignment="1">
      <alignment horizontal="center"/>
    </xf>
    <xf numFmtId="0" fontId="27" fillId="34" borderId="18" xfId="0" applyFont="1" applyFill="1" applyBorder="1" applyAlignment="1">
      <alignment horizontal="left" vertical="center" wrapText="1"/>
    </xf>
    <xf numFmtId="0" fontId="27" fillId="34" borderId="34" xfId="0" applyFont="1" applyFill="1" applyBorder="1" applyAlignment="1">
      <alignment horizontal="left" vertical="center" wrapText="1"/>
    </xf>
    <xf numFmtId="0" fontId="27" fillId="34" borderId="19" xfId="0" applyFont="1" applyFill="1" applyBorder="1" applyAlignment="1">
      <alignment horizontal="lef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36" xfId="0" applyFont="1" applyFill="1" applyBorder="1" applyAlignment="1">
      <alignment horizontal="lef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7" fillId="39" borderId="15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27" fillId="39" borderId="11" xfId="0" applyFont="1" applyFill="1" applyBorder="1" applyAlignment="1">
      <alignment horizontal="center" vertical="center" wrapText="1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49" fontId="27" fillId="39" borderId="11" xfId="0" applyNumberFormat="1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6" xfId="0" applyFont="1" applyFill="1" applyBorder="1" applyAlignment="1">
      <alignment horizontal="center" vertical="center" wrapText="1"/>
    </xf>
    <xf numFmtId="0" fontId="23" fillId="38" borderId="14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3" fillId="38" borderId="16" xfId="0" applyFont="1" applyFill="1" applyBorder="1" applyAlignment="1">
      <alignment horizontal="center" vertical="center"/>
    </xf>
    <xf numFmtId="0" fontId="23" fillId="38" borderId="18" xfId="0" applyFont="1" applyFill="1" applyBorder="1" applyAlignment="1">
      <alignment horizontal="left" vertical="center" wrapText="1"/>
    </xf>
    <xf numFmtId="0" fontId="23" fillId="38" borderId="34" xfId="0" applyFont="1" applyFill="1" applyBorder="1" applyAlignment="1">
      <alignment horizontal="left" vertical="center" wrapText="1"/>
    </xf>
    <xf numFmtId="0" fontId="23" fillId="38" borderId="35" xfId="0" applyFont="1" applyFill="1" applyBorder="1" applyAlignment="1">
      <alignment horizontal="left" vertical="center" wrapText="1"/>
    </xf>
    <xf numFmtId="0" fontId="41" fillId="41" borderId="10" xfId="0" applyFont="1" applyFill="1" applyBorder="1" applyAlignment="1">
      <alignment horizontal="left" vertical="center"/>
    </xf>
    <xf numFmtId="0" fontId="41" fillId="41" borderId="16" xfId="0" applyFont="1" applyFill="1" applyBorder="1" applyAlignment="1">
      <alignment horizontal="left" vertical="center"/>
    </xf>
    <xf numFmtId="0" fontId="41" fillId="41" borderId="14" xfId="0" applyFont="1" applyFill="1" applyBorder="1" applyAlignment="1">
      <alignment horizontal="left" vertical="center"/>
    </xf>
    <xf numFmtId="0" fontId="23" fillId="38" borderId="11" xfId="0" applyFont="1" applyFill="1" applyBorder="1" applyAlignment="1">
      <alignment horizontal="left" vertical="center" wrapText="1"/>
    </xf>
    <xf numFmtId="0" fontId="41" fillId="41" borderId="11" xfId="0" applyFont="1" applyFill="1" applyBorder="1" applyAlignment="1">
      <alignment horizontal="left" vertical="center"/>
    </xf>
    <xf numFmtId="0" fontId="23" fillId="38" borderId="15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5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6" fillId="40" borderId="22" xfId="0" applyFont="1" applyFill="1" applyBorder="1" applyAlignment="1">
      <alignment horizontal="center" vertical="center" wrapText="1"/>
    </xf>
    <xf numFmtId="0" fontId="26" fillId="40" borderId="23" xfId="0" applyFont="1" applyFill="1" applyBorder="1" applyAlignment="1">
      <alignment horizontal="center" vertical="center" wrapText="1"/>
    </xf>
    <xf numFmtId="0" fontId="26" fillId="40" borderId="27" xfId="0" applyFont="1" applyFill="1" applyBorder="1" applyAlignment="1">
      <alignment horizontal="center" vertical="center" wrapText="1"/>
    </xf>
    <xf numFmtId="0" fontId="26" fillId="40" borderId="20" xfId="0" applyFont="1" applyFill="1" applyBorder="1" applyAlignment="1">
      <alignment horizontal="center" vertical="center" wrapText="1"/>
    </xf>
    <xf numFmtId="0" fontId="26" fillId="40" borderId="29" xfId="0" applyFont="1" applyFill="1" applyBorder="1" applyAlignment="1">
      <alignment horizontal="center" vertical="center" wrapText="1"/>
    </xf>
    <xf numFmtId="0" fontId="26" fillId="40" borderId="30" xfId="0" applyFont="1" applyFill="1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5" xfId="0" applyFont="1" applyFill="1" applyBorder="1" applyAlignment="1">
      <alignment horizontal="center" vertical="center" wrapText="1"/>
    </xf>
    <xf numFmtId="0" fontId="31" fillId="35" borderId="26" xfId="0" applyFont="1" applyFill="1" applyBorder="1" applyAlignment="1">
      <alignment horizontal="center" vertical="center" wrapText="1"/>
    </xf>
    <xf numFmtId="0" fontId="31" fillId="35" borderId="27" xfId="0" applyFont="1" applyFill="1" applyBorder="1" applyAlignment="1">
      <alignment horizontal="center" vertical="center" wrapText="1"/>
    </xf>
    <xf numFmtId="0" fontId="31" fillId="35" borderId="0" xfId="0" applyFont="1" applyFill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0" fontId="31" fillId="35" borderId="32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3" fillId="38" borderId="18" xfId="0" applyFont="1" applyFill="1" applyBorder="1" applyAlignment="1">
      <alignment horizontal="center" vertical="center"/>
    </xf>
    <xf numFmtId="0" fontId="23" fillId="38" borderId="35" xfId="0" applyFont="1" applyFill="1" applyBorder="1" applyAlignment="1">
      <alignment horizontal="center" vertical="center"/>
    </xf>
    <xf numFmtId="0" fontId="23" fillId="38" borderId="43" xfId="0" applyFont="1" applyFill="1" applyBorder="1" applyAlignment="1">
      <alignment horizontal="center" vertical="center"/>
    </xf>
    <xf numFmtId="0" fontId="23" fillId="38" borderId="30" xfId="0" applyFont="1" applyFill="1" applyBorder="1" applyAlignment="1">
      <alignment horizontal="center" vertical="center"/>
    </xf>
    <xf numFmtId="0" fontId="25" fillId="37" borderId="41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4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27000000}"/>
    <cellStyle name="Normal 8" xfId="43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/customXML/item2.xml" Id="R26ed02e175e14290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87442</xdr:colOff>
      <xdr:row>17</xdr:row>
      <xdr:rowOff>174996</xdr:rowOff>
    </xdr:from>
    <xdr:to>
      <xdr:col>9</xdr:col>
      <xdr:colOff>544936</xdr:colOff>
      <xdr:row>22</xdr:row>
      <xdr:rowOff>206013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C1F21FE1-FCEA-4E82-AFE9-623A8A92E8F6}"/>
            </a:ext>
          </a:extLst>
        </xdr:cNvPr>
        <xdr:cNvSpPr/>
      </xdr:nvSpPr>
      <xdr:spPr>
        <a:xfrm rot="16200000">
          <a:off x="10387655" y="5257658"/>
          <a:ext cx="1174017" cy="457494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44824</xdr:colOff>
      <xdr:row>6</xdr:row>
      <xdr:rowOff>414618</xdr:rowOff>
    </xdr:from>
    <xdr:to>
      <xdr:col>18</xdr:col>
      <xdr:colOff>190500</xdr:colOff>
      <xdr:row>8</xdr:row>
      <xdr:rowOff>112059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7C240F-309B-CFA5-34DB-898EEBD75707}"/>
            </a:ext>
          </a:extLst>
        </xdr:cNvPr>
        <xdr:cNvSpPr txBox="1"/>
      </xdr:nvSpPr>
      <xdr:spPr>
        <a:xfrm>
          <a:off x="11911853" y="2185147"/>
          <a:ext cx="4381500" cy="571500"/>
        </a:xfrm>
        <a:prstGeom prst="rect">
          <a:avLst/>
        </a:prstGeom>
        <a:solidFill>
          <a:schemeClr val="lt1"/>
        </a:solidFill>
        <a:ln w="571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800">
              <a:solidFill>
                <a:sysClr val="windowText" lastClr="000000"/>
              </a:solidFill>
            </a:rPr>
            <a:t>Please</a:t>
          </a:r>
          <a:r>
            <a:rPr lang="en-AU" sz="1800" baseline="0">
              <a:solidFill>
                <a:sysClr val="windowText" lastClr="000000"/>
              </a:solidFill>
            </a:rPr>
            <a:t> review zero requirements </a:t>
          </a:r>
          <a:endParaRPr lang="en-AU" sz="1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workbookViewId="0">
      <selection activeCell="N14" sqref="N14"/>
    </sheetView>
  </sheetViews>
  <sheetFormatPr defaultRowHeight="15" outlineLevelRow="1" x14ac:dyDescent="0.25"/>
  <cols>
    <col min="1" max="1" width="23" bestFit="1" customWidth="1"/>
    <col min="2" max="2" width="13.85546875" bestFit="1" customWidth="1"/>
    <col min="3" max="3" width="16.42578125" customWidth="1"/>
    <col min="4" max="4" width="14.140625" customWidth="1"/>
    <col min="5" max="5" width="20.85546875" bestFit="1" customWidth="1"/>
    <col min="7" max="7" width="13.42578125" customWidth="1"/>
    <col min="9" max="9" width="14.5703125" customWidth="1"/>
    <col min="10" max="10" width="20.7109375" customWidth="1"/>
  </cols>
  <sheetData>
    <row r="1" spans="1:45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8" spans="1:45" x14ac:dyDescent="0.25">
      <c r="A8" s="133" t="s">
        <v>0</v>
      </c>
      <c r="B8" s="133" t="s">
        <v>9</v>
      </c>
      <c r="C8" s="133"/>
      <c r="D8" s="132" t="s">
        <v>10</v>
      </c>
      <c r="E8" s="132"/>
      <c r="F8" s="132"/>
      <c r="G8" s="132" t="s">
        <v>5</v>
      </c>
      <c r="H8" s="132" t="s">
        <v>4</v>
      </c>
      <c r="I8" s="132" t="s">
        <v>31</v>
      </c>
      <c r="J8" s="132" t="s">
        <v>32</v>
      </c>
    </row>
    <row r="9" spans="1:45" ht="30" x14ac:dyDescent="0.25">
      <c r="A9" s="133"/>
      <c r="B9" s="7" t="s">
        <v>1</v>
      </c>
      <c r="C9" s="7" t="s">
        <v>2</v>
      </c>
      <c r="D9" s="8" t="s">
        <v>3</v>
      </c>
      <c r="E9" s="8" t="s">
        <v>8</v>
      </c>
      <c r="F9" s="8" t="s">
        <v>13</v>
      </c>
      <c r="G9" s="132"/>
      <c r="H9" s="132"/>
      <c r="I9" s="132"/>
      <c r="J9" s="132"/>
    </row>
    <row r="10" spans="1:45" x14ac:dyDescent="0.25">
      <c r="A10" s="12"/>
      <c r="B10" s="2"/>
      <c r="C10" s="2"/>
      <c r="D10" s="11"/>
      <c r="E10" s="11"/>
      <c r="F10" s="11"/>
      <c r="G10" s="1"/>
      <c r="H10" s="1"/>
      <c r="I10" s="1"/>
      <c r="J10" s="1"/>
    </row>
    <row r="11" spans="1:45" x14ac:dyDescent="0.25">
      <c r="A11" s="10" t="s">
        <v>11</v>
      </c>
      <c r="B11" s="10">
        <f>SUM(B12:B30)</f>
        <v>83</v>
      </c>
      <c r="C11" s="10">
        <f>SUM(C12:C30)</f>
        <v>41</v>
      </c>
      <c r="D11" s="10">
        <f>SUM(D12:D30)</f>
        <v>19</v>
      </c>
      <c r="E11" s="10"/>
      <c r="F11" s="10"/>
      <c r="G11" s="10" t="s">
        <v>30</v>
      </c>
      <c r="H11" s="10">
        <v>1</v>
      </c>
      <c r="I11" s="10"/>
      <c r="J11" s="10"/>
    </row>
    <row r="12" spans="1:45" outlineLevel="1" x14ac:dyDescent="0.25">
      <c r="A12" t="s">
        <v>12</v>
      </c>
      <c r="B12" s="9">
        <v>3</v>
      </c>
      <c r="C12" s="9">
        <v>0</v>
      </c>
      <c r="D12" s="9">
        <v>1</v>
      </c>
      <c r="E12" s="9" t="s">
        <v>6</v>
      </c>
      <c r="F12" s="9">
        <v>4305</v>
      </c>
    </row>
    <row r="13" spans="1:45" outlineLevel="1" x14ac:dyDescent="0.25">
      <c r="B13" s="10">
        <v>2</v>
      </c>
      <c r="C13" s="10">
        <v>1</v>
      </c>
      <c r="D13" s="10">
        <v>1</v>
      </c>
      <c r="E13" s="10" t="s">
        <v>15</v>
      </c>
      <c r="F13" s="10">
        <v>4301</v>
      </c>
    </row>
    <row r="14" spans="1:45" outlineLevel="1" x14ac:dyDescent="0.25">
      <c r="B14" s="10">
        <v>3</v>
      </c>
      <c r="C14" s="10">
        <v>0</v>
      </c>
      <c r="D14" s="10">
        <v>1</v>
      </c>
      <c r="E14" s="10" t="s">
        <v>16</v>
      </c>
      <c r="F14" s="10">
        <v>4305</v>
      </c>
    </row>
    <row r="15" spans="1:45" outlineLevel="1" x14ac:dyDescent="0.25">
      <c r="B15" s="10">
        <v>2</v>
      </c>
      <c r="C15" s="10">
        <v>3</v>
      </c>
      <c r="D15" s="10">
        <v>1</v>
      </c>
      <c r="E15" s="10" t="s">
        <v>17</v>
      </c>
      <c r="F15" s="10">
        <v>4306</v>
      </c>
    </row>
    <row r="16" spans="1:45" outlineLevel="1" x14ac:dyDescent="0.25">
      <c r="B16" s="10">
        <v>4</v>
      </c>
      <c r="C16" s="10">
        <v>0</v>
      </c>
      <c r="D16" s="10">
        <v>1</v>
      </c>
      <c r="E16" s="10" t="s">
        <v>18</v>
      </c>
      <c r="F16" s="10">
        <v>4340</v>
      </c>
    </row>
    <row r="17" spans="1:6" outlineLevel="1" x14ac:dyDescent="0.25">
      <c r="B17" s="10">
        <v>2</v>
      </c>
      <c r="C17" s="10">
        <v>1</v>
      </c>
      <c r="D17" s="10">
        <v>1</v>
      </c>
      <c r="E17" s="10" t="s">
        <v>19</v>
      </c>
      <c r="F17" s="10">
        <v>4306</v>
      </c>
    </row>
    <row r="18" spans="1:6" outlineLevel="1" x14ac:dyDescent="0.25">
      <c r="B18" s="10">
        <v>9</v>
      </c>
      <c r="C18" s="10">
        <v>0</v>
      </c>
      <c r="D18" s="10">
        <v>1</v>
      </c>
      <c r="E18" s="10" t="s">
        <v>20</v>
      </c>
      <c r="F18" s="10">
        <v>4311</v>
      </c>
    </row>
    <row r="19" spans="1:6" outlineLevel="1" x14ac:dyDescent="0.25">
      <c r="B19" s="10">
        <v>10</v>
      </c>
      <c r="C19" s="10">
        <v>0</v>
      </c>
      <c r="D19" s="10">
        <v>1</v>
      </c>
      <c r="E19" s="10" t="s">
        <v>21</v>
      </c>
      <c r="F19" s="10">
        <v>4305</v>
      </c>
    </row>
    <row r="20" spans="1:6" outlineLevel="1" x14ac:dyDescent="0.25">
      <c r="B20" s="10">
        <v>2</v>
      </c>
      <c r="C20" s="10">
        <v>0</v>
      </c>
      <c r="D20" s="10">
        <v>1</v>
      </c>
      <c r="E20" s="10" t="s">
        <v>22</v>
      </c>
      <c r="F20" s="10">
        <v>4304</v>
      </c>
    </row>
    <row r="21" spans="1:6" outlineLevel="1" x14ac:dyDescent="0.25">
      <c r="B21" s="10">
        <v>2</v>
      </c>
      <c r="C21" s="10">
        <v>0</v>
      </c>
      <c r="D21" s="10">
        <v>1</v>
      </c>
      <c r="E21" s="10" t="s">
        <v>23</v>
      </c>
      <c r="F21" s="10">
        <v>4305</v>
      </c>
    </row>
    <row r="22" spans="1:6" outlineLevel="1" x14ac:dyDescent="0.25">
      <c r="B22" s="10">
        <v>6</v>
      </c>
      <c r="C22" s="10">
        <v>1</v>
      </c>
      <c r="D22" s="10">
        <v>1</v>
      </c>
      <c r="E22" s="10" t="s">
        <v>24</v>
      </c>
      <c r="F22" s="10">
        <v>4306</v>
      </c>
    </row>
    <row r="23" spans="1:6" outlineLevel="1" x14ac:dyDescent="0.25">
      <c r="B23" s="10">
        <v>1</v>
      </c>
      <c r="C23" s="10">
        <v>0</v>
      </c>
      <c r="D23" s="10">
        <v>1</v>
      </c>
      <c r="E23" s="10" t="s">
        <v>25</v>
      </c>
      <c r="F23" s="10">
        <v>4305</v>
      </c>
    </row>
    <row r="24" spans="1:6" outlineLevel="1" x14ac:dyDescent="0.25">
      <c r="B24" s="10">
        <v>3</v>
      </c>
      <c r="C24" s="10">
        <v>0</v>
      </c>
      <c r="D24" s="10">
        <v>1</v>
      </c>
      <c r="E24" s="10" t="s">
        <v>26</v>
      </c>
      <c r="F24" s="10">
        <v>4311</v>
      </c>
    </row>
    <row r="25" spans="1:6" outlineLevel="1" x14ac:dyDescent="0.25">
      <c r="B25" s="10">
        <v>5</v>
      </c>
      <c r="C25" s="10">
        <v>0</v>
      </c>
      <c r="D25" s="10">
        <v>1</v>
      </c>
      <c r="E25" s="10" t="s">
        <v>27</v>
      </c>
      <c r="F25" s="10">
        <v>4305</v>
      </c>
    </row>
    <row r="26" spans="1:6" outlineLevel="1" x14ac:dyDescent="0.25">
      <c r="B26" s="10">
        <v>2</v>
      </c>
      <c r="C26" s="10">
        <v>4</v>
      </c>
      <c r="D26" s="10">
        <v>1</v>
      </c>
      <c r="E26" s="10" t="s">
        <v>23</v>
      </c>
      <c r="F26" s="10">
        <v>4305</v>
      </c>
    </row>
    <row r="27" spans="1:6" outlineLevel="1" x14ac:dyDescent="0.25">
      <c r="B27" s="10">
        <v>10</v>
      </c>
      <c r="C27" s="10">
        <v>14</v>
      </c>
      <c r="D27" s="10">
        <v>1</v>
      </c>
      <c r="E27" s="10" t="s">
        <v>6</v>
      </c>
      <c r="F27" s="10">
        <v>4305</v>
      </c>
    </row>
    <row r="28" spans="1:6" outlineLevel="1" x14ac:dyDescent="0.25">
      <c r="B28" s="10">
        <v>11</v>
      </c>
      <c r="C28" s="10">
        <v>16</v>
      </c>
      <c r="D28" s="10">
        <v>1</v>
      </c>
      <c r="E28" s="10" t="s">
        <v>14</v>
      </c>
      <c r="F28" s="10">
        <v>4305</v>
      </c>
    </row>
    <row r="29" spans="1:6" outlineLevel="1" x14ac:dyDescent="0.25">
      <c r="B29" s="10">
        <v>3</v>
      </c>
      <c r="C29" s="10">
        <v>1</v>
      </c>
      <c r="D29" s="10">
        <v>1</v>
      </c>
      <c r="E29" s="10" t="s">
        <v>28</v>
      </c>
      <c r="F29" s="10">
        <v>4305</v>
      </c>
    </row>
    <row r="30" spans="1:6" outlineLevel="1" x14ac:dyDescent="0.25">
      <c r="B30" s="10">
        <v>3</v>
      </c>
      <c r="C30" s="10">
        <v>0</v>
      </c>
      <c r="D30" s="10">
        <v>1</v>
      </c>
      <c r="E30" s="10" t="s">
        <v>29</v>
      </c>
      <c r="F30" s="10">
        <v>4300</v>
      </c>
    </row>
    <row r="32" spans="1:6" x14ac:dyDescent="0.25">
      <c r="A32" t="s">
        <v>34</v>
      </c>
    </row>
  </sheetData>
  <mergeCells count="7">
    <mergeCell ref="D8:F8"/>
    <mergeCell ref="J8:J9"/>
    <mergeCell ref="I8:I9"/>
    <mergeCell ref="B8:C8"/>
    <mergeCell ref="A8:A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showGridLines="0" tabSelected="1" zoomScale="90" zoomScaleNormal="90" workbookViewId="0">
      <selection activeCell="B22" sqref="B22"/>
    </sheetView>
  </sheetViews>
  <sheetFormatPr defaultColWidth="9.140625" defaultRowHeight="15" x14ac:dyDescent="0.25"/>
  <cols>
    <col min="1" max="1" width="8.85546875" style="14" bestFit="1" customWidth="1"/>
    <col min="2" max="2" width="34.42578125" style="13" customWidth="1"/>
    <col min="3" max="3" width="23.7109375" style="13" customWidth="1"/>
    <col min="4" max="4" width="35.28515625" style="13" customWidth="1"/>
    <col min="5" max="5" width="26.5703125" style="13" customWidth="1"/>
    <col min="6" max="6" width="13" style="13" customWidth="1"/>
    <col min="7" max="7" width="9.140625" style="13"/>
    <col min="8" max="8" width="72.85546875" style="13" customWidth="1"/>
    <col min="9" max="9" width="4.7109375" style="13" customWidth="1"/>
    <col min="10" max="13" width="9.140625" style="13"/>
    <col min="14" max="14" width="122.7109375" style="13" customWidth="1"/>
    <col min="15" max="16384" width="9.140625" style="13"/>
  </cols>
  <sheetData>
    <row r="2" spans="1:8" ht="36" customHeight="1" x14ac:dyDescent="0.25">
      <c r="A2" s="130" t="s">
        <v>185</v>
      </c>
      <c r="B2" s="130"/>
      <c r="C2" s="130"/>
      <c r="D2" s="130"/>
      <c r="E2" s="130"/>
      <c r="F2" s="130"/>
      <c r="G2" s="130"/>
      <c r="H2" s="130"/>
    </row>
    <row r="4" spans="1:8" ht="18" x14ac:dyDescent="0.25">
      <c r="A4" s="46" t="s">
        <v>186</v>
      </c>
      <c r="B4" s="47" t="s">
        <v>187</v>
      </c>
      <c r="C4" s="131" t="s">
        <v>188</v>
      </c>
      <c r="D4" s="131"/>
      <c r="E4" s="131"/>
      <c r="F4" s="131"/>
      <c r="G4" s="131"/>
      <c r="H4" s="131"/>
    </row>
    <row r="5" spans="1:8" ht="15.75" x14ac:dyDescent="0.25">
      <c r="A5" s="48">
        <v>1</v>
      </c>
      <c r="B5" s="49" t="s">
        <v>189</v>
      </c>
      <c r="C5" s="125" t="s">
        <v>253</v>
      </c>
      <c r="D5" s="125"/>
      <c r="E5" s="125"/>
      <c r="F5" s="125"/>
      <c r="G5" s="125"/>
      <c r="H5" s="125"/>
    </row>
    <row r="6" spans="1:8" ht="15.75" x14ac:dyDescent="0.25">
      <c r="A6" s="48">
        <v>2</v>
      </c>
      <c r="B6" s="49" t="s">
        <v>190</v>
      </c>
      <c r="C6" s="125" t="s">
        <v>252</v>
      </c>
      <c r="D6" s="125"/>
      <c r="E6" s="125"/>
      <c r="F6" s="125"/>
      <c r="G6" s="125"/>
      <c r="H6" s="125"/>
    </row>
    <row r="7" spans="1:8" ht="15.75" x14ac:dyDescent="0.25">
      <c r="A7" s="48">
        <v>3</v>
      </c>
      <c r="B7" s="49" t="s">
        <v>191</v>
      </c>
      <c r="C7" s="125" t="s">
        <v>254</v>
      </c>
      <c r="D7" s="125"/>
      <c r="E7" s="125"/>
      <c r="F7" s="125"/>
      <c r="G7" s="125"/>
      <c r="H7" s="125"/>
    </row>
    <row r="8" spans="1:8" ht="15.75" x14ac:dyDescent="0.25">
      <c r="A8" s="48">
        <v>4</v>
      </c>
      <c r="B8" s="49" t="s">
        <v>33</v>
      </c>
      <c r="C8" s="125" t="s">
        <v>192</v>
      </c>
      <c r="D8" s="125"/>
      <c r="E8" s="125"/>
      <c r="F8" s="125"/>
      <c r="G8" s="125"/>
      <c r="H8" s="125"/>
    </row>
    <row r="9" spans="1:8" ht="15.75" x14ac:dyDescent="0.25">
      <c r="A9" s="48">
        <v>5</v>
      </c>
      <c r="B9" s="49" t="s">
        <v>193</v>
      </c>
      <c r="C9" s="125" t="s">
        <v>194</v>
      </c>
      <c r="D9" s="125"/>
      <c r="E9" s="125"/>
      <c r="F9" s="125"/>
      <c r="G9" s="125"/>
      <c r="H9" s="125"/>
    </row>
    <row r="10" spans="1:8" ht="15.75" x14ac:dyDescent="0.25">
      <c r="A10" s="48">
        <v>6</v>
      </c>
      <c r="B10" s="49" t="s">
        <v>184</v>
      </c>
      <c r="C10" s="125" t="s">
        <v>195</v>
      </c>
      <c r="D10" s="125"/>
      <c r="E10" s="125"/>
      <c r="F10" s="125"/>
      <c r="G10" s="125"/>
      <c r="H10" s="125"/>
    </row>
    <row r="13" spans="1:8" ht="18" x14ac:dyDescent="0.25">
      <c r="A13" s="126" t="s">
        <v>255</v>
      </c>
      <c r="B13" s="126"/>
      <c r="C13" s="126"/>
      <c r="D13" s="126"/>
      <c r="E13" s="126"/>
      <c r="F13" s="126"/>
      <c r="G13" s="126"/>
      <c r="H13" s="126"/>
    </row>
    <row r="14" spans="1:8" x14ac:dyDescent="0.25">
      <c r="A14" s="127" t="s">
        <v>197</v>
      </c>
      <c r="B14" s="128"/>
      <c r="C14" s="128"/>
      <c r="D14" s="128"/>
      <c r="E14" s="128"/>
      <c r="F14" s="128"/>
      <c r="G14" s="128"/>
      <c r="H14" s="129"/>
    </row>
    <row r="15" spans="1:8" x14ac:dyDescent="0.25">
      <c r="A15" s="119" t="s">
        <v>198</v>
      </c>
      <c r="B15" s="121"/>
      <c r="C15" s="122" t="s">
        <v>199</v>
      </c>
      <c r="D15" s="123"/>
      <c r="E15" s="123"/>
      <c r="F15" s="123"/>
      <c r="G15" s="123"/>
      <c r="H15" s="124"/>
    </row>
    <row r="16" spans="1:8" x14ac:dyDescent="0.25">
      <c r="A16" s="119" t="s">
        <v>200</v>
      </c>
      <c r="B16" s="121"/>
      <c r="C16" s="122" t="s">
        <v>201</v>
      </c>
      <c r="D16" s="123"/>
      <c r="E16" s="123"/>
      <c r="F16" s="123"/>
      <c r="G16" s="123"/>
      <c r="H16" s="124"/>
    </row>
    <row r="17" spans="1:8" x14ac:dyDescent="0.25">
      <c r="A17" s="119" t="s">
        <v>202</v>
      </c>
      <c r="B17" s="121"/>
      <c r="C17" s="122" t="s">
        <v>203</v>
      </c>
      <c r="D17" s="123"/>
      <c r="E17" s="123"/>
      <c r="F17" s="123"/>
      <c r="G17" s="123"/>
      <c r="H17" s="124"/>
    </row>
    <row r="18" spans="1:8" x14ac:dyDescent="0.25">
      <c r="A18" s="119" t="s">
        <v>204</v>
      </c>
      <c r="B18" s="120"/>
      <c r="C18" s="122" t="s">
        <v>205</v>
      </c>
      <c r="D18" s="123"/>
      <c r="E18" s="123"/>
      <c r="F18" s="123"/>
      <c r="G18" s="123"/>
      <c r="H18" s="124"/>
    </row>
  </sheetData>
  <mergeCells count="18">
    <mergeCell ref="C8:H8"/>
    <mergeCell ref="A2:H2"/>
    <mergeCell ref="C4:H4"/>
    <mergeCell ref="C5:H5"/>
    <mergeCell ref="C6:H6"/>
    <mergeCell ref="C7:H7"/>
    <mergeCell ref="C9:H9"/>
    <mergeCell ref="C10:H10"/>
    <mergeCell ref="A13:H13"/>
    <mergeCell ref="A14:H14"/>
    <mergeCell ref="A15:B15"/>
    <mergeCell ref="C15:H15"/>
    <mergeCell ref="A18:B18"/>
    <mergeCell ref="A17:B17"/>
    <mergeCell ref="A16:B16"/>
    <mergeCell ref="C18:H18"/>
    <mergeCell ref="C17:H17"/>
    <mergeCell ref="C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showGridLines="0" topLeftCell="A33" zoomScale="80" zoomScaleNormal="80" workbookViewId="0">
      <selection activeCell="D56" sqref="D56:F56"/>
    </sheetView>
  </sheetViews>
  <sheetFormatPr defaultColWidth="9.140625" defaultRowHeight="15" x14ac:dyDescent="0.25"/>
  <cols>
    <col min="1" max="1" width="9.85546875" style="14" customWidth="1"/>
    <col min="2" max="2" width="22.42578125" style="13" customWidth="1"/>
    <col min="3" max="3" width="18.85546875" style="13" customWidth="1"/>
    <col min="4" max="4" width="42.140625" style="13" customWidth="1"/>
    <col min="5" max="5" width="55.42578125" style="13" bestFit="1" customWidth="1"/>
    <col min="6" max="6" width="13" style="13" customWidth="1"/>
    <col min="7" max="7" width="3.42578125" style="13" customWidth="1"/>
    <col min="8" max="8" width="41.85546875" style="13" customWidth="1"/>
    <col min="9" max="9" width="35" style="13" customWidth="1"/>
    <col min="10" max="10" width="22.85546875" style="13" customWidth="1"/>
    <col min="11" max="11" width="27" style="13" customWidth="1"/>
    <col min="12" max="14" width="32.140625" style="13" customWidth="1"/>
    <col min="15" max="15" width="45.42578125" style="13" customWidth="1"/>
    <col min="16" max="16" width="79.5703125" style="19" customWidth="1"/>
    <col min="17" max="16384" width="9.140625" style="13"/>
  </cols>
  <sheetData>
    <row r="1" spans="1:27" ht="34.5" x14ac:dyDescent="0.25">
      <c r="A1" s="6" t="s">
        <v>35</v>
      </c>
      <c r="B1" s="4" t="s">
        <v>206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5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" customHeight="1" x14ac:dyDescent="0.25">
      <c r="A2" s="45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6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J3" s="154"/>
      <c r="K3" s="154"/>
    </row>
    <row r="4" spans="1:27" ht="36" customHeight="1" x14ac:dyDescent="0.25">
      <c r="A4" s="155" t="s">
        <v>196</v>
      </c>
      <c r="B4" s="155"/>
      <c r="C4" s="155"/>
      <c r="D4" s="155"/>
      <c r="E4" s="155"/>
      <c r="F4" s="155"/>
      <c r="G4" s="14"/>
      <c r="H4" s="155" t="s">
        <v>256</v>
      </c>
      <c r="I4" s="155"/>
      <c r="J4" s="155"/>
      <c r="K4" s="155"/>
      <c r="L4" s="155"/>
      <c r="M4" s="155"/>
      <c r="N4" s="155"/>
      <c r="O4" s="155"/>
      <c r="P4" s="155"/>
    </row>
    <row r="6" spans="1:27" ht="18" x14ac:dyDescent="0.25">
      <c r="A6" s="156" t="s">
        <v>207</v>
      </c>
      <c r="B6" s="157"/>
      <c r="C6" s="158"/>
      <c r="D6" s="159" t="s">
        <v>208</v>
      </c>
      <c r="E6" s="159"/>
      <c r="F6" s="159"/>
      <c r="G6" s="20"/>
      <c r="H6" s="160" t="s">
        <v>209</v>
      </c>
      <c r="I6" s="161"/>
      <c r="J6" s="160" t="s">
        <v>210</v>
      </c>
      <c r="K6" s="162"/>
      <c r="L6" s="160" t="s">
        <v>275</v>
      </c>
      <c r="M6" s="162"/>
      <c r="N6" s="162"/>
      <c r="O6" s="80" t="s">
        <v>264</v>
      </c>
      <c r="P6" s="74" t="s">
        <v>211</v>
      </c>
    </row>
    <row r="7" spans="1:27" s="51" customFormat="1" ht="74.25" customHeight="1" x14ac:dyDescent="0.25">
      <c r="A7" s="21" t="s">
        <v>212</v>
      </c>
      <c r="B7" s="21" t="s">
        <v>213</v>
      </c>
      <c r="C7" s="21" t="s">
        <v>214</v>
      </c>
      <c r="D7" s="21" t="s">
        <v>215</v>
      </c>
      <c r="E7" s="21" t="s">
        <v>216</v>
      </c>
      <c r="F7" s="21" t="s">
        <v>217</v>
      </c>
      <c r="G7" s="50"/>
      <c r="H7" s="21" t="s">
        <v>218</v>
      </c>
      <c r="I7" s="21" t="s">
        <v>219</v>
      </c>
      <c r="J7" s="21" t="s">
        <v>220</v>
      </c>
      <c r="K7" s="21" t="s">
        <v>221</v>
      </c>
      <c r="L7" s="21" t="s">
        <v>273</v>
      </c>
      <c r="M7" s="21" t="s">
        <v>272</v>
      </c>
      <c r="N7" s="21" t="s">
        <v>274</v>
      </c>
      <c r="O7" s="21" t="s">
        <v>263</v>
      </c>
      <c r="P7" s="21" t="s">
        <v>222</v>
      </c>
    </row>
    <row r="9" spans="1:27" ht="15" customHeight="1" x14ac:dyDescent="0.25">
      <c r="A9" s="134">
        <v>1</v>
      </c>
      <c r="B9" s="134" t="s">
        <v>223</v>
      </c>
      <c r="C9" s="150">
        <v>1</v>
      </c>
      <c r="D9" s="25" t="s">
        <v>163</v>
      </c>
      <c r="E9" s="25" t="s">
        <v>224</v>
      </c>
      <c r="F9" s="52"/>
      <c r="G9" s="26"/>
      <c r="H9" s="53"/>
      <c r="I9" s="53"/>
      <c r="J9" s="53"/>
      <c r="K9" s="53"/>
      <c r="L9" s="151"/>
      <c r="M9" s="81"/>
      <c r="N9" s="81"/>
      <c r="O9" s="81"/>
      <c r="P9" s="77"/>
    </row>
    <row r="10" spans="1:27" ht="20.25" customHeight="1" x14ac:dyDescent="0.25">
      <c r="A10" s="134"/>
      <c r="B10" s="134"/>
      <c r="C10" s="150"/>
      <c r="D10" s="25" t="s">
        <v>164</v>
      </c>
      <c r="E10" s="25" t="s">
        <v>225</v>
      </c>
      <c r="F10" s="27"/>
      <c r="G10" s="26"/>
      <c r="H10" s="54"/>
      <c r="I10" s="54"/>
      <c r="J10" s="54"/>
      <c r="K10" s="54"/>
      <c r="L10" s="152"/>
      <c r="M10" s="82"/>
      <c r="N10" s="82"/>
      <c r="O10" s="82"/>
      <c r="P10" s="77"/>
    </row>
    <row r="11" spans="1:27" ht="15" customHeight="1" x14ac:dyDescent="0.35">
      <c r="A11" s="55"/>
      <c r="B11" s="55"/>
      <c r="C11" s="26"/>
      <c r="D11" s="137" t="s">
        <v>226</v>
      </c>
      <c r="E11" s="25" t="s">
        <v>227</v>
      </c>
      <c r="F11" s="138"/>
      <c r="G11" s="26"/>
      <c r="H11" s="141" t="s">
        <v>257</v>
      </c>
      <c r="I11" s="142"/>
      <c r="J11" s="142"/>
      <c r="K11" s="43"/>
      <c r="L11" s="53"/>
      <c r="M11" s="53"/>
      <c r="N11" s="53"/>
      <c r="O11" s="53"/>
      <c r="P11" s="79"/>
    </row>
    <row r="12" spans="1:27" ht="15" customHeight="1" x14ac:dyDescent="0.35">
      <c r="A12" s="55"/>
      <c r="B12" s="55"/>
      <c r="C12" s="26"/>
      <c r="D12" s="137"/>
      <c r="E12" s="25" t="s">
        <v>228</v>
      </c>
      <c r="F12" s="139"/>
      <c r="G12" s="26"/>
      <c r="H12" s="143"/>
      <c r="I12" s="144"/>
      <c r="J12" s="144"/>
      <c r="K12" s="29"/>
      <c r="L12" s="53"/>
      <c r="M12" s="53"/>
      <c r="N12" s="53"/>
      <c r="O12" s="53"/>
      <c r="P12" s="79"/>
    </row>
    <row r="13" spans="1:27" ht="15" customHeight="1" x14ac:dyDescent="0.35">
      <c r="A13" s="55"/>
      <c r="B13" s="55"/>
      <c r="C13" s="26"/>
      <c r="D13" s="137"/>
      <c r="E13" s="25" t="s">
        <v>229</v>
      </c>
      <c r="F13" s="139"/>
      <c r="G13" s="26"/>
      <c r="H13" s="143"/>
      <c r="I13" s="144"/>
      <c r="J13" s="144"/>
      <c r="K13" s="29"/>
      <c r="L13" s="53"/>
      <c r="M13" s="53"/>
      <c r="N13" s="53"/>
      <c r="O13" s="53"/>
      <c r="P13" s="79"/>
    </row>
    <row r="14" spans="1:27" ht="15" customHeight="1" x14ac:dyDescent="0.35">
      <c r="A14" s="55"/>
      <c r="B14" s="55"/>
      <c r="C14" s="26"/>
      <c r="D14" s="137"/>
      <c r="E14" s="25" t="s">
        <v>230</v>
      </c>
      <c r="F14" s="140"/>
      <c r="G14" s="26"/>
      <c r="H14" s="145"/>
      <c r="I14" s="146"/>
      <c r="J14" s="146"/>
      <c r="K14" s="56"/>
      <c r="L14" s="53"/>
      <c r="M14" s="53"/>
      <c r="N14" s="53"/>
      <c r="O14" s="53"/>
      <c r="P14" s="79"/>
    </row>
    <row r="15" spans="1:27" ht="15" customHeight="1" x14ac:dyDescent="0.35">
      <c r="A15" s="55"/>
      <c r="B15" s="55"/>
      <c r="C15" s="26"/>
      <c r="D15" s="38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78"/>
    </row>
    <row r="16" spans="1:27" ht="15.75" customHeight="1" x14ac:dyDescent="0.25">
      <c r="A16" s="58"/>
      <c r="B16" s="59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78"/>
    </row>
    <row r="17" spans="1:16" ht="15" customHeight="1" x14ac:dyDescent="0.25">
      <c r="A17" s="134">
        <v>2</v>
      </c>
      <c r="B17" s="134" t="s">
        <v>231</v>
      </c>
      <c r="C17" s="153" t="s">
        <v>232</v>
      </c>
      <c r="D17" s="25" t="s">
        <v>163</v>
      </c>
      <c r="E17" s="25" t="s">
        <v>224</v>
      </c>
      <c r="F17" s="52"/>
      <c r="G17" s="26"/>
      <c r="H17" s="53"/>
      <c r="I17" s="53"/>
      <c r="J17" s="53"/>
      <c r="K17" s="53"/>
      <c r="L17" s="44"/>
      <c r="M17" s="44"/>
      <c r="N17" s="44"/>
      <c r="O17" s="44"/>
      <c r="P17" s="79"/>
    </row>
    <row r="18" spans="1:16" ht="15" customHeight="1" x14ac:dyDescent="0.25">
      <c r="A18" s="134"/>
      <c r="B18" s="134"/>
      <c r="C18" s="153"/>
      <c r="D18" s="25" t="s">
        <v>164</v>
      </c>
      <c r="E18" s="25" t="s">
        <v>225</v>
      </c>
      <c r="F18" s="27"/>
      <c r="G18" s="26"/>
      <c r="H18" s="53"/>
      <c r="I18" s="53"/>
      <c r="J18" s="53"/>
      <c r="K18" s="53"/>
      <c r="L18" s="28"/>
      <c r="M18" s="28"/>
      <c r="N18" s="28"/>
      <c r="O18" s="28"/>
      <c r="P18" s="79"/>
    </row>
    <row r="19" spans="1:16" ht="15" customHeight="1" x14ac:dyDescent="0.25">
      <c r="A19" s="134"/>
      <c r="B19" s="134"/>
      <c r="C19" s="153"/>
      <c r="D19" s="30" t="s">
        <v>233</v>
      </c>
      <c r="E19" s="25" t="s">
        <v>234</v>
      </c>
      <c r="F19" s="25"/>
      <c r="G19" s="26"/>
      <c r="H19" s="53"/>
      <c r="I19" s="53"/>
      <c r="J19" s="53"/>
      <c r="K19" s="53"/>
      <c r="L19" s="28"/>
      <c r="M19" s="28"/>
      <c r="N19" s="28"/>
      <c r="O19" s="28"/>
      <c r="P19" s="79"/>
    </row>
    <row r="20" spans="1:16" ht="15" customHeight="1" x14ac:dyDescent="0.25">
      <c r="A20" s="134"/>
      <c r="B20" s="134"/>
      <c r="C20" s="153"/>
      <c r="D20" s="30" t="s">
        <v>149</v>
      </c>
      <c r="E20" s="25"/>
      <c r="F20" s="30"/>
      <c r="G20" s="26"/>
      <c r="H20" s="53"/>
      <c r="I20" s="53"/>
      <c r="J20" s="53"/>
      <c r="K20" s="53"/>
      <c r="L20" s="28"/>
      <c r="M20" s="28"/>
      <c r="N20" s="28"/>
      <c r="O20" s="28"/>
      <c r="P20" s="79"/>
    </row>
    <row r="21" spans="1:16" ht="15" customHeight="1" x14ac:dyDescent="0.25">
      <c r="A21" s="134"/>
      <c r="B21" s="134"/>
      <c r="C21" s="153"/>
      <c r="D21" s="30" t="s">
        <v>143</v>
      </c>
      <c r="E21" s="25" t="s">
        <v>235</v>
      </c>
      <c r="F21" s="52"/>
      <c r="G21" s="26"/>
      <c r="H21" s="53"/>
      <c r="I21" s="53"/>
      <c r="J21" s="53"/>
      <c r="K21" s="53"/>
      <c r="L21" s="28"/>
      <c r="M21" s="28"/>
      <c r="N21" s="28"/>
      <c r="O21" s="28"/>
      <c r="P21" s="79"/>
    </row>
    <row r="22" spans="1:16" ht="15" customHeight="1" x14ac:dyDescent="0.25">
      <c r="A22" s="134"/>
      <c r="B22" s="134"/>
      <c r="C22" s="153"/>
      <c r="D22" s="30" t="s">
        <v>144</v>
      </c>
      <c r="E22" s="25" t="s">
        <v>236</v>
      </c>
      <c r="F22" s="52"/>
      <c r="G22" s="26"/>
      <c r="H22" s="53"/>
      <c r="I22" s="53"/>
      <c r="J22" s="53"/>
      <c r="K22" s="53"/>
      <c r="L22" s="28"/>
      <c r="M22" s="28"/>
      <c r="N22" s="28"/>
      <c r="O22" s="28"/>
      <c r="P22" s="79"/>
    </row>
    <row r="23" spans="1:16" ht="15" customHeight="1" x14ac:dyDescent="0.25">
      <c r="A23" s="134"/>
      <c r="B23" s="134"/>
      <c r="C23" s="153"/>
      <c r="D23" s="30" t="s">
        <v>146</v>
      </c>
      <c r="E23" s="25"/>
      <c r="F23" s="52"/>
      <c r="G23" s="26"/>
      <c r="H23" s="53"/>
      <c r="I23" s="53"/>
      <c r="J23" s="53"/>
      <c r="K23" s="53"/>
      <c r="L23" s="28"/>
      <c r="M23" s="28"/>
      <c r="N23" s="28"/>
      <c r="O23" s="28"/>
      <c r="P23" s="79"/>
    </row>
    <row r="24" spans="1:16" ht="15" customHeight="1" x14ac:dyDescent="0.25">
      <c r="A24" s="134"/>
      <c r="B24" s="134"/>
      <c r="C24" s="153"/>
      <c r="D24" s="30" t="s">
        <v>147</v>
      </c>
      <c r="E24" s="24" t="s">
        <v>237</v>
      </c>
      <c r="F24" s="52"/>
      <c r="G24" s="26"/>
      <c r="H24" s="53"/>
      <c r="I24" s="53"/>
      <c r="J24" s="53"/>
      <c r="K24" s="53"/>
      <c r="L24" s="28"/>
      <c r="M24" s="28"/>
      <c r="N24" s="28"/>
      <c r="O24" s="28"/>
      <c r="P24" s="79"/>
    </row>
    <row r="25" spans="1:16" ht="15" customHeight="1" x14ac:dyDescent="0.25">
      <c r="A25" s="134"/>
      <c r="B25" s="134"/>
      <c r="C25" s="153"/>
      <c r="D25" s="30" t="s">
        <v>148</v>
      </c>
      <c r="E25" s="25" t="s">
        <v>238</v>
      </c>
      <c r="F25" s="52"/>
      <c r="G25" s="26"/>
      <c r="H25" s="54"/>
      <c r="I25" s="54"/>
      <c r="J25" s="54"/>
      <c r="K25" s="53"/>
      <c r="L25" s="28"/>
      <c r="M25" s="28"/>
      <c r="N25" s="28"/>
      <c r="O25" s="28"/>
      <c r="P25" s="79"/>
    </row>
    <row r="26" spans="1:16" ht="15" customHeight="1" x14ac:dyDescent="0.25">
      <c r="A26" s="134"/>
      <c r="B26" s="134"/>
      <c r="C26" s="153"/>
      <c r="D26" s="30" t="s">
        <v>169</v>
      </c>
      <c r="E26" s="30" t="s">
        <v>239</v>
      </c>
      <c r="F26" s="52"/>
      <c r="G26" s="26"/>
      <c r="H26" s="54"/>
      <c r="I26" s="54"/>
      <c r="J26" s="54"/>
      <c r="K26" s="53"/>
      <c r="L26" s="28"/>
      <c r="M26" s="28"/>
      <c r="N26" s="28"/>
      <c r="O26" s="28"/>
      <c r="P26" s="79"/>
    </row>
    <row r="27" spans="1:16" ht="15" customHeight="1" x14ac:dyDescent="0.25">
      <c r="A27" s="134"/>
      <c r="B27" s="134"/>
      <c r="C27" s="153"/>
      <c r="D27" s="30" t="s">
        <v>168</v>
      </c>
      <c r="E27" s="30" t="s">
        <v>240</v>
      </c>
      <c r="F27" s="52"/>
      <c r="G27" s="26"/>
      <c r="H27" s="54"/>
      <c r="I27" s="54"/>
      <c r="J27" s="54"/>
      <c r="K27" s="53"/>
      <c r="L27" s="28"/>
      <c r="M27" s="28"/>
      <c r="N27" s="28"/>
      <c r="O27" s="28"/>
      <c r="P27" s="79"/>
    </row>
    <row r="28" spans="1:16" ht="15" customHeight="1" x14ac:dyDescent="0.25">
      <c r="A28" s="134"/>
      <c r="B28" s="134"/>
      <c r="C28" s="153"/>
      <c r="D28" s="30" t="s">
        <v>241</v>
      </c>
      <c r="E28" s="25" t="s">
        <v>242</v>
      </c>
      <c r="F28" s="60"/>
      <c r="G28" s="26"/>
      <c r="H28" s="53"/>
      <c r="I28" s="53"/>
      <c r="J28" s="53"/>
      <c r="K28" s="53"/>
      <c r="L28" s="57"/>
      <c r="M28" s="57"/>
      <c r="N28" s="57"/>
      <c r="O28" s="57"/>
      <c r="P28" s="79"/>
    </row>
    <row r="29" spans="1:16" ht="15" customHeight="1" x14ac:dyDescent="0.25">
      <c r="A29" s="61"/>
      <c r="B29" s="61"/>
      <c r="C29" s="26"/>
      <c r="D29" s="137" t="s">
        <v>226</v>
      </c>
      <c r="E29" s="25" t="s">
        <v>227</v>
      </c>
      <c r="F29" s="138"/>
      <c r="G29" s="26"/>
      <c r="H29" s="141" t="s">
        <v>257</v>
      </c>
      <c r="I29" s="142"/>
      <c r="J29" s="142"/>
      <c r="K29" s="29"/>
      <c r="L29" s="53"/>
      <c r="M29" s="53"/>
      <c r="N29" s="53"/>
      <c r="O29" s="53"/>
      <c r="P29" s="79"/>
    </row>
    <row r="30" spans="1:16" ht="15" customHeight="1" x14ac:dyDescent="0.25">
      <c r="A30" s="61"/>
      <c r="B30" s="61"/>
      <c r="C30" s="26"/>
      <c r="D30" s="137"/>
      <c r="E30" s="25" t="s">
        <v>228</v>
      </c>
      <c r="F30" s="139"/>
      <c r="G30" s="26"/>
      <c r="H30" s="143"/>
      <c r="I30" s="144"/>
      <c r="J30" s="144"/>
      <c r="K30" s="29"/>
      <c r="L30" s="53"/>
      <c r="M30" s="53"/>
      <c r="N30" s="53"/>
      <c r="O30" s="53"/>
      <c r="P30" s="79"/>
    </row>
    <row r="31" spans="1:16" ht="21" x14ac:dyDescent="0.25">
      <c r="A31" s="61"/>
      <c r="B31" s="61"/>
      <c r="C31" s="26"/>
      <c r="D31" s="137"/>
      <c r="E31" s="25" t="s">
        <v>229</v>
      </c>
      <c r="F31" s="139"/>
      <c r="G31" s="26"/>
      <c r="H31" s="143"/>
      <c r="I31" s="144"/>
      <c r="J31" s="144"/>
      <c r="K31" s="29"/>
      <c r="L31" s="53"/>
      <c r="M31" s="53"/>
      <c r="N31" s="53"/>
      <c r="O31" s="53"/>
      <c r="P31" s="79"/>
    </row>
    <row r="32" spans="1:16" ht="15" customHeight="1" x14ac:dyDescent="0.25">
      <c r="A32" s="61"/>
      <c r="B32" s="61"/>
      <c r="C32" s="26"/>
      <c r="D32" s="137"/>
      <c r="E32" s="25" t="s">
        <v>230</v>
      </c>
      <c r="F32" s="140"/>
      <c r="G32" s="26"/>
      <c r="H32" s="145"/>
      <c r="I32" s="146"/>
      <c r="J32" s="146"/>
      <c r="K32" s="56"/>
      <c r="L32" s="53"/>
      <c r="M32" s="53"/>
      <c r="N32" s="53"/>
      <c r="O32" s="53"/>
      <c r="P32" s="79"/>
    </row>
    <row r="33" spans="1:16" ht="15" customHeight="1" x14ac:dyDescent="0.25">
      <c r="A33" s="61"/>
      <c r="B33" s="61"/>
      <c r="C33" s="62"/>
      <c r="D33" s="38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78"/>
    </row>
    <row r="34" spans="1:16" ht="19.5" customHeight="1" thickBot="1" x14ac:dyDescent="0.3">
      <c r="A34" s="58"/>
      <c r="B34" s="59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78"/>
    </row>
    <row r="35" spans="1:16" ht="15" customHeight="1" x14ac:dyDescent="0.25">
      <c r="A35" s="134">
        <v>3</v>
      </c>
      <c r="B35" s="135" t="s">
        <v>243</v>
      </c>
      <c r="C35" s="147" t="s">
        <v>277</v>
      </c>
      <c r="D35" s="39" t="s">
        <v>163</v>
      </c>
      <c r="E35" s="25" t="s">
        <v>224</v>
      </c>
      <c r="F35" s="52"/>
      <c r="G35" s="26"/>
      <c r="H35" s="63"/>
      <c r="I35" s="63"/>
      <c r="J35" s="53"/>
      <c r="K35" s="53"/>
      <c r="L35" s="64"/>
      <c r="M35" s="85"/>
      <c r="N35" s="85"/>
      <c r="O35" s="85"/>
      <c r="P35" s="79"/>
    </row>
    <row r="36" spans="1:16" ht="15" customHeight="1" x14ac:dyDescent="0.25">
      <c r="A36" s="134"/>
      <c r="B36" s="136"/>
      <c r="C36" s="148"/>
      <c r="D36" s="90" t="s">
        <v>261</v>
      </c>
      <c r="E36" s="25" t="s">
        <v>225</v>
      </c>
      <c r="F36" s="27"/>
      <c r="G36" s="26"/>
      <c r="H36" s="63"/>
      <c r="I36" s="63"/>
      <c r="J36" s="53"/>
      <c r="K36" s="53"/>
      <c r="L36" s="65"/>
      <c r="M36" s="86"/>
      <c r="N36" s="86"/>
      <c r="O36" s="86"/>
      <c r="P36" s="79"/>
    </row>
    <row r="37" spans="1:16" ht="15" customHeight="1" x14ac:dyDescent="0.25">
      <c r="A37" s="134"/>
      <c r="B37" s="136"/>
      <c r="C37" s="148"/>
      <c r="D37" s="27" t="s">
        <v>150</v>
      </c>
      <c r="E37" s="30" t="s">
        <v>244</v>
      </c>
      <c r="F37" s="27"/>
      <c r="G37" s="26"/>
      <c r="H37" s="63"/>
      <c r="I37" s="63"/>
      <c r="J37" s="53"/>
      <c r="K37" s="53"/>
      <c r="L37" s="65"/>
      <c r="M37" s="86"/>
      <c r="N37" s="86"/>
      <c r="O37" s="86"/>
      <c r="P37" s="79"/>
    </row>
    <row r="38" spans="1:16" ht="15" customHeight="1" x14ac:dyDescent="0.25">
      <c r="A38" s="134"/>
      <c r="B38" s="136"/>
      <c r="C38" s="148"/>
      <c r="D38" s="27" t="s">
        <v>151</v>
      </c>
      <c r="E38" s="30"/>
      <c r="F38" s="30"/>
      <c r="G38" s="26"/>
      <c r="H38" s="63"/>
      <c r="I38" s="63"/>
      <c r="J38" s="53"/>
      <c r="K38" s="53"/>
      <c r="L38" s="65"/>
      <c r="M38" s="86"/>
      <c r="N38" s="86"/>
      <c r="O38" s="86"/>
      <c r="P38" s="79"/>
    </row>
    <row r="39" spans="1:16" ht="15" customHeight="1" x14ac:dyDescent="0.25">
      <c r="A39" s="134"/>
      <c r="B39" s="136"/>
      <c r="C39" s="148"/>
      <c r="D39" s="27" t="s">
        <v>165</v>
      </c>
      <c r="E39" s="30" t="s">
        <v>245</v>
      </c>
      <c r="F39" s="52"/>
      <c r="G39" s="26"/>
      <c r="H39" s="63"/>
      <c r="I39" s="63"/>
      <c r="J39" s="53"/>
      <c r="K39" s="53"/>
      <c r="L39" s="65"/>
      <c r="M39" s="86"/>
      <c r="N39" s="86"/>
      <c r="O39" s="86"/>
      <c r="P39" s="79"/>
    </row>
    <row r="40" spans="1:16" ht="15" customHeight="1" x14ac:dyDescent="0.25">
      <c r="A40" s="134"/>
      <c r="B40" s="136"/>
      <c r="C40" s="148"/>
      <c r="D40" s="27" t="s">
        <v>152</v>
      </c>
      <c r="E40" s="30"/>
      <c r="F40" s="52"/>
      <c r="G40" s="26"/>
      <c r="H40" s="63"/>
      <c r="I40" s="63"/>
      <c r="J40" s="53"/>
      <c r="K40" s="53"/>
      <c r="L40" s="65"/>
      <c r="M40" s="86"/>
      <c r="N40" s="86"/>
      <c r="O40" s="86"/>
      <c r="P40" s="79"/>
    </row>
    <row r="41" spans="1:16" ht="15" customHeight="1" x14ac:dyDescent="0.25">
      <c r="A41" s="134"/>
      <c r="B41" s="136"/>
      <c r="C41" s="148"/>
      <c r="D41" s="27" t="s">
        <v>153</v>
      </c>
      <c r="E41" s="30"/>
      <c r="F41" s="52"/>
      <c r="G41" s="26"/>
      <c r="H41" s="63"/>
      <c r="I41" s="63"/>
      <c r="J41" s="53"/>
      <c r="K41" s="53"/>
      <c r="L41" s="65"/>
      <c r="M41" s="86"/>
      <c r="N41" s="86"/>
      <c r="O41" s="86"/>
      <c r="P41" s="79"/>
    </row>
    <row r="42" spans="1:16" ht="15" customHeight="1" x14ac:dyDescent="0.25">
      <c r="A42" s="134"/>
      <c r="B42" s="136"/>
      <c r="C42" s="148"/>
      <c r="D42" s="27" t="s">
        <v>166</v>
      </c>
      <c r="E42" s="30" t="s">
        <v>246</v>
      </c>
      <c r="F42" s="52"/>
      <c r="G42" s="26"/>
      <c r="H42" s="63"/>
      <c r="I42" s="63"/>
      <c r="J42" s="53"/>
      <c r="K42" s="53"/>
      <c r="L42" s="65"/>
      <c r="M42" s="86"/>
      <c r="N42" s="86"/>
      <c r="O42" s="86"/>
      <c r="P42" s="79"/>
    </row>
    <row r="43" spans="1:16" ht="15" customHeight="1" x14ac:dyDescent="0.25">
      <c r="A43" s="134"/>
      <c r="B43" s="136"/>
      <c r="C43" s="148"/>
      <c r="D43" s="27" t="s">
        <v>167</v>
      </c>
      <c r="E43" s="30" t="s">
        <v>247</v>
      </c>
      <c r="F43" s="27"/>
      <c r="G43" s="26"/>
      <c r="H43" s="63"/>
      <c r="I43" s="63"/>
      <c r="J43" s="53"/>
      <c r="K43" s="53"/>
      <c r="L43" s="65"/>
      <c r="M43" s="86"/>
      <c r="N43" s="86"/>
      <c r="O43" s="86"/>
      <c r="P43" s="79"/>
    </row>
    <row r="44" spans="1:16" ht="15" customHeight="1" x14ac:dyDescent="0.25">
      <c r="A44" s="134"/>
      <c r="B44" s="136"/>
      <c r="C44" s="148"/>
      <c r="D44" s="27" t="s">
        <v>168</v>
      </c>
      <c r="E44" s="30" t="s">
        <v>240</v>
      </c>
      <c r="F44" s="52"/>
      <c r="G44" s="26"/>
      <c r="H44" s="63"/>
      <c r="I44" s="63"/>
      <c r="J44" s="53"/>
      <c r="K44" s="53"/>
      <c r="L44" s="65"/>
      <c r="M44" s="86"/>
      <c r="N44" s="86"/>
      <c r="O44" s="86"/>
      <c r="P44" s="79"/>
    </row>
    <row r="45" spans="1:16" ht="15" customHeight="1" x14ac:dyDescent="0.25">
      <c r="A45" s="134"/>
      <c r="B45" s="136"/>
      <c r="C45" s="148"/>
      <c r="D45" s="27" t="s">
        <v>169</v>
      </c>
      <c r="E45" s="30" t="s">
        <v>239</v>
      </c>
      <c r="F45" s="52"/>
      <c r="G45" s="26"/>
      <c r="H45" s="63"/>
      <c r="I45" s="63"/>
      <c r="J45" s="53"/>
      <c r="K45" s="53"/>
      <c r="L45" s="65"/>
      <c r="M45" s="86"/>
      <c r="N45" s="86"/>
      <c r="O45" s="86"/>
      <c r="P45" s="79"/>
    </row>
    <row r="46" spans="1:16" ht="15" customHeight="1" x14ac:dyDescent="0.25">
      <c r="A46" s="134"/>
      <c r="B46" s="136"/>
      <c r="C46" s="148"/>
      <c r="D46" s="27" t="s">
        <v>145</v>
      </c>
      <c r="E46" s="30" t="s">
        <v>248</v>
      </c>
      <c r="F46" s="52"/>
      <c r="G46" s="26"/>
      <c r="H46" s="63"/>
      <c r="I46" s="63"/>
      <c r="J46" s="53"/>
      <c r="K46" s="53"/>
      <c r="L46" s="65"/>
      <c r="M46" s="86"/>
      <c r="N46" s="86"/>
      <c r="O46" s="86"/>
      <c r="P46" s="79"/>
    </row>
    <row r="47" spans="1:16" ht="15" customHeight="1" x14ac:dyDescent="0.25">
      <c r="A47" s="134"/>
      <c r="B47" s="136"/>
      <c r="C47" s="148"/>
      <c r="D47" s="27" t="s">
        <v>154</v>
      </c>
      <c r="E47" s="30"/>
      <c r="F47" s="52"/>
      <c r="G47" s="26"/>
      <c r="H47" s="63"/>
      <c r="I47" s="63"/>
      <c r="J47" s="53"/>
      <c r="K47" s="53"/>
      <c r="L47" s="65"/>
      <c r="M47" s="86"/>
      <c r="N47" s="86"/>
      <c r="O47" s="86"/>
      <c r="P47" s="79"/>
    </row>
    <row r="48" spans="1:16" ht="15" customHeight="1" x14ac:dyDescent="0.25">
      <c r="A48" s="134"/>
      <c r="B48" s="136"/>
      <c r="C48" s="148"/>
      <c r="D48" s="27" t="s">
        <v>155</v>
      </c>
      <c r="E48" s="30"/>
      <c r="F48" s="52"/>
      <c r="G48" s="26"/>
      <c r="H48" s="63"/>
      <c r="I48" s="63"/>
      <c r="J48" s="53"/>
      <c r="K48" s="53"/>
      <c r="L48" s="65"/>
      <c r="M48" s="86"/>
      <c r="N48" s="86"/>
      <c r="O48" s="86"/>
      <c r="P48" s="79"/>
    </row>
    <row r="49" spans="1:16" ht="15" customHeight="1" x14ac:dyDescent="0.25">
      <c r="A49" s="134"/>
      <c r="B49" s="136"/>
      <c r="C49" s="148"/>
      <c r="D49" s="27" t="s">
        <v>156</v>
      </c>
      <c r="E49" s="30" t="s">
        <v>249</v>
      </c>
      <c r="F49" s="52"/>
      <c r="G49" s="26"/>
      <c r="H49" s="63"/>
      <c r="I49" s="63"/>
      <c r="J49" s="53"/>
      <c r="K49" s="53"/>
      <c r="L49" s="65"/>
      <c r="M49" s="86"/>
      <c r="N49" s="86"/>
      <c r="O49" s="86"/>
      <c r="P49" s="79"/>
    </row>
    <row r="50" spans="1:16" ht="15" customHeight="1" x14ac:dyDescent="0.25">
      <c r="A50" s="134"/>
      <c r="B50" s="136"/>
      <c r="C50" s="148"/>
      <c r="D50" s="27" t="s">
        <v>157</v>
      </c>
      <c r="E50" s="25"/>
      <c r="F50" s="52"/>
      <c r="G50" s="26"/>
      <c r="H50" s="53"/>
      <c r="I50" s="53"/>
      <c r="J50" s="53"/>
      <c r="K50" s="53"/>
      <c r="L50" s="66"/>
      <c r="M50" s="28"/>
      <c r="N50" s="28"/>
      <c r="O50" s="28"/>
      <c r="P50" s="79"/>
    </row>
    <row r="51" spans="1:16" ht="15" customHeight="1" x14ac:dyDescent="0.25">
      <c r="A51" s="134"/>
      <c r="B51" s="136"/>
      <c r="C51" s="148"/>
      <c r="D51" s="27" t="s">
        <v>158</v>
      </c>
      <c r="E51" s="25"/>
      <c r="F51" s="30"/>
      <c r="G51" s="26"/>
      <c r="H51" s="53"/>
      <c r="I51" s="53"/>
      <c r="J51" s="53"/>
      <c r="K51" s="53"/>
      <c r="L51" s="66"/>
      <c r="M51" s="28"/>
      <c r="N51" s="28"/>
      <c r="O51" s="28"/>
      <c r="P51" s="79"/>
    </row>
    <row r="52" spans="1:16" ht="15" customHeight="1" x14ac:dyDescent="0.25">
      <c r="A52" s="134"/>
      <c r="B52" s="136"/>
      <c r="C52" s="148"/>
      <c r="D52" s="27" t="s">
        <v>143</v>
      </c>
      <c r="E52" s="25" t="s">
        <v>250</v>
      </c>
      <c r="F52" s="52"/>
      <c r="G52" s="26"/>
      <c r="H52" s="53"/>
      <c r="I52" s="53"/>
      <c r="J52" s="53"/>
      <c r="K52" s="53"/>
      <c r="L52" s="66"/>
      <c r="M52" s="28"/>
      <c r="N52" s="28"/>
      <c r="O52" s="28"/>
      <c r="P52" s="79"/>
    </row>
    <row r="53" spans="1:16" ht="15" customHeight="1" x14ac:dyDescent="0.25">
      <c r="A53" s="134"/>
      <c r="B53" s="136"/>
      <c r="C53" s="148"/>
      <c r="D53" s="27" t="s">
        <v>159</v>
      </c>
      <c r="E53" s="25" t="s">
        <v>236</v>
      </c>
      <c r="F53" s="52"/>
      <c r="G53" s="26"/>
      <c r="H53" s="53"/>
      <c r="I53" s="53"/>
      <c r="J53" s="53"/>
      <c r="K53" s="53"/>
      <c r="L53" s="66"/>
      <c r="M53" s="28"/>
      <c r="N53" s="28"/>
      <c r="O53" s="28"/>
      <c r="P53" s="79"/>
    </row>
    <row r="54" spans="1:16" ht="15" customHeight="1" x14ac:dyDescent="0.25">
      <c r="A54" s="134"/>
      <c r="B54" s="136"/>
      <c r="C54" s="148"/>
      <c r="D54" s="27" t="s">
        <v>160</v>
      </c>
      <c r="E54" s="25"/>
      <c r="F54" s="52"/>
      <c r="G54" s="26"/>
      <c r="H54" s="63"/>
      <c r="I54" s="63"/>
      <c r="J54" s="53"/>
      <c r="K54" s="53"/>
      <c r="L54" s="65"/>
      <c r="M54" s="86"/>
      <c r="N54" s="86"/>
      <c r="O54" s="86"/>
      <c r="P54" s="79"/>
    </row>
    <row r="55" spans="1:16" ht="15" customHeight="1" thickBot="1" x14ac:dyDescent="0.3">
      <c r="A55" s="134"/>
      <c r="B55" s="136"/>
      <c r="C55" s="148"/>
      <c r="D55" s="42" t="s">
        <v>161</v>
      </c>
      <c r="E55" s="24" t="s">
        <v>237</v>
      </c>
      <c r="F55" s="52"/>
      <c r="G55" s="26"/>
      <c r="H55" s="63"/>
      <c r="I55" s="63"/>
      <c r="J55" s="53"/>
      <c r="K55" s="53"/>
      <c r="L55" s="65"/>
      <c r="M55" s="86"/>
      <c r="N55" s="86"/>
      <c r="O55" s="86"/>
      <c r="P55" s="79"/>
    </row>
    <row r="56" spans="1:16" ht="39.75" customHeight="1" x14ac:dyDescent="0.25">
      <c r="A56" s="134"/>
      <c r="B56" s="136"/>
      <c r="C56" s="149"/>
      <c r="D56" s="27" t="s">
        <v>435</v>
      </c>
      <c r="E56" s="118" t="s">
        <v>436</v>
      </c>
      <c r="F56" s="118"/>
      <c r="G56" s="26"/>
      <c r="H56" s="63"/>
      <c r="I56" s="63"/>
      <c r="J56" s="53"/>
      <c r="K56" s="53"/>
      <c r="L56" s="65"/>
      <c r="M56" s="86"/>
      <c r="N56" s="86"/>
      <c r="O56" s="86"/>
      <c r="P56" s="79"/>
    </row>
    <row r="57" spans="1:16" ht="15" customHeight="1" x14ac:dyDescent="0.25">
      <c r="A57" s="13"/>
      <c r="C57" s="26"/>
      <c r="D57" s="137" t="s">
        <v>226</v>
      </c>
      <c r="E57" s="25" t="s">
        <v>227</v>
      </c>
      <c r="F57" s="138"/>
      <c r="G57" s="26"/>
      <c r="H57" s="141" t="s">
        <v>257</v>
      </c>
      <c r="I57" s="142"/>
      <c r="J57" s="142"/>
      <c r="K57" s="29"/>
      <c r="L57" s="67"/>
      <c r="M57" s="67"/>
      <c r="N57" s="67"/>
      <c r="O57" s="67"/>
      <c r="P57" s="77"/>
    </row>
    <row r="58" spans="1:16" ht="15" customHeight="1" x14ac:dyDescent="0.25">
      <c r="A58" s="13"/>
      <c r="C58" s="26"/>
      <c r="D58" s="137"/>
      <c r="E58" s="25" t="s">
        <v>228</v>
      </c>
      <c r="F58" s="139"/>
      <c r="G58" s="26"/>
      <c r="H58" s="143"/>
      <c r="I58" s="144"/>
      <c r="J58" s="144"/>
      <c r="K58" s="29"/>
      <c r="L58" s="53"/>
      <c r="M58" s="53"/>
      <c r="N58" s="53"/>
      <c r="O58" s="53"/>
      <c r="P58" s="77"/>
    </row>
    <row r="59" spans="1:16" x14ac:dyDescent="0.25">
      <c r="A59" s="13"/>
      <c r="C59" s="26"/>
      <c r="D59" s="137"/>
      <c r="E59" s="25" t="s">
        <v>229</v>
      </c>
      <c r="F59" s="139"/>
      <c r="G59" s="26"/>
      <c r="H59" s="143"/>
      <c r="I59" s="144"/>
      <c r="J59" s="144"/>
      <c r="K59" s="29"/>
      <c r="L59" s="53"/>
      <c r="M59" s="53"/>
      <c r="N59" s="53"/>
      <c r="O59" s="53"/>
      <c r="P59" s="77"/>
    </row>
    <row r="60" spans="1:16" ht="15" customHeight="1" x14ac:dyDescent="0.25">
      <c r="A60" s="13"/>
      <c r="C60" s="26"/>
      <c r="D60" s="137"/>
      <c r="E60" s="25" t="s">
        <v>230</v>
      </c>
      <c r="F60" s="140"/>
      <c r="G60" s="26"/>
      <c r="H60" s="145"/>
      <c r="I60" s="146"/>
      <c r="J60" s="146"/>
      <c r="K60" s="56"/>
      <c r="L60" s="53"/>
      <c r="M60" s="53"/>
      <c r="N60" s="53"/>
      <c r="O60" s="53"/>
      <c r="P60" s="77"/>
    </row>
  </sheetData>
  <mergeCells count="27">
    <mergeCell ref="J3:K3"/>
    <mergeCell ref="A4:F4"/>
    <mergeCell ref="H4:P4"/>
    <mergeCell ref="A6:C6"/>
    <mergeCell ref="D6:F6"/>
    <mergeCell ref="H6:I6"/>
    <mergeCell ref="J6:K6"/>
    <mergeCell ref="L6:N6"/>
    <mergeCell ref="H29:J32"/>
    <mergeCell ref="A9:A10"/>
    <mergeCell ref="B9:B10"/>
    <mergeCell ref="C9:C10"/>
    <mergeCell ref="L9:L10"/>
    <mergeCell ref="D11:D14"/>
    <mergeCell ref="F11:F14"/>
    <mergeCell ref="H11:J14"/>
    <mergeCell ref="A17:A28"/>
    <mergeCell ref="B17:B28"/>
    <mergeCell ref="C17:C28"/>
    <mergeCell ref="D29:D32"/>
    <mergeCell ref="F29:F32"/>
    <mergeCell ref="A35:A56"/>
    <mergeCell ref="B35:B56"/>
    <mergeCell ref="D57:D60"/>
    <mergeCell ref="F57:F60"/>
    <mergeCell ref="H57:J60"/>
    <mergeCell ref="C35:C5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selection activeCell="A5" sqref="A5:F5"/>
    </sheetView>
  </sheetViews>
  <sheetFormatPr defaultColWidth="9.140625" defaultRowHeight="15" x14ac:dyDescent="0.25"/>
  <cols>
    <col min="1" max="1" width="10.85546875" customWidth="1"/>
    <col min="2" max="3" width="43.42578125" customWidth="1"/>
    <col min="4" max="4" width="39.28515625" customWidth="1"/>
    <col min="5" max="5" width="14.85546875" customWidth="1"/>
    <col min="6" max="6" width="58.7109375" customWidth="1"/>
  </cols>
  <sheetData>
    <row r="1" spans="1:6" ht="34.5" x14ac:dyDescent="0.25">
      <c r="A1" s="6" t="s">
        <v>35</v>
      </c>
      <c r="B1" s="4" t="s">
        <v>270</v>
      </c>
      <c r="C1" s="4"/>
      <c r="D1" s="4"/>
      <c r="E1" s="4"/>
      <c r="F1" s="4"/>
    </row>
    <row r="2" spans="1:6" s="13" customFormat="1" ht="34.5" x14ac:dyDescent="0.25">
      <c r="A2" s="45"/>
      <c r="B2" s="18"/>
      <c r="C2" s="18"/>
      <c r="D2" s="18"/>
      <c r="E2" s="18"/>
      <c r="F2" s="18"/>
    </row>
    <row r="3" spans="1:6" s="13" customFormat="1" ht="15" customHeight="1" x14ac:dyDescent="0.25">
      <c r="F3" s="68"/>
    </row>
    <row r="4" spans="1:6" ht="18" x14ac:dyDescent="0.25">
      <c r="A4" s="163" t="s">
        <v>251</v>
      </c>
      <c r="B4" s="164"/>
      <c r="C4" s="164"/>
      <c r="D4" s="164"/>
      <c r="E4" s="164"/>
      <c r="F4" s="165"/>
    </row>
    <row r="5" spans="1:6" ht="22.5" customHeight="1" x14ac:dyDescent="0.25">
      <c r="A5" s="166"/>
      <c r="B5" s="167"/>
      <c r="C5" s="167"/>
      <c r="D5" s="167"/>
      <c r="E5" s="167"/>
      <c r="F5" s="168"/>
    </row>
    <row r="6" spans="1:6" ht="22.5" customHeight="1" x14ac:dyDescent="0.25">
      <c r="B6" s="69"/>
      <c r="C6" s="69"/>
      <c r="D6" s="70"/>
      <c r="E6" s="71"/>
      <c r="F6" s="71"/>
    </row>
  </sheetData>
  <mergeCells count="2">
    <mergeCell ref="A4:F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showGridLines="0" workbookViewId="0">
      <selection activeCell="B18" sqref="B18"/>
    </sheetView>
  </sheetViews>
  <sheetFormatPr defaultColWidth="9.140625" defaultRowHeight="15" x14ac:dyDescent="0.25"/>
  <cols>
    <col min="1" max="1" width="13.140625" style="13" customWidth="1"/>
    <col min="2" max="2" width="55.5703125" style="13" customWidth="1"/>
    <col min="3" max="3" width="46.140625" style="13" customWidth="1"/>
    <col min="4" max="4" width="40" style="13" customWidth="1"/>
    <col min="5" max="16384" width="9.140625" style="13"/>
  </cols>
  <sheetData>
    <row r="1" spans="1:25" ht="34.5" x14ac:dyDescent="0.25">
      <c r="A1" s="6" t="s">
        <v>35</v>
      </c>
      <c r="B1" s="4" t="s">
        <v>271</v>
      </c>
      <c r="C1" s="4"/>
      <c r="D1" s="4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4" spans="1:25" ht="18" x14ac:dyDescent="0.25">
      <c r="A4" s="169" t="s">
        <v>251</v>
      </c>
      <c r="B4" s="169"/>
      <c r="C4" s="169"/>
      <c r="D4" s="169"/>
    </row>
    <row r="5" spans="1:25" ht="22.5" customHeight="1" x14ac:dyDescent="0.25">
      <c r="A5" s="170"/>
      <c r="B5" s="170"/>
      <c r="C5" s="170"/>
      <c r="D5" s="170"/>
    </row>
    <row r="6" spans="1:25" x14ac:dyDescent="0.25">
      <c r="B6" s="72"/>
      <c r="C6" s="73"/>
      <c r="D6" s="68"/>
    </row>
  </sheetData>
  <mergeCells count="2">
    <mergeCell ref="A4:D4"/>
    <mergeCell ref="A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63"/>
  <sheetViews>
    <sheetView zoomScale="85" zoomScaleNormal="85" workbookViewId="0">
      <selection activeCell="F218" sqref="F218"/>
    </sheetView>
  </sheetViews>
  <sheetFormatPr defaultColWidth="9.140625" defaultRowHeight="15" outlineLevelRow="4" x14ac:dyDescent="0.25"/>
  <cols>
    <col min="1" max="1" width="20.7109375" style="13" bestFit="1" customWidth="1"/>
    <col min="2" max="2" width="16.28515625" style="13" customWidth="1"/>
    <col min="3" max="3" width="23" style="13" bestFit="1" customWidth="1"/>
    <col min="4" max="4" width="12.7109375" style="13" customWidth="1"/>
    <col min="5" max="5" width="15.140625" style="13" customWidth="1"/>
    <col min="6" max="6" width="21.85546875" style="13" customWidth="1"/>
    <col min="7" max="7" width="20.42578125" style="13" customWidth="1"/>
    <col min="8" max="8" width="12.85546875" style="13" customWidth="1"/>
    <col min="9" max="9" width="23.7109375" style="13" customWidth="1"/>
    <col min="10" max="16384" width="9.140625" style="13"/>
  </cols>
  <sheetData>
    <row r="1" spans="1:30" ht="34.5" x14ac:dyDescent="0.4">
      <c r="A1" s="6" t="s">
        <v>35</v>
      </c>
      <c r="B1" s="4" t="s">
        <v>33</v>
      </c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4" spans="1:30" ht="18" customHeight="1" x14ac:dyDescent="0.25">
      <c r="A4" s="171" t="s">
        <v>0</v>
      </c>
      <c r="B4" s="160" t="s">
        <v>10</v>
      </c>
      <c r="C4" s="162"/>
      <c r="D4" s="161"/>
      <c r="E4" s="160" t="s">
        <v>9</v>
      </c>
      <c r="F4" s="162"/>
      <c r="G4" s="173" t="s">
        <v>180</v>
      </c>
      <c r="H4" s="173" t="s">
        <v>4</v>
      </c>
    </row>
    <row r="5" spans="1:30" ht="30" customHeight="1" x14ac:dyDescent="0.25">
      <c r="A5" s="172"/>
      <c r="B5" s="21" t="s">
        <v>3</v>
      </c>
      <c r="C5" s="21" t="s">
        <v>8</v>
      </c>
      <c r="D5" s="21" t="s">
        <v>13</v>
      </c>
      <c r="E5" s="21" t="s">
        <v>1</v>
      </c>
      <c r="F5" s="21" t="s">
        <v>2</v>
      </c>
      <c r="G5" s="172"/>
      <c r="H5" s="172"/>
    </row>
    <row r="6" spans="1:30" ht="15" customHeight="1" x14ac:dyDescent="0.25">
      <c r="A6" s="14"/>
      <c r="B6" s="15"/>
      <c r="C6" s="15"/>
      <c r="D6" s="15"/>
      <c r="E6" s="16"/>
      <c r="F6" s="16"/>
      <c r="G6" s="17"/>
      <c r="H6" s="17"/>
    </row>
    <row r="7" spans="1:30" x14ac:dyDescent="0.25">
      <c r="A7" s="31" t="s">
        <v>36</v>
      </c>
      <c r="B7" s="25">
        <f>SUM(B8:B20)</f>
        <v>12</v>
      </c>
      <c r="C7" s="32" t="s">
        <v>58</v>
      </c>
      <c r="D7" s="32" t="s">
        <v>58</v>
      </c>
      <c r="E7" s="30">
        <f>SUM(E8:E20)</f>
        <v>162</v>
      </c>
      <c r="F7" s="30">
        <f>SUM(F8:F20)</f>
        <v>153</v>
      </c>
      <c r="G7" s="33" t="s">
        <v>46</v>
      </c>
      <c r="H7" s="25">
        <v>1</v>
      </c>
    </row>
    <row r="8" spans="1:30" outlineLevel="1" x14ac:dyDescent="0.25">
      <c r="A8" s="25" t="s">
        <v>47</v>
      </c>
      <c r="B8" s="25">
        <v>1</v>
      </c>
      <c r="C8" s="10" t="s">
        <v>37</v>
      </c>
      <c r="D8" s="10">
        <v>6171</v>
      </c>
      <c r="E8" s="10">
        <v>19</v>
      </c>
      <c r="F8" s="10">
        <v>0</v>
      </c>
      <c r="G8" s="10" t="s">
        <v>46</v>
      </c>
      <c r="H8" s="25">
        <v>1</v>
      </c>
    </row>
    <row r="9" spans="1:30" outlineLevel="1" x14ac:dyDescent="0.25">
      <c r="A9" s="26"/>
      <c r="B9" s="25">
        <v>1</v>
      </c>
      <c r="C9" s="10" t="s">
        <v>267</v>
      </c>
      <c r="D9" s="10">
        <v>6167</v>
      </c>
      <c r="E9" s="10">
        <v>11</v>
      </c>
      <c r="F9" s="10">
        <v>14</v>
      </c>
      <c r="G9" s="10" t="s">
        <v>46</v>
      </c>
      <c r="H9" s="25">
        <v>1</v>
      </c>
    </row>
    <row r="10" spans="1:30" outlineLevel="1" x14ac:dyDescent="0.25">
      <c r="A10" s="26"/>
      <c r="B10" s="25">
        <v>1</v>
      </c>
      <c r="C10" s="10" t="s">
        <v>268</v>
      </c>
      <c r="D10" s="10">
        <v>6168</v>
      </c>
      <c r="E10" s="10">
        <v>11</v>
      </c>
      <c r="F10" s="10">
        <v>14</v>
      </c>
      <c r="G10" s="10" t="s">
        <v>46</v>
      </c>
      <c r="H10" s="25">
        <v>1</v>
      </c>
    </row>
    <row r="11" spans="1:30" outlineLevel="1" x14ac:dyDescent="0.25">
      <c r="A11" s="26"/>
      <c r="B11" s="25">
        <v>1</v>
      </c>
      <c r="C11" s="10" t="s">
        <v>38</v>
      </c>
      <c r="D11" s="10">
        <v>6168</v>
      </c>
      <c r="E11" s="10">
        <v>10</v>
      </c>
      <c r="F11" s="10">
        <v>12</v>
      </c>
      <c r="G11" s="10" t="s">
        <v>46</v>
      </c>
      <c r="H11" s="25">
        <v>1</v>
      </c>
    </row>
    <row r="12" spans="1:30" outlineLevel="1" x14ac:dyDescent="0.25">
      <c r="A12" s="26"/>
      <c r="B12" s="25">
        <v>1</v>
      </c>
      <c r="C12" s="10" t="s">
        <v>39</v>
      </c>
      <c r="D12" s="10">
        <v>6167</v>
      </c>
      <c r="E12" s="10">
        <v>11</v>
      </c>
      <c r="F12" s="10">
        <v>13</v>
      </c>
      <c r="G12" s="10" t="s">
        <v>46</v>
      </c>
      <c r="H12" s="25">
        <v>1</v>
      </c>
    </row>
    <row r="13" spans="1:30" outlineLevel="1" x14ac:dyDescent="0.25">
      <c r="A13" s="26"/>
      <c r="B13" s="25">
        <v>1</v>
      </c>
      <c r="C13" s="10" t="s">
        <v>40</v>
      </c>
      <c r="D13" s="10">
        <v>6172</v>
      </c>
      <c r="E13" s="10">
        <v>10</v>
      </c>
      <c r="F13" s="10">
        <v>13</v>
      </c>
      <c r="G13" s="10" t="s">
        <v>46</v>
      </c>
      <c r="H13" s="25">
        <v>1</v>
      </c>
    </row>
    <row r="14" spans="1:30" outlineLevel="1" x14ac:dyDescent="0.25">
      <c r="A14" s="26"/>
      <c r="B14" s="25">
        <v>1</v>
      </c>
      <c r="C14" s="10" t="s">
        <v>41</v>
      </c>
      <c r="D14" s="10">
        <v>6168</v>
      </c>
      <c r="E14" s="10">
        <v>28</v>
      </c>
      <c r="F14" s="10">
        <v>32</v>
      </c>
      <c r="G14" s="10" t="s">
        <v>46</v>
      </c>
      <c r="H14" s="25">
        <v>1</v>
      </c>
    </row>
    <row r="15" spans="1:30" outlineLevel="1" x14ac:dyDescent="0.25">
      <c r="A15" s="26"/>
      <c r="B15" s="25">
        <v>1</v>
      </c>
      <c r="C15" s="10" t="s">
        <v>269</v>
      </c>
      <c r="D15" s="10">
        <v>6169</v>
      </c>
      <c r="E15" s="10">
        <v>11</v>
      </c>
      <c r="F15" s="10">
        <v>15</v>
      </c>
      <c r="G15" s="10" t="s">
        <v>46</v>
      </c>
      <c r="H15" s="25">
        <v>1</v>
      </c>
    </row>
    <row r="16" spans="1:30" outlineLevel="1" x14ac:dyDescent="0.25">
      <c r="A16" s="26"/>
      <c r="B16" s="25">
        <v>1</v>
      </c>
      <c r="C16" s="10" t="s">
        <v>42</v>
      </c>
      <c r="D16" s="10">
        <v>6169</v>
      </c>
      <c r="E16" s="10">
        <v>12</v>
      </c>
      <c r="F16" s="10">
        <v>16</v>
      </c>
      <c r="G16" s="10" t="s">
        <v>46</v>
      </c>
      <c r="H16" s="25">
        <v>1</v>
      </c>
    </row>
    <row r="17" spans="1:8" outlineLevel="1" x14ac:dyDescent="0.25">
      <c r="A17" s="26"/>
      <c r="B17" s="25">
        <v>1</v>
      </c>
      <c r="C17" s="10" t="s">
        <v>43</v>
      </c>
      <c r="D17" s="10">
        <v>6167</v>
      </c>
      <c r="E17" s="10">
        <v>7</v>
      </c>
      <c r="F17" s="10">
        <v>0</v>
      </c>
      <c r="G17" s="10" t="s">
        <v>46</v>
      </c>
      <c r="H17" s="25">
        <v>1</v>
      </c>
    </row>
    <row r="18" spans="1:8" outlineLevel="1" x14ac:dyDescent="0.25">
      <c r="A18" s="26"/>
      <c r="B18" s="25">
        <v>1</v>
      </c>
      <c r="C18" s="10" t="s">
        <v>44</v>
      </c>
      <c r="D18" s="10">
        <v>6169</v>
      </c>
      <c r="E18" s="10">
        <v>19</v>
      </c>
      <c r="F18" s="10">
        <v>24</v>
      </c>
      <c r="G18" s="10" t="s">
        <v>46</v>
      </c>
      <c r="H18" s="25">
        <v>1</v>
      </c>
    </row>
    <row r="19" spans="1:8" outlineLevel="1" x14ac:dyDescent="0.25">
      <c r="A19" s="26"/>
      <c r="B19" s="25">
        <v>1</v>
      </c>
      <c r="C19" s="10" t="s">
        <v>45</v>
      </c>
      <c r="D19" s="10">
        <v>6170</v>
      </c>
      <c r="E19" s="10">
        <v>13</v>
      </c>
      <c r="F19" s="10">
        <v>0</v>
      </c>
      <c r="G19" s="10" t="s">
        <v>46</v>
      </c>
      <c r="H19" s="25">
        <v>1</v>
      </c>
    </row>
    <row r="20" spans="1:8" outlineLevel="1" x14ac:dyDescent="0.25">
      <c r="A20" s="26"/>
      <c r="B20" s="25"/>
      <c r="C20" s="10"/>
      <c r="D20" s="10"/>
      <c r="E20" s="10"/>
      <c r="F20" s="25"/>
      <c r="G20" s="33"/>
      <c r="H20" s="25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31" t="s">
        <v>281</v>
      </c>
      <c r="B22" s="25">
        <f>SUM(B23:B38)</f>
        <v>15</v>
      </c>
      <c r="C22" s="32" t="s">
        <v>58</v>
      </c>
      <c r="D22" s="32" t="s">
        <v>58</v>
      </c>
      <c r="E22" s="25">
        <f>SUM(E23:E38)</f>
        <v>170</v>
      </c>
      <c r="F22" s="25">
        <f>SUM(F23:F38)</f>
        <v>127</v>
      </c>
      <c r="G22" s="33" t="s">
        <v>46</v>
      </c>
      <c r="H22" s="25">
        <v>1</v>
      </c>
    </row>
    <row r="23" spans="1:8" ht="15" customHeight="1" outlineLevel="1" x14ac:dyDescent="0.25">
      <c r="A23" s="23" t="s">
        <v>282</v>
      </c>
      <c r="B23" s="25">
        <v>1</v>
      </c>
      <c r="C23" s="25" t="s">
        <v>49</v>
      </c>
      <c r="D23" s="25">
        <v>6112</v>
      </c>
      <c r="E23" s="25">
        <v>13</v>
      </c>
      <c r="F23" s="25">
        <v>16</v>
      </c>
      <c r="G23" s="33" t="s">
        <v>46</v>
      </c>
      <c r="H23" s="25">
        <v>1</v>
      </c>
    </row>
    <row r="24" spans="1:8" outlineLevel="1" x14ac:dyDescent="0.25">
      <c r="A24" s="26"/>
      <c r="B24" s="25">
        <v>1</v>
      </c>
      <c r="C24" s="25" t="s">
        <v>98</v>
      </c>
      <c r="D24" s="25">
        <v>6556</v>
      </c>
      <c r="E24" s="25">
        <v>9</v>
      </c>
      <c r="F24" s="25">
        <v>0</v>
      </c>
      <c r="G24" s="33" t="s">
        <v>46</v>
      </c>
      <c r="H24" s="25">
        <v>1</v>
      </c>
    </row>
    <row r="25" spans="1:8" outlineLevel="1" x14ac:dyDescent="0.25">
      <c r="A25" s="26"/>
      <c r="B25" s="25">
        <v>1</v>
      </c>
      <c r="C25" s="25" t="s">
        <v>99</v>
      </c>
      <c r="D25" s="25">
        <v>6070</v>
      </c>
      <c r="E25" s="25">
        <v>11</v>
      </c>
      <c r="F25" s="25">
        <v>0</v>
      </c>
      <c r="G25" s="33" t="s">
        <v>46</v>
      </c>
      <c r="H25" s="25">
        <v>1</v>
      </c>
    </row>
    <row r="26" spans="1:8" outlineLevel="1" x14ac:dyDescent="0.25">
      <c r="A26" s="26"/>
      <c r="B26" s="25">
        <v>1</v>
      </c>
      <c r="C26" s="25" t="s">
        <v>100</v>
      </c>
      <c r="D26" s="25">
        <v>6083</v>
      </c>
      <c r="E26" s="25">
        <v>11</v>
      </c>
      <c r="F26" s="25">
        <v>14</v>
      </c>
      <c r="G26" s="33" t="s">
        <v>46</v>
      </c>
      <c r="H26" s="25">
        <v>1</v>
      </c>
    </row>
    <row r="27" spans="1:8" outlineLevel="1" x14ac:dyDescent="0.25">
      <c r="A27" s="26"/>
      <c r="B27" s="25">
        <v>1</v>
      </c>
      <c r="C27" s="25" t="s">
        <v>101</v>
      </c>
      <c r="D27" s="25">
        <v>6071</v>
      </c>
      <c r="E27" s="25">
        <v>10</v>
      </c>
      <c r="F27" s="25">
        <v>13</v>
      </c>
      <c r="G27" s="33" t="s">
        <v>46</v>
      </c>
      <c r="H27" s="25">
        <v>1</v>
      </c>
    </row>
    <row r="28" spans="1:8" outlineLevel="1" x14ac:dyDescent="0.25">
      <c r="A28" s="26"/>
      <c r="B28" s="25">
        <v>1</v>
      </c>
      <c r="C28" s="25" t="s">
        <v>133</v>
      </c>
      <c r="D28" s="25">
        <v>6057</v>
      </c>
      <c r="E28" s="25">
        <v>32</v>
      </c>
      <c r="F28" s="25">
        <v>27</v>
      </c>
      <c r="G28" s="33" t="s">
        <v>46</v>
      </c>
      <c r="H28" s="25">
        <v>1</v>
      </c>
    </row>
    <row r="29" spans="1:8" outlineLevel="1" x14ac:dyDescent="0.25">
      <c r="A29" s="26"/>
      <c r="B29" s="25">
        <v>1</v>
      </c>
      <c r="C29" s="25" t="s">
        <v>283</v>
      </c>
      <c r="D29" s="25">
        <v>6056</v>
      </c>
      <c r="E29" s="25">
        <v>10</v>
      </c>
      <c r="F29" s="25">
        <v>12</v>
      </c>
      <c r="G29" s="33" t="s">
        <v>46</v>
      </c>
      <c r="H29" s="25">
        <v>1</v>
      </c>
    </row>
    <row r="30" spans="1:8" outlineLevel="1" x14ac:dyDescent="0.25">
      <c r="A30" s="26"/>
      <c r="B30" s="25">
        <v>1</v>
      </c>
      <c r="C30" s="25" t="s">
        <v>102</v>
      </c>
      <c r="D30" s="25">
        <v>6076</v>
      </c>
      <c r="E30" s="25">
        <v>10</v>
      </c>
      <c r="F30" s="25">
        <v>0</v>
      </c>
      <c r="G30" s="33" t="s">
        <v>46</v>
      </c>
      <c r="H30" s="25">
        <v>1</v>
      </c>
    </row>
    <row r="31" spans="1:8" outlineLevel="1" x14ac:dyDescent="0.25">
      <c r="A31" s="26"/>
      <c r="B31" s="25">
        <v>1</v>
      </c>
      <c r="C31" s="25" t="s">
        <v>103</v>
      </c>
      <c r="D31" s="25">
        <v>6057</v>
      </c>
      <c r="E31" s="25">
        <v>13</v>
      </c>
      <c r="F31" s="25">
        <v>17</v>
      </c>
      <c r="G31" s="33" t="s">
        <v>46</v>
      </c>
      <c r="H31" s="25">
        <v>1</v>
      </c>
    </row>
    <row r="32" spans="1:8" outlineLevel="1" x14ac:dyDescent="0.25">
      <c r="A32" s="26"/>
      <c r="B32" s="25">
        <v>1</v>
      </c>
      <c r="C32" s="25" t="s">
        <v>105</v>
      </c>
      <c r="D32" s="25">
        <v>6073</v>
      </c>
      <c r="E32" s="25">
        <v>3</v>
      </c>
      <c r="F32" s="25">
        <v>0</v>
      </c>
      <c r="G32" s="33" t="s">
        <v>46</v>
      </c>
      <c r="H32" s="25">
        <v>1</v>
      </c>
    </row>
    <row r="33" spans="1:8" outlineLevel="1" x14ac:dyDescent="0.25">
      <c r="A33" s="26"/>
      <c r="B33" s="25">
        <v>1</v>
      </c>
      <c r="C33" s="25" t="s">
        <v>284</v>
      </c>
      <c r="D33" s="25">
        <v>6111</v>
      </c>
      <c r="E33" s="25">
        <v>7</v>
      </c>
      <c r="F33" s="25">
        <v>0</v>
      </c>
      <c r="G33" s="33" t="s">
        <v>46</v>
      </c>
      <c r="H33" s="25">
        <v>1</v>
      </c>
    </row>
    <row r="34" spans="1:8" outlineLevel="1" x14ac:dyDescent="0.25">
      <c r="A34" s="26"/>
      <c r="B34" s="25">
        <v>1</v>
      </c>
      <c r="C34" s="25" t="s">
        <v>106</v>
      </c>
      <c r="D34" s="25">
        <v>6056</v>
      </c>
      <c r="E34" s="25">
        <v>11</v>
      </c>
      <c r="F34" s="25">
        <v>14</v>
      </c>
      <c r="G34" s="33" t="s">
        <v>46</v>
      </c>
      <c r="H34" s="25">
        <v>1</v>
      </c>
    </row>
    <row r="35" spans="1:8" outlineLevel="1" x14ac:dyDescent="0.25">
      <c r="A35" s="26"/>
      <c r="B35" s="25">
        <v>1</v>
      </c>
      <c r="C35" s="25" t="s">
        <v>107</v>
      </c>
      <c r="D35" s="25">
        <v>6056</v>
      </c>
      <c r="E35" s="25">
        <v>14</v>
      </c>
      <c r="F35" s="25">
        <v>0</v>
      </c>
      <c r="G35" s="33" t="s">
        <v>46</v>
      </c>
      <c r="H35" s="25">
        <v>1</v>
      </c>
    </row>
    <row r="36" spans="1:8" outlineLevel="1" x14ac:dyDescent="0.25">
      <c r="A36" s="26"/>
      <c r="B36" s="25">
        <v>1</v>
      </c>
      <c r="C36" s="25" t="s">
        <v>285</v>
      </c>
      <c r="D36" s="25">
        <v>6566</v>
      </c>
      <c r="E36" s="25">
        <v>5</v>
      </c>
      <c r="F36" s="25">
        <v>0</v>
      </c>
      <c r="G36" s="33" t="s">
        <v>46</v>
      </c>
      <c r="H36" s="25">
        <v>1</v>
      </c>
    </row>
    <row r="37" spans="1:8" outlineLevel="1" x14ac:dyDescent="0.25">
      <c r="A37" s="26"/>
      <c r="B37" s="25">
        <v>1</v>
      </c>
      <c r="C37" s="25" t="s">
        <v>108</v>
      </c>
      <c r="D37" s="25">
        <v>6076</v>
      </c>
      <c r="E37" s="25">
        <v>11</v>
      </c>
      <c r="F37" s="25">
        <v>14</v>
      </c>
      <c r="G37" s="33" t="s">
        <v>46</v>
      </c>
      <c r="H37" s="25">
        <v>1</v>
      </c>
    </row>
    <row r="38" spans="1:8" outlineLevel="1" x14ac:dyDescent="0.25">
      <c r="A38" s="26"/>
      <c r="B38" s="25"/>
      <c r="C38" s="25"/>
      <c r="D38" s="25"/>
      <c r="E38" s="25"/>
      <c r="F38" s="25"/>
      <c r="G38" s="33"/>
      <c r="H38" s="25"/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31" t="s">
        <v>48</v>
      </c>
      <c r="B40" s="25">
        <f>SUM(B41:B52)</f>
        <v>11</v>
      </c>
      <c r="C40" s="32" t="s">
        <v>58</v>
      </c>
      <c r="D40" s="32" t="s">
        <v>58</v>
      </c>
      <c r="E40" s="25">
        <f>SUM(E41:E52)</f>
        <v>194</v>
      </c>
      <c r="F40" s="25">
        <f>SUM(F41:F52)</f>
        <v>136</v>
      </c>
      <c r="G40" s="33" t="s">
        <v>46</v>
      </c>
      <c r="H40" s="25">
        <v>1</v>
      </c>
    </row>
    <row r="41" spans="1:8" ht="15" customHeight="1" outlineLevel="1" x14ac:dyDescent="0.25">
      <c r="A41" s="23" t="s">
        <v>51</v>
      </c>
      <c r="B41" s="25">
        <v>1</v>
      </c>
      <c r="C41" s="25" t="s">
        <v>286</v>
      </c>
      <c r="D41" s="25">
        <v>6112</v>
      </c>
      <c r="E41" s="25">
        <v>24</v>
      </c>
      <c r="F41" s="25">
        <v>15</v>
      </c>
      <c r="G41" s="33" t="s">
        <v>46</v>
      </c>
      <c r="H41" s="25">
        <v>1</v>
      </c>
    </row>
    <row r="42" spans="1:8" outlineLevel="1" x14ac:dyDescent="0.25">
      <c r="A42" s="26"/>
      <c r="B42" s="25">
        <v>1</v>
      </c>
      <c r="C42" s="25" t="s">
        <v>287</v>
      </c>
      <c r="D42" s="25">
        <v>6122</v>
      </c>
      <c r="E42" s="25">
        <v>14</v>
      </c>
      <c r="F42" s="25">
        <v>19</v>
      </c>
      <c r="G42" s="33" t="s">
        <v>46</v>
      </c>
      <c r="H42" s="25">
        <v>1</v>
      </c>
    </row>
    <row r="43" spans="1:8" outlineLevel="1" x14ac:dyDescent="0.25">
      <c r="A43" s="26"/>
      <c r="B43" s="25">
        <v>1</v>
      </c>
      <c r="C43" s="25" t="s">
        <v>288</v>
      </c>
      <c r="D43" s="25">
        <v>6111</v>
      </c>
      <c r="E43" s="25">
        <v>21</v>
      </c>
      <c r="F43" s="25">
        <v>0</v>
      </c>
      <c r="G43" s="33" t="s">
        <v>46</v>
      </c>
      <c r="H43" s="25">
        <v>1</v>
      </c>
    </row>
    <row r="44" spans="1:8" outlineLevel="1" x14ac:dyDescent="0.25">
      <c r="A44" s="26"/>
      <c r="B44" s="25">
        <v>1</v>
      </c>
      <c r="C44" s="25" t="s">
        <v>289</v>
      </c>
      <c r="D44" s="25">
        <v>6110</v>
      </c>
      <c r="E44" s="25">
        <v>22</v>
      </c>
      <c r="F44" s="25">
        <v>12</v>
      </c>
      <c r="G44" s="33" t="s">
        <v>46</v>
      </c>
      <c r="H44" s="25">
        <v>1</v>
      </c>
    </row>
    <row r="45" spans="1:8" outlineLevel="1" x14ac:dyDescent="0.25">
      <c r="A45" s="26"/>
      <c r="B45" s="25">
        <v>1</v>
      </c>
      <c r="C45" s="25" t="s">
        <v>290</v>
      </c>
      <c r="D45" s="25">
        <v>6112</v>
      </c>
      <c r="E45" s="25">
        <v>4</v>
      </c>
      <c r="F45" s="25">
        <v>0</v>
      </c>
      <c r="G45" s="33" t="s">
        <v>46</v>
      </c>
      <c r="H45" s="25">
        <v>1</v>
      </c>
    </row>
    <row r="46" spans="1:8" outlineLevel="1" x14ac:dyDescent="0.25">
      <c r="A46" s="26"/>
      <c r="B46" s="25">
        <v>1</v>
      </c>
      <c r="C46" s="25" t="s">
        <v>291</v>
      </c>
      <c r="D46" s="25">
        <v>6110</v>
      </c>
      <c r="E46" s="25">
        <v>13</v>
      </c>
      <c r="F46" s="25">
        <v>17</v>
      </c>
      <c r="G46" s="33" t="s">
        <v>46</v>
      </c>
      <c r="H46" s="25">
        <v>1</v>
      </c>
    </row>
    <row r="47" spans="1:8" outlineLevel="1" x14ac:dyDescent="0.25">
      <c r="A47" s="26"/>
      <c r="B47" s="25">
        <v>1</v>
      </c>
      <c r="C47" s="25" t="s">
        <v>292</v>
      </c>
      <c r="D47" s="25">
        <v>6107</v>
      </c>
      <c r="E47" s="25">
        <v>11</v>
      </c>
      <c r="F47" s="25">
        <v>14</v>
      </c>
      <c r="G47" s="33" t="s">
        <v>46</v>
      </c>
      <c r="H47" s="25">
        <v>1</v>
      </c>
    </row>
    <row r="48" spans="1:8" outlineLevel="1" x14ac:dyDescent="0.25">
      <c r="A48" s="26"/>
      <c r="B48" s="25">
        <v>1</v>
      </c>
      <c r="C48" s="25" t="s">
        <v>293</v>
      </c>
      <c r="D48" s="25">
        <v>6109</v>
      </c>
      <c r="E48" s="25">
        <v>23</v>
      </c>
      <c r="F48" s="25">
        <v>28</v>
      </c>
      <c r="G48" s="33" t="s">
        <v>46</v>
      </c>
      <c r="H48" s="25">
        <v>1</v>
      </c>
    </row>
    <row r="49" spans="1:8" outlineLevel="1" x14ac:dyDescent="0.25">
      <c r="A49" s="26"/>
      <c r="B49" s="25">
        <v>1</v>
      </c>
      <c r="C49" s="25" t="s">
        <v>294</v>
      </c>
      <c r="D49" s="25">
        <v>6112</v>
      </c>
      <c r="E49" s="25">
        <v>27</v>
      </c>
      <c r="F49" s="25">
        <v>0</v>
      </c>
      <c r="G49" s="33" t="s">
        <v>46</v>
      </c>
      <c r="H49" s="25">
        <v>1</v>
      </c>
    </row>
    <row r="50" spans="1:8" outlineLevel="1" x14ac:dyDescent="0.25">
      <c r="A50" s="26"/>
      <c r="B50" s="25">
        <v>1</v>
      </c>
      <c r="C50" s="25" t="s">
        <v>295</v>
      </c>
      <c r="D50" s="25">
        <v>6110</v>
      </c>
      <c r="E50" s="25">
        <v>14</v>
      </c>
      <c r="F50" s="25">
        <v>18</v>
      </c>
      <c r="G50" s="33" t="s">
        <v>46</v>
      </c>
      <c r="H50" s="25">
        <v>1</v>
      </c>
    </row>
    <row r="51" spans="1:8" outlineLevel="1" x14ac:dyDescent="0.25">
      <c r="A51" s="26"/>
      <c r="B51" s="25">
        <v>1</v>
      </c>
      <c r="C51" s="25" t="s">
        <v>296</v>
      </c>
      <c r="D51" s="25">
        <v>6108</v>
      </c>
      <c r="E51" s="25">
        <v>21</v>
      </c>
      <c r="F51" s="25">
        <v>13</v>
      </c>
      <c r="G51" s="33" t="s">
        <v>46</v>
      </c>
      <c r="H51" s="25">
        <v>1</v>
      </c>
    </row>
    <row r="52" spans="1:8" outlineLevel="1" x14ac:dyDescent="0.25">
      <c r="A52" s="26"/>
      <c r="B52" s="25"/>
      <c r="C52" s="25"/>
      <c r="D52" s="25"/>
      <c r="E52" s="25"/>
      <c r="F52" s="25"/>
      <c r="G52" s="33"/>
      <c r="H52" s="25"/>
    </row>
    <row r="53" spans="1:8" x14ac:dyDescent="0.25">
      <c r="A53" s="26"/>
      <c r="B53" s="26"/>
      <c r="C53" s="26"/>
      <c r="D53" s="26"/>
      <c r="E53" s="26"/>
      <c r="F53" s="26"/>
      <c r="G53" s="26"/>
      <c r="H53" s="26"/>
    </row>
    <row r="54" spans="1:8" x14ac:dyDescent="0.25">
      <c r="A54" s="31" t="s">
        <v>52</v>
      </c>
      <c r="B54" s="25">
        <f>SUM(B55:B65)</f>
        <v>10</v>
      </c>
      <c r="C54" s="32" t="s">
        <v>58</v>
      </c>
      <c r="D54" s="32" t="s">
        <v>58</v>
      </c>
      <c r="E54" s="25">
        <f>SUM(E55:E65)</f>
        <v>73</v>
      </c>
      <c r="F54" s="25">
        <f>SUM(F55:F65)</f>
        <v>50</v>
      </c>
      <c r="G54" s="33" t="s">
        <v>46</v>
      </c>
      <c r="H54" s="25">
        <v>1</v>
      </c>
    </row>
    <row r="55" spans="1:8" outlineLevel="1" x14ac:dyDescent="0.25">
      <c r="A55" s="34" t="s">
        <v>182</v>
      </c>
      <c r="B55" s="25">
        <v>1</v>
      </c>
      <c r="C55" s="25" t="s">
        <v>297</v>
      </c>
      <c r="D55" s="25">
        <v>6210</v>
      </c>
      <c r="E55" s="25">
        <v>10</v>
      </c>
      <c r="F55" s="25">
        <v>0</v>
      </c>
      <c r="G55" s="33" t="s">
        <v>46</v>
      </c>
      <c r="H55" s="25">
        <v>1</v>
      </c>
    </row>
    <row r="56" spans="1:8" outlineLevel="1" x14ac:dyDescent="0.25">
      <c r="A56" s="23"/>
      <c r="B56" s="25">
        <v>1</v>
      </c>
      <c r="C56" s="25" t="s">
        <v>298</v>
      </c>
      <c r="D56" s="25">
        <v>6213</v>
      </c>
      <c r="E56" s="25">
        <v>0</v>
      </c>
      <c r="F56" s="25">
        <v>6</v>
      </c>
      <c r="G56" s="33" t="s">
        <v>46</v>
      </c>
      <c r="H56" s="25">
        <v>1</v>
      </c>
    </row>
    <row r="57" spans="1:8" outlineLevel="1" x14ac:dyDescent="0.25">
      <c r="A57" s="23"/>
      <c r="B57" s="25">
        <v>1</v>
      </c>
      <c r="C57" s="25" t="s">
        <v>54</v>
      </c>
      <c r="D57" s="25">
        <v>6210</v>
      </c>
      <c r="E57" s="25">
        <v>3</v>
      </c>
      <c r="F57" s="25">
        <v>0</v>
      </c>
      <c r="G57" s="33" t="s">
        <v>46</v>
      </c>
      <c r="H57" s="25">
        <v>1</v>
      </c>
    </row>
    <row r="58" spans="1:8" outlineLevel="1" x14ac:dyDescent="0.25">
      <c r="A58" s="23"/>
      <c r="B58" s="25">
        <v>1</v>
      </c>
      <c r="C58" s="25" t="s">
        <v>299</v>
      </c>
      <c r="D58" s="25">
        <v>6124</v>
      </c>
      <c r="E58" s="25">
        <v>7</v>
      </c>
      <c r="F58" s="25">
        <v>0</v>
      </c>
      <c r="G58" s="33" t="s">
        <v>46</v>
      </c>
      <c r="H58" s="25">
        <v>1</v>
      </c>
    </row>
    <row r="59" spans="1:8" outlineLevel="1" x14ac:dyDescent="0.25">
      <c r="A59" s="23"/>
      <c r="B59" s="25">
        <v>1</v>
      </c>
      <c r="C59" s="25" t="s">
        <v>55</v>
      </c>
      <c r="D59" s="25">
        <v>6210</v>
      </c>
      <c r="E59" s="25">
        <v>10</v>
      </c>
      <c r="F59" s="25">
        <v>13</v>
      </c>
      <c r="G59" s="33" t="s">
        <v>46</v>
      </c>
      <c r="H59" s="25">
        <v>1</v>
      </c>
    </row>
    <row r="60" spans="1:8" outlineLevel="1" x14ac:dyDescent="0.25">
      <c r="A60" s="23"/>
      <c r="B60" s="25">
        <v>1</v>
      </c>
      <c r="C60" s="25" t="s">
        <v>56</v>
      </c>
      <c r="D60" s="25">
        <v>6210</v>
      </c>
      <c r="E60" s="25">
        <v>9</v>
      </c>
      <c r="F60" s="25">
        <v>18</v>
      </c>
      <c r="G60" s="33" t="s">
        <v>46</v>
      </c>
      <c r="H60" s="25">
        <v>1</v>
      </c>
    </row>
    <row r="61" spans="1:8" outlineLevel="1" x14ac:dyDescent="0.25">
      <c r="A61" s="23"/>
      <c r="B61" s="25">
        <v>1</v>
      </c>
      <c r="C61" s="25" t="s">
        <v>300</v>
      </c>
      <c r="D61" s="25">
        <v>6210</v>
      </c>
      <c r="E61" s="25">
        <v>8</v>
      </c>
      <c r="F61" s="25">
        <v>0</v>
      </c>
      <c r="G61" s="33" t="s">
        <v>46</v>
      </c>
      <c r="H61" s="25">
        <v>1</v>
      </c>
    </row>
    <row r="62" spans="1:8" outlineLevel="1" x14ac:dyDescent="0.25">
      <c r="A62" s="23"/>
      <c r="B62" s="25">
        <v>1</v>
      </c>
      <c r="C62" s="25" t="s">
        <v>301</v>
      </c>
      <c r="D62" s="25">
        <v>6175</v>
      </c>
      <c r="E62" s="25">
        <v>5</v>
      </c>
      <c r="F62" s="25">
        <v>0</v>
      </c>
      <c r="G62" s="33" t="s">
        <v>46</v>
      </c>
      <c r="H62" s="25">
        <v>1</v>
      </c>
    </row>
    <row r="63" spans="1:8" outlineLevel="1" x14ac:dyDescent="0.25">
      <c r="A63" s="23"/>
      <c r="B63" s="25">
        <v>1</v>
      </c>
      <c r="C63" s="25" t="s">
        <v>57</v>
      </c>
      <c r="D63" s="25">
        <v>6208</v>
      </c>
      <c r="E63" s="25">
        <v>10</v>
      </c>
      <c r="F63" s="25">
        <v>13</v>
      </c>
      <c r="G63" s="33" t="s">
        <v>46</v>
      </c>
      <c r="H63" s="25">
        <v>1</v>
      </c>
    </row>
    <row r="64" spans="1:8" outlineLevel="1" x14ac:dyDescent="0.25">
      <c r="A64" s="23"/>
      <c r="B64" s="25">
        <v>1</v>
      </c>
      <c r="C64" s="25" t="s">
        <v>302</v>
      </c>
      <c r="D64" s="25">
        <v>6210</v>
      </c>
      <c r="E64" s="25">
        <v>11</v>
      </c>
      <c r="F64" s="25">
        <v>0</v>
      </c>
      <c r="G64" s="33" t="s">
        <v>46</v>
      </c>
      <c r="H64" s="25">
        <v>1</v>
      </c>
    </row>
    <row r="65" spans="1:8" outlineLevel="1" x14ac:dyDescent="0.25">
      <c r="A65" s="23"/>
      <c r="B65" s="25"/>
      <c r="C65" s="25"/>
      <c r="D65" s="25"/>
      <c r="E65" s="25"/>
      <c r="F65" s="25"/>
      <c r="G65" s="33"/>
      <c r="H65" s="25"/>
    </row>
    <row r="66" spans="1:8" x14ac:dyDescent="0.25">
      <c r="A66" s="26"/>
      <c r="B66" s="26"/>
      <c r="C66" s="26"/>
      <c r="D66" s="26"/>
      <c r="E66" s="26"/>
      <c r="F66" s="26"/>
      <c r="G66" s="26"/>
      <c r="H66" s="26"/>
    </row>
    <row r="67" spans="1:8" x14ac:dyDescent="0.25">
      <c r="A67" s="31" t="s">
        <v>63</v>
      </c>
      <c r="B67" s="25">
        <f>SUM(B68:B79)</f>
        <v>11</v>
      </c>
      <c r="C67" s="32" t="s">
        <v>58</v>
      </c>
      <c r="D67" s="32" t="s">
        <v>58</v>
      </c>
      <c r="E67" s="25">
        <f>SUM(E68:E79)</f>
        <v>179</v>
      </c>
      <c r="F67" s="25">
        <f>SUM(F68:F79)</f>
        <v>142</v>
      </c>
      <c r="G67" s="33" t="s">
        <v>46</v>
      </c>
      <c r="H67" s="25">
        <v>1</v>
      </c>
    </row>
    <row r="68" spans="1:8" outlineLevel="2" x14ac:dyDescent="0.25">
      <c r="A68" s="25" t="s">
        <v>82</v>
      </c>
      <c r="B68" s="25">
        <v>1</v>
      </c>
      <c r="C68" s="25" t="s">
        <v>125</v>
      </c>
      <c r="D68" s="25">
        <v>6021</v>
      </c>
      <c r="E68" s="25">
        <v>26</v>
      </c>
      <c r="F68" s="25">
        <v>16</v>
      </c>
      <c r="G68" s="33" t="s">
        <v>46</v>
      </c>
      <c r="H68" s="25">
        <v>1</v>
      </c>
    </row>
    <row r="69" spans="1:8" outlineLevel="2" x14ac:dyDescent="0.25">
      <c r="A69" s="23"/>
      <c r="B69" s="25">
        <v>1</v>
      </c>
      <c r="C69" s="25" t="s">
        <v>126</v>
      </c>
      <c r="D69" s="25">
        <v>6061</v>
      </c>
      <c r="E69" s="25">
        <v>12</v>
      </c>
      <c r="F69" s="25">
        <v>0</v>
      </c>
      <c r="G69" s="33" t="s">
        <v>46</v>
      </c>
      <c r="H69" s="25">
        <v>1</v>
      </c>
    </row>
    <row r="70" spans="1:8" outlineLevel="2" x14ac:dyDescent="0.25">
      <c r="A70" s="23"/>
      <c r="B70" s="25">
        <v>1</v>
      </c>
      <c r="C70" s="25" t="s">
        <v>59</v>
      </c>
      <c r="D70" s="25">
        <v>6066</v>
      </c>
      <c r="E70" s="25">
        <v>28</v>
      </c>
      <c r="F70" s="25">
        <v>32</v>
      </c>
      <c r="G70" s="33" t="s">
        <v>46</v>
      </c>
      <c r="H70" s="25">
        <v>1</v>
      </c>
    </row>
    <row r="71" spans="1:8" outlineLevel="2" x14ac:dyDescent="0.25">
      <c r="A71" s="23"/>
      <c r="B71" s="25">
        <v>1</v>
      </c>
      <c r="C71" s="25" t="s">
        <v>303</v>
      </c>
      <c r="D71" s="25">
        <v>6065</v>
      </c>
      <c r="E71" s="25">
        <v>5</v>
      </c>
      <c r="F71" s="25">
        <v>0</v>
      </c>
      <c r="G71" s="33" t="s">
        <v>46</v>
      </c>
      <c r="H71" s="25">
        <v>1</v>
      </c>
    </row>
    <row r="72" spans="1:8" outlineLevel="2" x14ac:dyDescent="0.25">
      <c r="A72" s="23"/>
      <c r="B72" s="25">
        <v>1</v>
      </c>
      <c r="C72" s="25" t="s">
        <v>60</v>
      </c>
      <c r="D72" s="25">
        <v>6064</v>
      </c>
      <c r="E72" s="25">
        <v>11</v>
      </c>
      <c r="F72" s="25">
        <v>14</v>
      </c>
      <c r="G72" s="33" t="s">
        <v>46</v>
      </c>
      <c r="H72" s="25">
        <v>1</v>
      </c>
    </row>
    <row r="73" spans="1:8" outlineLevel="2" x14ac:dyDescent="0.25">
      <c r="A73" s="23"/>
      <c r="B73" s="25">
        <v>1</v>
      </c>
      <c r="C73" s="25" t="s">
        <v>304</v>
      </c>
      <c r="D73" s="25">
        <v>6024</v>
      </c>
      <c r="E73" s="25">
        <v>12</v>
      </c>
      <c r="F73" s="25">
        <v>0</v>
      </c>
      <c r="G73" s="33" t="s">
        <v>46</v>
      </c>
      <c r="H73" s="25">
        <v>1</v>
      </c>
    </row>
    <row r="74" spans="1:8" outlineLevel="2" x14ac:dyDescent="0.25">
      <c r="A74" s="23"/>
      <c r="B74" s="25">
        <v>1</v>
      </c>
      <c r="C74" s="25" t="s">
        <v>305</v>
      </c>
      <c r="D74" s="25">
        <v>6022</v>
      </c>
      <c r="E74" s="25">
        <v>19</v>
      </c>
      <c r="F74" s="25">
        <v>14</v>
      </c>
      <c r="G74" s="33" t="s">
        <v>46</v>
      </c>
      <c r="H74" s="25">
        <v>1</v>
      </c>
    </row>
    <row r="75" spans="1:8" outlineLevel="2" x14ac:dyDescent="0.25">
      <c r="A75" s="23"/>
      <c r="B75" s="25">
        <v>1</v>
      </c>
      <c r="C75" s="25" t="s">
        <v>61</v>
      </c>
      <c r="D75" s="25">
        <v>6065</v>
      </c>
      <c r="E75" s="25">
        <v>35</v>
      </c>
      <c r="F75" s="25">
        <v>31</v>
      </c>
      <c r="G75" s="33" t="s">
        <v>46</v>
      </c>
      <c r="H75" s="25">
        <v>1</v>
      </c>
    </row>
    <row r="76" spans="1:8" outlineLevel="2" x14ac:dyDescent="0.25">
      <c r="A76" s="23"/>
      <c r="B76" s="25">
        <v>1</v>
      </c>
      <c r="C76" s="25" t="s">
        <v>306</v>
      </c>
      <c r="D76" s="25">
        <v>6065</v>
      </c>
      <c r="E76" s="25">
        <v>14</v>
      </c>
      <c r="F76" s="25">
        <v>18</v>
      </c>
      <c r="G76" s="33" t="s">
        <v>46</v>
      </c>
      <c r="H76" s="25">
        <v>1</v>
      </c>
    </row>
    <row r="77" spans="1:8" outlineLevel="2" x14ac:dyDescent="0.25">
      <c r="A77" s="23"/>
      <c r="B77" s="25">
        <v>1</v>
      </c>
      <c r="C77" s="25" t="s">
        <v>127</v>
      </c>
      <c r="D77" s="25">
        <v>6061</v>
      </c>
      <c r="E77" s="25">
        <v>4</v>
      </c>
      <c r="F77" s="25">
        <v>0</v>
      </c>
      <c r="G77" s="33" t="s">
        <v>46</v>
      </c>
      <c r="H77" s="25">
        <v>1</v>
      </c>
    </row>
    <row r="78" spans="1:8" outlineLevel="2" x14ac:dyDescent="0.25">
      <c r="A78" s="23"/>
      <c r="B78" s="25">
        <v>1</v>
      </c>
      <c r="C78" s="25" t="s">
        <v>128</v>
      </c>
      <c r="D78" s="25">
        <v>6061</v>
      </c>
      <c r="E78" s="25">
        <v>13</v>
      </c>
      <c r="F78" s="25">
        <v>17</v>
      </c>
      <c r="G78" s="33" t="s">
        <v>46</v>
      </c>
      <c r="H78" s="25">
        <v>1</v>
      </c>
    </row>
    <row r="79" spans="1:8" outlineLevel="2" x14ac:dyDescent="0.25">
      <c r="A79" s="23"/>
      <c r="B79" s="25"/>
      <c r="C79" s="25"/>
      <c r="D79" s="25"/>
      <c r="E79" s="25"/>
      <c r="F79" s="25"/>
      <c r="G79" s="33"/>
      <c r="H79" s="25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31" t="s">
        <v>81</v>
      </c>
      <c r="B81" s="25">
        <f>SUM(B82:B102)</f>
        <v>20</v>
      </c>
      <c r="C81" s="32" t="s">
        <v>58</v>
      </c>
      <c r="D81" s="32" t="s">
        <v>58</v>
      </c>
      <c r="E81" s="25">
        <f>SUM(E82:E102)</f>
        <v>311</v>
      </c>
      <c r="F81" s="25">
        <f>SUM(F82:F102)</f>
        <v>237</v>
      </c>
      <c r="G81" s="33" t="s">
        <v>139</v>
      </c>
      <c r="H81" s="25">
        <v>1</v>
      </c>
    </row>
    <row r="82" spans="1:8" outlineLevel="3" x14ac:dyDescent="0.25">
      <c r="A82" s="34" t="s">
        <v>83</v>
      </c>
      <c r="B82" s="25">
        <v>1</v>
      </c>
      <c r="C82" s="25" t="s">
        <v>307</v>
      </c>
      <c r="D82" s="25">
        <v>6015</v>
      </c>
      <c r="E82" s="25">
        <v>22</v>
      </c>
      <c r="F82" s="25">
        <v>14</v>
      </c>
      <c r="G82" s="33" t="s">
        <v>139</v>
      </c>
      <c r="H82" s="25">
        <v>1</v>
      </c>
    </row>
    <row r="83" spans="1:8" outlineLevel="3" x14ac:dyDescent="0.25">
      <c r="A83" s="23"/>
      <c r="B83" s="25">
        <v>1</v>
      </c>
      <c r="C83" s="25" t="s">
        <v>64</v>
      </c>
      <c r="D83" s="25">
        <v>6010</v>
      </c>
      <c r="E83" s="25">
        <v>13</v>
      </c>
      <c r="F83" s="25">
        <v>0</v>
      </c>
      <c r="G83" s="33" t="s">
        <v>139</v>
      </c>
      <c r="H83" s="25">
        <v>1</v>
      </c>
    </row>
    <row r="84" spans="1:8" outlineLevel="3" x14ac:dyDescent="0.25">
      <c r="A84" s="23"/>
      <c r="B84" s="25">
        <v>1</v>
      </c>
      <c r="C84" s="25" t="s">
        <v>65</v>
      </c>
      <c r="D84" s="25">
        <v>6011</v>
      </c>
      <c r="E84" s="25">
        <v>20</v>
      </c>
      <c r="F84" s="25">
        <v>16</v>
      </c>
      <c r="G84" s="33" t="s">
        <v>139</v>
      </c>
      <c r="H84" s="25">
        <v>1</v>
      </c>
    </row>
    <row r="85" spans="1:8" outlineLevel="3" x14ac:dyDescent="0.25">
      <c r="A85" s="23"/>
      <c r="B85" s="25">
        <v>1</v>
      </c>
      <c r="C85" s="25" t="s">
        <v>66</v>
      </c>
      <c r="D85" s="25">
        <v>6009</v>
      </c>
      <c r="E85" s="25">
        <v>7</v>
      </c>
      <c r="F85" s="25">
        <v>0</v>
      </c>
      <c r="G85" s="33" t="s">
        <v>139</v>
      </c>
      <c r="H85" s="25">
        <v>1</v>
      </c>
    </row>
    <row r="86" spans="1:8" outlineLevel="3" x14ac:dyDescent="0.25">
      <c r="A86" s="23"/>
      <c r="B86" s="25">
        <v>1</v>
      </c>
      <c r="C86" s="25" t="s">
        <v>67</v>
      </c>
      <c r="D86" s="25">
        <v>6018</v>
      </c>
      <c r="E86" s="25">
        <v>23</v>
      </c>
      <c r="F86" s="25">
        <v>20</v>
      </c>
      <c r="G86" s="33" t="s">
        <v>139</v>
      </c>
      <c r="H86" s="25">
        <v>1</v>
      </c>
    </row>
    <row r="87" spans="1:8" outlineLevel="3" x14ac:dyDescent="0.25">
      <c r="A87" s="23"/>
      <c r="B87" s="25">
        <v>1</v>
      </c>
      <c r="C87" s="25" t="s">
        <v>68</v>
      </c>
      <c r="D87" s="25">
        <v>6014</v>
      </c>
      <c r="E87" s="25">
        <v>21</v>
      </c>
      <c r="F87" s="25">
        <v>0</v>
      </c>
      <c r="G87" s="33" t="s">
        <v>139</v>
      </c>
      <c r="H87" s="25">
        <v>1</v>
      </c>
    </row>
    <row r="88" spans="1:8" outlineLevel="3" x14ac:dyDescent="0.25">
      <c r="A88" s="23"/>
      <c r="B88" s="25">
        <v>1</v>
      </c>
      <c r="C88" s="25" t="s">
        <v>69</v>
      </c>
      <c r="D88" s="25">
        <v>6018</v>
      </c>
      <c r="E88" s="25">
        <v>13</v>
      </c>
      <c r="F88" s="25">
        <v>17</v>
      </c>
      <c r="G88" s="33" t="s">
        <v>139</v>
      </c>
      <c r="H88" s="25">
        <v>1</v>
      </c>
    </row>
    <row r="89" spans="1:8" outlineLevel="3" x14ac:dyDescent="0.25">
      <c r="A89" s="23"/>
      <c r="B89" s="25">
        <v>1</v>
      </c>
      <c r="C89" s="25" t="s">
        <v>70</v>
      </c>
      <c r="D89" s="25">
        <v>6014</v>
      </c>
      <c r="E89" s="25">
        <v>12</v>
      </c>
      <c r="F89" s="25">
        <v>0</v>
      </c>
      <c r="G89" s="33" t="s">
        <v>139</v>
      </c>
      <c r="H89" s="25">
        <v>1</v>
      </c>
    </row>
    <row r="90" spans="1:8" outlineLevel="3" x14ac:dyDescent="0.25">
      <c r="A90" s="23"/>
      <c r="B90" s="25">
        <v>1</v>
      </c>
      <c r="C90" s="25" t="s">
        <v>71</v>
      </c>
      <c r="D90" s="25">
        <v>6018</v>
      </c>
      <c r="E90" s="25">
        <v>26</v>
      </c>
      <c r="F90" s="25">
        <v>34</v>
      </c>
      <c r="G90" s="33" t="s">
        <v>139</v>
      </c>
      <c r="H90" s="25">
        <v>1</v>
      </c>
    </row>
    <row r="91" spans="1:8" outlineLevel="3" x14ac:dyDescent="0.25">
      <c r="A91" s="23"/>
      <c r="B91" s="25">
        <v>1</v>
      </c>
      <c r="C91" s="25" t="s">
        <v>72</v>
      </c>
      <c r="D91" s="25">
        <v>6010</v>
      </c>
      <c r="E91" s="25">
        <v>13</v>
      </c>
      <c r="F91" s="25">
        <v>17</v>
      </c>
      <c r="G91" s="33" t="s">
        <v>139</v>
      </c>
      <c r="H91" s="25">
        <v>1</v>
      </c>
    </row>
    <row r="92" spans="1:8" outlineLevel="3" x14ac:dyDescent="0.25">
      <c r="A92" s="23"/>
      <c r="B92" s="25">
        <v>1</v>
      </c>
      <c r="C92" s="25" t="s">
        <v>73</v>
      </c>
      <c r="D92" s="25">
        <v>6009</v>
      </c>
      <c r="E92" s="25">
        <v>25</v>
      </c>
      <c r="F92" s="25">
        <v>0</v>
      </c>
      <c r="G92" s="33" t="s">
        <v>139</v>
      </c>
      <c r="H92" s="25">
        <v>1</v>
      </c>
    </row>
    <row r="93" spans="1:8" outlineLevel="3" x14ac:dyDescent="0.25">
      <c r="A93" s="23"/>
      <c r="B93" s="25">
        <v>1</v>
      </c>
      <c r="C93" s="25" t="s">
        <v>74</v>
      </c>
      <c r="D93" s="25">
        <v>6011</v>
      </c>
      <c r="E93" s="25">
        <v>13</v>
      </c>
      <c r="F93" s="25">
        <v>17</v>
      </c>
      <c r="G93" s="33" t="s">
        <v>139</v>
      </c>
      <c r="H93" s="25">
        <v>1</v>
      </c>
    </row>
    <row r="94" spans="1:8" outlineLevel="3" x14ac:dyDescent="0.25">
      <c r="A94" s="23"/>
      <c r="B94" s="25">
        <v>1</v>
      </c>
      <c r="C94" s="25" t="s">
        <v>308</v>
      </c>
      <c r="D94" s="25">
        <v>6019</v>
      </c>
      <c r="E94" s="25">
        <v>13</v>
      </c>
      <c r="F94" s="25">
        <v>17</v>
      </c>
      <c r="G94" s="33" t="s">
        <v>139</v>
      </c>
      <c r="H94" s="25">
        <v>1</v>
      </c>
    </row>
    <row r="95" spans="1:8" outlineLevel="3" x14ac:dyDescent="0.25">
      <c r="A95" s="23"/>
      <c r="B95" s="25">
        <v>1</v>
      </c>
      <c r="C95" s="25" t="s">
        <v>75</v>
      </c>
      <c r="D95" s="25">
        <v>6008</v>
      </c>
      <c r="E95" s="25">
        <v>4</v>
      </c>
      <c r="F95" s="25">
        <v>0</v>
      </c>
      <c r="G95" s="33" t="s">
        <v>139</v>
      </c>
      <c r="H95" s="25">
        <v>1</v>
      </c>
    </row>
    <row r="96" spans="1:8" outlineLevel="3" x14ac:dyDescent="0.25">
      <c r="A96" s="23"/>
      <c r="B96" s="25">
        <v>1</v>
      </c>
      <c r="C96" s="25" t="s">
        <v>76</v>
      </c>
      <c r="D96" s="25">
        <v>6008</v>
      </c>
      <c r="E96" s="25">
        <v>16</v>
      </c>
      <c r="F96" s="25">
        <v>20</v>
      </c>
      <c r="G96" s="33" t="s">
        <v>139</v>
      </c>
      <c r="H96" s="25">
        <v>1</v>
      </c>
    </row>
    <row r="97" spans="1:8" outlineLevel="3" x14ac:dyDescent="0.25">
      <c r="A97" s="23"/>
      <c r="B97" s="25">
        <v>1</v>
      </c>
      <c r="C97" s="25" t="s">
        <v>77</v>
      </c>
      <c r="D97" s="25">
        <v>6010</v>
      </c>
      <c r="E97" s="25">
        <v>12</v>
      </c>
      <c r="F97" s="25">
        <v>0</v>
      </c>
      <c r="G97" s="33" t="s">
        <v>139</v>
      </c>
      <c r="H97" s="25">
        <v>1</v>
      </c>
    </row>
    <row r="98" spans="1:8" outlineLevel="3" x14ac:dyDescent="0.25">
      <c r="A98" s="23"/>
      <c r="B98" s="25">
        <v>1</v>
      </c>
      <c r="C98" s="25" t="s">
        <v>78</v>
      </c>
      <c r="D98" s="25">
        <v>6014</v>
      </c>
      <c r="E98" s="25">
        <v>20</v>
      </c>
      <c r="F98" s="25">
        <v>15</v>
      </c>
      <c r="G98" s="33" t="s">
        <v>139</v>
      </c>
      <c r="H98" s="25">
        <v>1</v>
      </c>
    </row>
    <row r="99" spans="1:8" outlineLevel="3" x14ac:dyDescent="0.25">
      <c r="A99" s="23"/>
      <c r="B99" s="25">
        <v>1</v>
      </c>
      <c r="C99" s="25" t="s">
        <v>79</v>
      </c>
      <c r="D99" s="25">
        <v>6019</v>
      </c>
      <c r="E99" s="25">
        <v>12</v>
      </c>
      <c r="F99" s="25">
        <v>16</v>
      </c>
      <c r="G99" s="33" t="s">
        <v>139</v>
      </c>
      <c r="H99" s="25">
        <v>1</v>
      </c>
    </row>
    <row r="100" spans="1:8" outlineLevel="3" x14ac:dyDescent="0.25">
      <c r="A100" s="23"/>
      <c r="B100" s="25">
        <v>1</v>
      </c>
      <c r="C100" s="25" t="s">
        <v>309</v>
      </c>
      <c r="D100" s="25">
        <v>6007</v>
      </c>
      <c r="E100" s="25">
        <v>13</v>
      </c>
      <c r="F100" s="25">
        <v>17</v>
      </c>
      <c r="G100" s="33" t="s">
        <v>139</v>
      </c>
      <c r="H100" s="25">
        <v>1</v>
      </c>
    </row>
    <row r="101" spans="1:8" outlineLevel="3" x14ac:dyDescent="0.25">
      <c r="A101" s="23"/>
      <c r="B101" s="25">
        <v>1</v>
      </c>
      <c r="C101" s="25" t="s">
        <v>80</v>
      </c>
      <c r="D101" s="25">
        <v>6018</v>
      </c>
      <c r="E101" s="25">
        <v>13</v>
      </c>
      <c r="F101" s="25">
        <v>17</v>
      </c>
      <c r="G101" s="33" t="s">
        <v>139</v>
      </c>
      <c r="H101" s="25">
        <v>1</v>
      </c>
    </row>
    <row r="102" spans="1:8" outlineLevel="3" x14ac:dyDescent="0.25">
      <c r="A102" s="23"/>
      <c r="B102" s="25"/>
      <c r="C102" s="25"/>
      <c r="D102" s="25"/>
      <c r="E102" s="25"/>
      <c r="F102" s="25"/>
      <c r="G102" s="33"/>
      <c r="H102" s="25"/>
    </row>
    <row r="103" spans="1:8" x14ac:dyDescent="0.25">
      <c r="A103" s="26"/>
      <c r="B103" s="26"/>
      <c r="C103" s="26"/>
      <c r="D103" s="26"/>
      <c r="E103" s="26"/>
      <c r="F103" s="26"/>
      <c r="G103" s="26"/>
      <c r="H103" s="26"/>
    </row>
    <row r="104" spans="1:8" x14ac:dyDescent="0.25">
      <c r="A104" s="31" t="s">
        <v>84</v>
      </c>
      <c r="B104" s="25">
        <f>SUM(B105:B119)</f>
        <v>14</v>
      </c>
      <c r="C104" s="32" t="s">
        <v>58</v>
      </c>
      <c r="D104" s="32" t="s">
        <v>58</v>
      </c>
      <c r="E104" s="25">
        <f>SUM(E105:E119)</f>
        <v>86</v>
      </c>
      <c r="F104" s="25">
        <f>SUM(F105:F119)</f>
        <v>58</v>
      </c>
      <c r="G104" s="33" t="s">
        <v>138</v>
      </c>
      <c r="H104" s="25">
        <v>1</v>
      </c>
    </row>
    <row r="105" spans="1:8" outlineLevel="4" x14ac:dyDescent="0.25">
      <c r="A105" s="34" t="s">
        <v>87</v>
      </c>
      <c r="B105" s="25">
        <v>1</v>
      </c>
      <c r="C105" s="103" t="s">
        <v>310</v>
      </c>
      <c r="D105" s="104">
        <v>6084</v>
      </c>
      <c r="E105" s="10">
        <v>0</v>
      </c>
      <c r="F105" s="10">
        <v>5</v>
      </c>
      <c r="G105" s="33" t="s">
        <v>138</v>
      </c>
      <c r="H105" s="25">
        <v>1</v>
      </c>
    </row>
    <row r="106" spans="1:8" outlineLevel="4" x14ac:dyDescent="0.25">
      <c r="A106" s="23"/>
      <c r="B106" s="25">
        <v>1</v>
      </c>
      <c r="C106" s="103" t="s">
        <v>311</v>
      </c>
      <c r="D106" s="104">
        <v>6609</v>
      </c>
      <c r="E106" s="10">
        <v>3</v>
      </c>
      <c r="F106" s="10">
        <v>0</v>
      </c>
      <c r="G106" s="33" t="s">
        <v>138</v>
      </c>
      <c r="H106" s="25">
        <v>1</v>
      </c>
    </row>
    <row r="107" spans="1:8" outlineLevel="4" x14ac:dyDescent="0.25">
      <c r="A107" s="23"/>
      <c r="B107" s="25">
        <v>1</v>
      </c>
      <c r="C107" s="103" t="s">
        <v>312</v>
      </c>
      <c r="D107" s="104">
        <v>6532</v>
      </c>
      <c r="E107" s="10">
        <v>3</v>
      </c>
      <c r="F107" s="10">
        <v>0</v>
      </c>
      <c r="G107" s="33" t="s">
        <v>138</v>
      </c>
      <c r="H107" s="25">
        <v>1</v>
      </c>
    </row>
    <row r="108" spans="1:8" outlineLevel="4" x14ac:dyDescent="0.25">
      <c r="A108" s="23"/>
      <c r="B108" s="25">
        <v>1</v>
      </c>
      <c r="C108" s="103" t="s">
        <v>313</v>
      </c>
      <c r="D108" s="104">
        <v>6503</v>
      </c>
      <c r="E108" s="10">
        <v>8</v>
      </c>
      <c r="F108" s="10">
        <v>0</v>
      </c>
      <c r="G108" s="33" t="s">
        <v>138</v>
      </c>
      <c r="H108" s="25">
        <v>1</v>
      </c>
    </row>
    <row r="109" spans="1:8" outlineLevel="4" x14ac:dyDescent="0.25">
      <c r="A109" s="23"/>
      <c r="B109" s="25">
        <v>1</v>
      </c>
      <c r="C109" s="103" t="s">
        <v>314</v>
      </c>
      <c r="D109" s="104">
        <v>6516</v>
      </c>
      <c r="E109" s="10">
        <v>11</v>
      </c>
      <c r="F109" s="10">
        <v>2</v>
      </c>
      <c r="G109" s="33" t="s">
        <v>138</v>
      </c>
      <c r="H109" s="25">
        <v>1</v>
      </c>
    </row>
    <row r="110" spans="1:8" outlineLevel="4" x14ac:dyDescent="0.25">
      <c r="A110" s="23"/>
      <c r="B110" s="25">
        <v>1</v>
      </c>
      <c r="C110" s="103" t="s">
        <v>315</v>
      </c>
      <c r="D110" s="104">
        <v>6714</v>
      </c>
      <c r="E110" s="10">
        <v>12</v>
      </c>
      <c r="F110" s="10">
        <v>15</v>
      </c>
      <c r="G110" s="33" t="s">
        <v>138</v>
      </c>
      <c r="H110" s="25">
        <v>1</v>
      </c>
    </row>
    <row r="111" spans="1:8" outlineLevel="4" x14ac:dyDescent="0.25">
      <c r="A111" s="23"/>
      <c r="B111" s="25">
        <v>1</v>
      </c>
      <c r="C111" s="103" t="s">
        <v>316</v>
      </c>
      <c r="D111" s="104">
        <v>6630</v>
      </c>
      <c r="E111" s="10">
        <v>3</v>
      </c>
      <c r="F111" s="10">
        <v>0</v>
      </c>
      <c r="G111" s="33" t="s">
        <v>138</v>
      </c>
      <c r="H111" s="25">
        <v>1</v>
      </c>
    </row>
    <row r="112" spans="1:8" outlineLevel="4" x14ac:dyDescent="0.25">
      <c r="A112" s="23"/>
      <c r="B112" s="25">
        <v>1</v>
      </c>
      <c r="C112" s="103" t="s">
        <v>317</v>
      </c>
      <c r="D112" s="104">
        <v>6714</v>
      </c>
      <c r="E112" s="10">
        <v>14</v>
      </c>
      <c r="F112" s="10">
        <v>18</v>
      </c>
      <c r="G112" s="33" t="s">
        <v>138</v>
      </c>
      <c r="H112" s="25">
        <v>1</v>
      </c>
    </row>
    <row r="113" spans="1:8" outlineLevel="4" x14ac:dyDescent="0.25">
      <c r="A113" s="23"/>
      <c r="B113" s="25">
        <v>1</v>
      </c>
      <c r="C113" s="103" t="s">
        <v>318</v>
      </c>
      <c r="D113" s="104">
        <v>6710</v>
      </c>
      <c r="E113" s="10">
        <v>8</v>
      </c>
      <c r="F113" s="10">
        <v>10</v>
      </c>
      <c r="G113" s="33" t="s">
        <v>138</v>
      </c>
      <c r="H113" s="25">
        <v>1</v>
      </c>
    </row>
    <row r="114" spans="1:8" outlineLevel="4" x14ac:dyDescent="0.25">
      <c r="A114" s="23"/>
      <c r="B114" s="25">
        <v>1</v>
      </c>
      <c r="C114" s="103" t="s">
        <v>319</v>
      </c>
      <c r="D114" s="104">
        <v>6530</v>
      </c>
      <c r="E114" s="10">
        <v>5</v>
      </c>
      <c r="F114" s="10">
        <v>0</v>
      </c>
      <c r="G114" s="33" t="s">
        <v>138</v>
      </c>
      <c r="H114" s="25">
        <v>1</v>
      </c>
    </row>
    <row r="115" spans="1:8" outlineLevel="4" x14ac:dyDescent="0.25">
      <c r="A115" s="23"/>
      <c r="B115" s="25">
        <v>1</v>
      </c>
      <c r="C115" s="103" t="s">
        <v>86</v>
      </c>
      <c r="D115" s="104">
        <v>6722</v>
      </c>
      <c r="E115" s="10">
        <v>5</v>
      </c>
      <c r="F115" s="10">
        <v>0</v>
      </c>
      <c r="G115" s="33" t="s">
        <v>138</v>
      </c>
      <c r="H115" s="25">
        <v>1</v>
      </c>
    </row>
    <row r="116" spans="1:8" outlineLevel="4" x14ac:dyDescent="0.25">
      <c r="A116" s="23"/>
      <c r="B116" s="25">
        <v>1</v>
      </c>
      <c r="C116" s="103" t="s">
        <v>320</v>
      </c>
      <c r="D116" s="104">
        <v>6519</v>
      </c>
      <c r="E116" s="10">
        <v>3</v>
      </c>
      <c r="F116" s="10">
        <v>0</v>
      </c>
      <c r="G116" s="33" t="s">
        <v>138</v>
      </c>
      <c r="H116" s="25">
        <v>1</v>
      </c>
    </row>
    <row r="117" spans="1:8" outlineLevel="4" x14ac:dyDescent="0.25">
      <c r="A117" s="23"/>
      <c r="B117" s="25">
        <v>1</v>
      </c>
      <c r="C117" s="103" t="s">
        <v>321</v>
      </c>
      <c r="D117" s="104">
        <v>6423</v>
      </c>
      <c r="E117" s="10">
        <v>6</v>
      </c>
      <c r="F117" s="10">
        <v>8</v>
      </c>
      <c r="G117" s="33" t="s">
        <v>138</v>
      </c>
      <c r="H117" s="25">
        <v>1</v>
      </c>
    </row>
    <row r="118" spans="1:8" outlineLevel="4" x14ac:dyDescent="0.25">
      <c r="A118" s="23"/>
      <c r="B118" s="25">
        <v>1</v>
      </c>
      <c r="C118" s="103" t="s">
        <v>322</v>
      </c>
      <c r="D118" s="104">
        <v>6603</v>
      </c>
      <c r="E118" s="10">
        <v>5</v>
      </c>
      <c r="F118" s="10">
        <v>0</v>
      </c>
      <c r="G118" s="33" t="s">
        <v>138</v>
      </c>
      <c r="H118" s="25">
        <v>1</v>
      </c>
    </row>
    <row r="119" spans="1:8" outlineLevel="4" x14ac:dyDescent="0.25">
      <c r="A119" s="23"/>
      <c r="B119" s="25"/>
      <c r="C119" s="103"/>
      <c r="D119" s="104"/>
      <c r="E119" s="10"/>
      <c r="F119" s="10"/>
      <c r="G119" s="33"/>
      <c r="H119" s="25"/>
    </row>
    <row r="120" spans="1:8" x14ac:dyDescent="0.25">
      <c r="A120" s="26"/>
      <c r="B120" s="26"/>
      <c r="C120" s="26"/>
      <c r="D120" s="26"/>
      <c r="E120" s="26"/>
      <c r="F120" s="26"/>
      <c r="G120" s="26"/>
      <c r="H120" s="26"/>
    </row>
    <row r="121" spans="1:8" x14ac:dyDescent="0.25">
      <c r="A121" s="31" t="s">
        <v>88</v>
      </c>
      <c r="B121" s="25">
        <f>SUM(B122:B133)</f>
        <v>11</v>
      </c>
      <c r="C121" s="32" t="s">
        <v>58</v>
      </c>
      <c r="D121" s="32" t="s">
        <v>58</v>
      </c>
      <c r="E121" s="25">
        <f>SUM(E122:E133)</f>
        <v>99</v>
      </c>
      <c r="F121" s="25">
        <f>SUM(F122:F133)</f>
        <v>75</v>
      </c>
      <c r="G121" s="33" t="s">
        <v>138</v>
      </c>
      <c r="H121" s="25">
        <v>1</v>
      </c>
    </row>
    <row r="122" spans="1:8" outlineLevel="3" x14ac:dyDescent="0.25">
      <c r="A122" s="25" t="s">
        <v>89</v>
      </c>
      <c r="B122" s="25">
        <v>1</v>
      </c>
      <c r="C122" s="103" t="s">
        <v>90</v>
      </c>
      <c r="D122" s="104">
        <v>6233</v>
      </c>
      <c r="E122" s="10">
        <v>21</v>
      </c>
      <c r="F122" s="10">
        <v>7</v>
      </c>
      <c r="G122" s="33" t="s">
        <v>138</v>
      </c>
      <c r="H122" s="25">
        <v>1</v>
      </c>
    </row>
    <row r="123" spans="1:8" outlineLevel="3" x14ac:dyDescent="0.25">
      <c r="A123" s="23"/>
      <c r="B123" s="25">
        <v>1</v>
      </c>
      <c r="C123" s="105" t="s">
        <v>91</v>
      </c>
      <c r="D123" s="104">
        <v>6230</v>
      </c>
      <c r="E123" s="10">
        <v>11</v>
      </c>
      <c r="F123" s="10">
        <v>14</v>
      </c>
      <c r="G123" s="33" t="s">
        <v>138</v>
      </c>
      <c r="H123" s="25">
        <v>1</v>
      </c>
    </row>
    <row r="124" spans="1:8" outlineLevel="3" x14ac:dyDescent="0.25">
      <c r="A124" s="23"/>
      <c r="B124" s="25">
        <v>1</v>
      </c>
      <c r="C124" s="105" t="s">
        <v>324</v>
      </c>
      <c r="D124" s="104">
        <v>6280</v>
      </c>
      <c r="E124" s="10">
        <v>3</v>
      </c>
      <c r="F124" s="10">
        <v>0</v>
      </c>
      <c r="G124" s="33" t="s">
        <v>138</v>
      </c>
      <c r="H124" s="25">
        <v>1</v>
      </c>
    </row>
    <row r="125" spans="1:8" outlineLevel="3" x14ac:dyDescent="0.25">
      <c r="A125" s="23"/>
      <c r="B125" s="25">
        <v>1</v>
      </c>
      <c r="C125" s="105" t="s">
        <v>325</v>
      </c>
      <c r="D125" s="104">
        <v>6230</v>
      </c>
      <c r="E125" s="10">
        <v>5</v>
      </c>
      <c r="F125" s="10">
        <v>0</v>
      </c>
      <c r="G125" s="33" t="s">
        <v>138</v>
      </c>
      <c r="H125" s="25">
        <v>1</v>
      </c>
    </row>
    <row r="126" spans="1:8" outlineLevel="3" x14ac:dyDescent="0.25">
      <c r="A126" s="23"/>
      <c r="B126" s="25">
        <v>1</v>
      </c>
      <c r="C126" s="105" t="s">
        <v>326</v>
      </c>
      <c r="D126" s="104">
        <v>6284</v>
      </c>
      <c r="E126" s="10">
        <v>10</v>
      </c>
      <c r="F126" s="10">
        <v>12</v>
      </c>
      <c r="G126" s="33" t="s">
        <v>138</v>
      </c>
      <c r="H126" s="25">
        <v>1</v>
      </c>
    </row>
    <row r="127" spans="1:8" outlineLevel="3" x14ac:dyDescent="0.25">
      <c r="A127" s="23"/>
      <c r="B127" s="25">
        <v>1</v>
      </c>
      <c r="C127" s="105" t="s">
        <v>327</v>
      </c>
      <c r="D127" s="104">
        <v>6230</v>
      </c>
      <c r="E127" s="10">
        <v>13</v>
      </c>
      <c r="F127" s="10">
        <v>17</v>
      </c>
      <c r="G127" s="33" t="s">
        <v>138</v>
      </c>
      <c r="H127" s="25">
        <v>1</v>
      </c>
    </row>
    <row r="128" spans="1:8" outlineLevel="3" x14ac:dyDescent="0.25">
      <c r="A128" s="23"/>
      <c r="B128" s="25">
        <v>1</v>
      </c>
      <c r="C128" s="105" t="s">
        <v>328</v>
      </c>
      <c r="D128" s="104">
        <v>6230</v>
      </c>
      <c r="E128" s="10">
        <v>10</v>
      </c>
      <c r="F128" s="10">
        <v>13</v>
      </c>
      <c r="G128" s="33" t="s">
        <v>138</v>
      </c>
      <c r="H128" s="25">
        <v>1</v>
      </c>
    </row>
    <row r="129" spans="1:8" outlineLevel="3" x14ac:dyDescent="0.25">
      <c r="A129" s="23"/>
      <c r="B129" s="25">
        <v>1</v>
      </c>
      <c r="C129" s="105" t="s">
        <v>329</v>
      </c>
      <c r="D129" s="104">
        <v>6232</v>
      </c>
      <c r="E129" s="10">
        <v>5</v>
      </c>
      <c r="F129" s="10">
        <v>0</v>
      </c>
      <c r="G129" s="33" t="s">
        <v>138</v>
      </c>
      <c r="H129" s="25">
        <v>1</v>
      </c>
    </row>
    <row r="130" spans="1:8" outlineLevel="3" x14ac:dyDescent="0.25">
      <c r="A130" s="23"/>
      <c r="B130" s="25">
        <v>1</v>
      </c>
      <c r="C130" s="105" t="s">
        <v>330</v>
      </c>
      <c r="D130" s="104">
        <v>6230</v>
      </c>
      <c r="E130" s="10">
        <v>10</v>
      </c>
      <c r="F130" s="10">
        <v>12</v>
      </c>
      <c r="G130" s="33" t="s">
        <v>138</v>
      </c>
      <c r="H130" s="25">
        <v>1</v>
      </c>
    </row>
    <row r="131" spans="1:8" outlineLevel="3" x14ac:dyDescent="0.25">
      <c r="A131" s="23"/>
      <c r="B131" s="25">
        <v>1</v>
      </c>
      <c r="C131" s="105" t="s">
        <v>331</v>
      </c>
      <c r="D131" s="104">
        <v>6280</v>
      </c>
      <c r="E131" s="10">
        <v>7</v>
      </c>
      <c r="F131" s="10">
        <v>0</v>
      </c>
      <c r="G131" s="33" t="s">
        <v>138</v>
      </c>
      <c r="H131" s="25">
        <v>1</v>
      </c>
    </row>
    <row r="132" spans="1:8" outlineLevel="3" x14ac:dyDescent="0.25">
      <c r="A132" s="23"/>
      <c r="B132" s="25">
        <v>1</v>
      </c>
      <c r="C132" s="105" t="s">
        <v>332</v>
      </c>
      <c r="D132" s="104">
        <v>6286</v>
      </c>
      <c r="E132" s="10">
        <v>4</v>
      </c>
      <c r="F132" s="10">
        <v>0</v>
      </c>
      <c r="G132" s="33" t="s">
        <v>138</v>
      </c>
      <c r="H132" s="25">
        <v>1</v>
      </c>
    </row>
    <row r="133" spans="1:8" outlineLevel="3" x14ac:dyDescent="0.25">
      <c r="A133" s="23"/>
      <c r="B133" s="25"/>
      <c r="C133" s="105"/>
      <c r="D133" s="104"/>
      <c r="E133" s="10"/>
      <c r="F133" s="10"/>
      <c r="G133" s="33"/>
      <c r="H133" s="25"/>
    </row>
    <row r="135" spans="1:8" x14ac:dyDescent="0.25">
      <c r="A135" s="26"/>
      <c r="B135" s="26"/>
      <c r="C135" s="26"/>
      <c r="D135" s="26"/>
      <c r="E135" s="26"/>
      <c r="F135" s="26"/>
      <c r="G135" s="26"/>
      <c r="H135" s="26"/>
    </row>
    <row r="136" spans="1:8" x14ac:dyDescent="0.25">
      <c r="A136" s="31" t="s">
        <v>92</v>
      </c>
      <c r="B136" s="25">
        <f>SUM(B137:B152)</f>
        <v>15</v>
      </c>
      <c r="C136" s="32" t="s">
        <v>58</v>
      </c>
      <c r="D136" s="32" t="s">
        <v>58</v>
      </c>
      <c r="E136" s="25">
        <f>SUM(E137:E152)</f>
        <v>171</v>
      </c>
      <c r="F136" s="25">
        <f>SUM(F137:F152)</f>
        <v>53</v>
      </c>
      <c r="G136" s="33" t="s">
        <v>139</v>
      </c>
      <c r="H136" s="25">
        <v>1</v>
      </c>
    </row>
    <row r="137" spans="1:8" outlineLevel="2" x14ac:dyDescent="0.25">
      <c r="A137" s="34" t="s">
        <v>95</v>
      </c>
      <c r="B137" s="25">
        <v>1</v>
      </c>
      <c r="C137" s="103" t="s">
        <v>333</v>
      </c>
      <c r="D137" s="104">
        <v>6164</v>
      </c>
      <c r="E137" s="10">
        <v>20</v>
      </c>
      <c r="F137" s="10">
        <v>0</v>
      </c>
      <c r="G137" s="33" t="s">
        <v>139</v>
      </c>
      <c r="H137" s="25">
        <v>1</v>
      </c>
    </row>
    <row r="138" spans="1:8" outlineLevel="2" x14ac:dyDescent="0.25">
      <c r="A138" s="23"/>
      <c r="B138" s="25">
        <v>1</v>
      </c>
      <c r="C138" s="103" t="s">
        <v>334</v>
      </c>
      <c r="D138" s="104">
        <v>6164</v>
      </c>
      <c r="E138" s="10">
        <v>13</v>
      </c>
      <c r="F138" s="10">
        <v>0</v>
      </c>
      <c r="G138" s="33" t="s">
        <v>139</v>
      </c>
      <c r="H138" s="25">
        <v>1</v>
      </c>
    </row>
    <row r="139" spans="1:8" outlineLevel="2" x14ac:dyDescent="0.25">
      <c r="A139" s="23"/>
      <c r="B139" s="25">
        <v>1</v>
      </c>
      <c r="C139" s="103" t="s">
        <v>335</v>
      </c>
      <c r="D139" s="104">
        <v>6162</v>
      </c>
      <c r="E139" s="10">
        <v>1</v>
      </c>
      <c r="F139" s="10">
        <v>7</v>
      </c>
      <c r="G139" s="33" t="s">
        <v>139</v>
      </c>
      <c r="H139" s="25">
        <v>1</v>
      </c>
    </row>
    <row r="140" spans="1:8" outlineLevel="2" x14ac:dyDescent="0.25">
      <c r="A140" s="23"/>
      <c r="B140" s="25">
        <v>1</v>
      </c>
      <c r="C140" s="103" t="s">
        <v>336</v>
      </c>
      <c r="D140" s="104" t="s">
        <v>323</v>
      </c>
      <c r="E140" s="10">
        <v>16</v>
      </c>
      <c r="F140" s="10">
        <v>15</v>
      </c>
      <c r="G140" s="33" t="s">
        <v>139</v>
      </c>
      <c r="H140" s="25">
        <v>1</v>
      </c>
    </row>
    <row r="141" spans="1:8" outlineLevel="2" x14ac:dyDescent="0.25">
      <c r="A141" s="23"/>
      <c r="B141" s="25">
        <v>1</v>
      </c>
      <c r="C141" s="103" t="s">
        <v>337</v>
      </c>
      <c r="D141" s="104">
        <v>6163</v>
      </c>
      <c r="E141" s="10">
        <v>12</v>
      </c>
      <c r="F141" s="10">
        <v>0</v>
      </c>
      <c r="G141" s="33" t="s">
        <v>139</v>
      </c>
      <c r="H141" s="25">
        <v>1</v>
      </c>
    </row>
    <row r="142" spans="1:8" outlineLevel="2" x14ac:dyDescent="0.25">
      <c r="A142" s="23"/>
      <c r="B142" s="25">
        <v>1</v>
      </c>
      <c r="C142" s="103" t="s">
        <v>338</v>
      </c>
      <c r="D142" s="104">
        <v>6163</v>
      </c>
      <c r="E142" s="10">
        <v>6</v>
      </c>
      <c r="F142" s="10">
        <v>0</v>
      </c>
      <c r="G142" s="33" t="s">
        <v>139</v>
      </c>
      <c r="H142" s="25">
        <v>1</v>
      </c>
    </row>
    <row r="143" spans="1:8" outlineLevel="2" x14ac:dyDescent="0.25">
      <c r="A143" s="23"/>
      <c r="B143" s="25">
        <v>1</v>
      </c>
      <c r="C143" s="103" t="s">
        <v>92</v>
      </c>
      <c r="D143" s="104">
        <v>6160</v>
      </c>
      <c r="E143" s="10">
        <v>13</v>
      </c>
      <c r="F143" s="10">
        <v>0</v>
      </c>
      <c r="G143" s="33" t="s">
        <v>139</v>
      </c>
      <c r="H143" s="25">
        <v>1</v>
      </c>
    </row>
    <row r="144" spans="1:8" outlineLevel="2" x14ac:dyDescent="0.25">
      <c r="A144" s="23"/>
      <c r="B144" s="25">
        <v>1</v>
      </c>
      <c r="C144" s="103" t="s">
        <v>339</v>
      </c>
      <c r="D144" s="104">
        <v>6163</v>
      </c>
      <c r="E144" s="10">
        <v>12</v>
      </c>
      <c r="F144" s="10">
        <v>0</v>
      </c>
      <c r="G144" s="33" t="s">
        <v>139</v>
      </c>
      <c r="H144" s="25">
        <v>1</v>
      </c>
    </row>
    <row r="145" spans="1:8" outlineLevel="2" x14ac:dyDescent="0.25">
      <c r="A145" s="23"/>
      <c r="B145" s="25">
        <v>1</v>
      </c>
      <c r="C145" s="103" t="s">
        <v>340</v>
      </c>
      <c r="D145" s="104">
        <v>6159</v>
      </c>
      <c r="E145" s="10">
        <v>11</v>
      </c>
      <c r="F145" s="10">
        <v>0</v>
      </c>
      <c r="G145" s="33" t="s">
        <v>139</v>
      </c>
      <c r="H145" s="25">
        <v>1</v>
      </c>
    </row>
    <row r="146" spans="1:8" outlineLevel="2" x14ac:dyDescent="0.25">
      <c r="A146" s="23"/>
      <c r="B146" s="25">
        <v>1</v>
      </c>
      <c r="C146" s="103" t="s">
        <v>341</v>
      </c>
      <c r="D146" s="104">
        <v>6163</v>
      </c>
      <c r="E146" s="10">
        <v>10</v>
      </c>
      <c r="F146" s="10">
        <v>0</v>
      </c>
      <c r="G146" s="33" t="s">
        <v>139</v>
      </c>
      <c r="H146" s="25">
        <v>1</v>
      </c>
    </row>
    <row r="147" spans="1:8" outlineLevel="2" x14ac:dyDescent="0.25">
      <c r="A147" s="23"/>
      <c r="B147" s="25">
        <v>1</v>
      </c>
      <c r="C147" s="103" t="s">
        <v>342</v>
      </c>
      <c r="D147" s="104">
        <v>6164</v>
      </c>
      <c r="E147" s="10">
        <v>10</v>
      </c>
      <c r="F147" s="10">
        <v>0</v>
      </c>
      <c r="G147" s="33" t="s">
        <v>139</v>
      </c>
      <c r="H147" s="25">
        <v>1</v>
      </c>
    </row>
    <row r="148" spans="1:8" outlineLevel="2" x14ac:dyDescent="0.25">
      <c r="A148" s="23"/>
      <c r="B148" s="25">
        <v>1</v>
      </c>
      <c r="C148" s="103" t="s">
        <v>93</v>
      </c>
      <c r="D148" s="104">
        <v>6163</v>
      </c>
      <c r="E148" s="10">
        <v>11</v>
      </c>
      <c r="F148" s="10">
        <v>15</v>
      </c>
      <c r="G148" s="33" t="s">
        <v>139</v>
      </c>
      <c r="H148" s="25">
        <v>1</v>
      </c>
    </row>
    <row r="149" spans="1:8" outlineLevel="2" x14ac:dyDescent="0.25">
      <c r="A149" s="23"/>
      <c r="B149" s="25">
        <v>1</v>
      </c>
      <c r="C149" s="103" t="s">
        <v>94</v>
      </c>
      <c r="D149" s="104">
        <v>6164</v>
      </c>
      <c r="E149" s="10">
        <v>5</v>
      </c>
      <c r="F149" s="10">
        <v>0</v>
      </c>
      <c r="G149" s="33" t="s">
        <v>139</v>
      </c>
      <c r="H149" s="25">
        <v>1</v>
      </c>
    </row>
    <row r="150" spans="1:8" outlineLevel="2" x14ac:dyDescent="0.25">
      <c r="A150" s="23"/>
      <c r="B150" s="25">
        <v>1</v>
      </c>
      <c r="C150" s="103" t="s">
        <v>343</v>
      </c>
      <c r="D150" s="104">
        <v>6162</v>
      </c>
      <c r="E150" s="10">
        <v>12</v>
      </c>
      <c r="F150" s="10">
        <v>0</v>
      </c>
      <c r="G150" s="33" t="s">
        <v>139</v>
      </c>
      <c r="H150" s="25">
        <v>1</v>
      </c>
    </row>
    <row r="151" spans="1:8" outlineLevel="2" x14ac:dyDescent="0.25">
      <c r="A151" s="23"/>
      <c r="B151" s="25">
        <v>1</v>
      </c>
      <c r="C151" s="103" t="s">
        <v>344</v>
      </c>
      <c r="D151" s="104">
        <v>6164</v>
      </c>
      <c r="E151" s="10">
        <v>19</v>
      </c>
      <c r="F151" s="10">
        <v>16</v>
      </c>
      <c r="G151" s="33" t="s">
        <v>139</v>
      </c>
      <c r="H151" s="25">
        <v>1</v>
      </c>
    </row>
    <row r="152" spans="1:8" outlineLevel="2" x14ac:dyDescent="0.25">
      <c r="A152" s="23"/>
      <c r="B152" s="25"/>
      <c r="C152" s="25"/>
      <c r="D152" s="25"/>
      <c r="E152" s="25"/>
      <c r="F152" s="25"/>
      <c r="G152" s="33"/>
      <c r="H152" s="25"/>
    </row>
    <row r="153" spans="1:8" x14ac:dyDescent="0.25">
      <c r="A153" s="26"/>
      <c r="B153" s="26"/>
      <c r="C153" s="26"/>
      <c r="D153" s="26"/>
      <c r="E153" s="26"/>
      <c r="F153" s="26"/>
      <c r="G153" s="26"/>
      <c r="H153" s="26"/>
    </row>
    <row r="154" spans="1:8" x14ac:dyDescent="0.25">
      <c r="A154" s="31" t="s">
        <v>96</v>
      </c>
      <c r="B154" s="25">
        <f>SUM(B155:B169)</f>
        <v>14</v>
      </c>
      <c r="C154" s="32" t="s">
        <v>58</v>
      </c>
      <c r="D154" s="32" t="s">
        <v>58</v>
      </c>
      <c r="E154" s="25">
        <f>SUM(E155:E169)</f>
        <v>219</v>
      </c>
      <c r="F154" s="25">
        <f>SUM(F155:F169)</f>
        <v>209</v>
      </c>
      <c r="G154" s="33" t="s">
        <v>46</v>
      </c>
      <c r="H154" s="25">
        <v>1</v>
      </c>
    </row>
    <row r="155" spans="1:8" outlineLevel="2" x14ac:dyDescent="0.25">
      <c r="A155" s="34" t="s">
        <v>97</v>
      </c>
      <c r="B155" s="25">
        <v>1</v>
      </c>
      <c r="C155" s="103" t="s">
        <v>345</v>
      </c>
      <c r="D155" s="104">
        <v>6069</v>
      </c>
      <c r="E155" s="10">
        <v>14</v>
      </c>
      <c r="F155" s="10">
        <v>19</v>
      </c>
      <c r="G155" s="33" t="s">
        <v>46</v>
      </c>
      <c r="H155" s="25">
        <v>1</v>
      </c>
    </row>
    <row r="156" spans="1:8" outlineLevel="2" x14ac:dyDescent="0.25">
      <c r="A156" s="23"/>
      <c r="B156" s="25">
        <v>1</v>
      </c>
      <c r="C156" s="103" t="s">
        <v>346</v>
      </c>
      <c r="D156" s="104">
        <v>6054</v>
      </c>
      <c r="E156" s="10">
        <v>14</v>
      </c>
      <c r="F156" s="10">
        <v>18</v>
      </c>
      <c r="G156" s="33" t="s">
        <v>46</v>
      </c>
      <c r="H156" s="25">
        <v>1</v>
      </c>
    </row>
    <row r="157" spans="1:8" outlineLevel="2" x14ac:dyDescent="0.25">
      <c r="A157" s="23"/>
      <c r="B157" s="25">
        <v>1</v>
      </c>
      <c r="C157" s="103" t="s">
        <v>347</v>
      </c>
      <c r="D157" s="104">
        <v>6063</v>
      </c>
      <c r="E157" s="10">
        <v>14</v>
      </c>
      <c r="F157" s="10">
        <v>10</v>
      </c>
      <c r="G157" s="33" t="s">
        <v>46</v>
      </c>
      <c r="H157" s="25">
        <v>1</v>
      </c>
    </row>
    <row r="158" spans="1:8" outlineLevel="2" x14ac:dyDescent="0.25">
      <c r="A158" s="23"/>
      <c r="B158" s="25">
        <v>1</v>
      </c>
      <c r="C158" s="103" t="s">
        <v>348</v>
      </c>
      <c r="D158" s="104">
        <v>6055</v>
      </c>
      <c r="E158" s="10">
        <v>13</v>
      </c>
      <c r="F158" s="10">
        <v>17</v>
      </c>
      <c r="G158" s="33" t="s">
        <v>46</v>
      </c>
      <c r="H158" s="25">
        <v>1</v>
      </c>
    </row>
    <row r="159" spans="1:8" outlineLevel="2" x14ac:dyDescent="0.25">
      <c r="A159" s="23"/>
      <c r="B159" s="25">
        <v>1</v>
      </c>
      <c r="C159" s="103" t="s">
        <v>349</v>
      </c>
      <c r="D159" s="104">
        <v>6055</v>
      </c>
      <c r="E159" s="10">
        <v>10</v>
      </c>
      <c r="F159" s="10">
        <v>0</v>
      </c>
      <c r="G159" s="33" t="s">
        <v>46</v>
      </c>
      <c r="H159" s="25">
        <v>1</v>
      </c>
    </row>
    <row r="160" spans="1:8" outlineLevel="2" x14ac:dyDescent="0.25">
      <c r="A160" s="23"/>
      <c r="B160" s="25">
        <v>1</v>
      </c>
      <c r="C160" s="103" t="s">
        <v>118</v>
      </c>
      <c r="D160" s="104">
        <v>6069</v>
      </c>
      <c r="E160" s="10">
        <v>57</v>
      </c>
      <c r="F160" s="10">
        <v>36</v>
      </c>
      <c r="G160" s="33" t="s">
        <v>46</v>
      </c>
      <c r="H160" s="25">
        <v>1</v>
      </c>
    </row>
    <row r="161" spans="1:8" outlineLevel="2" x14ac:dyDescent="0.25">
      <c r="A161" s="23"/>
      <c r="B161" s="25">
        <v>1</v>
      </c>
      <c r="C161" s="103" t="s">
        <v>350</v>
      </c>
      <c r="D161" s="104">
        <v>6055</v>
      </c>
      <c r="E161" s="10">
        <v>8</v>
      </c>
      <c r="F161" s="10">
        <v>10</v>
      </c>
      <c r="G161" s="33" t="s">
        <v>46</v>
      </c>
      <c r="H161" s="25">
        <v>1</v>
      </c>
    </row>
    <row r="162" spans="1:8" outlineLevel="2" x14ac:dyDescent="0.25">
      <c r="A162" s="23"/>
      <c r="B162" s="25">
        <v>1</v>
      </c>
      <c r="C162" s="103" t="s">
        <v>351</v>
      </c>
      <c r="D162" s="104">
        <v>6056</v>
      </c>
      <c r="E162" s="10">
        <v>10</v>
      </c>
      <c r="F162" s="10">
        <v>12</v>
      </c>
      <c r="G162" s="33" t="s">
        <v>46</v>
      </c>
      <c r="H162" s="25">
        <v>1</v>
      </c>
    </row>
    <row r="163" spans="1:8" outlineLevel="2" x14ac:dyDescent="0.25">
      <c r="A163" s="23"/>
      <c r="B163" s="25">
        <v>1</v>
      </c>
      <c r="C163" s="103" t="s">
        <v>352</v>
      </c>
      <c r="D163" s="104">
        <v>6054</v>
      </c>
      <c r="E163" s="10">
        <v>10</v>
      </c>
      <c r="F163" s="10">
        <v>0</v>
      </c>
      <c r="G163" s="33" t="s">
        <v>46</v>
      </c>
      <c r="H163" s="25">
        <v>1</v>
      </c>
    </row>
    <row r="164" spans="1:8" outlineLevel="2" x14ac:dyDescent="0.25">
      <c r="A164" s="23"/>
      <c r="B164" s="25">
        <v>1</v>
      </c>
      <c r="C164" s="103" t="s">
        <v>353</v>
      </c>
      <c r="D164" s="104">
        <v>6054</v>
      </c>
      <c r="E164" s="10">
        <v>10</v>
      </c>
      <c r="F164" s="10">
        <v>12</v>
      </c>
      <c r="G164" s="33" t="s">
        <v>46</v>
      </c>
      <c r="H164" s="25">
        <v>1</v>
      </c>
    </row>
    <row r="165" spans="1:8" outlineLevel="2" x14ac:dyDescent="0.25">
      <c r="A165" s="23"/>
      <c r="B165" s="25">
        <v>1</v>
      </c>
      <c r="C165" s="103" t="s">
        <v>123</v>
      </c>
      <c r="D165" s="104">
        <v>6062</v>
      </c>
      <c r="E165" s="10">
        <v>12</v>
      </c>
      <c r="F165" s="10">
        <v>15</v>
      </c>
      <c r="G165" s="33" t="s">
        <v>46</v>
      </c>
      <c r="H165" s="25">
        <v>1</v>
      </c>
    </row>
    <row r="166" spans="1:8" outlineLevel="2" x14ac:dyDescent="0.25">
      <c r="A166" s="23"/>
      <c r="B166" s="25">
        <v>1</v>
      </c>
      <c r="C166" s="103" t="s">
        <v>354</v>
      </c>
      <c r="D166" s="104">
        <v>6062</v>
      </c>
      <c r="E166" s="10">
        <v>25</v>
      </c>
      <c r="F166" s="10">
        <v>32</v>
      </c>
      <c r="G166" s="33" t="s">
        <v>46</v>
      </c>
      <c r="H166" s="25">
        <v>1</v>
      </c>
    </row>
    <row r="167" spans="1:8" outlineLevel="2" x14ac:dyDescent="0.25">
      <c r="A167" s="23"/>
      <c r="B167" s="25">
        <v>1</v>
      </c>
      <c r="C167" s="103" t="s">
        <v>355</v>
      </c>
      <c r="D167" s="104">
        <v>6069</v>
      </c>
      <c r="E167" s="10">
        <v>12</v>
      </c>
      <c r="F167" s="10">
        <v>15</v>
      </c>
      <c r="G167" s="33" t="s">
        <v>46</v>
      </c>
      <c r="H167" s="25">
        <v>1</v>
      </c>
    </row>
    <row r="168" spans="1:8" outlineLevel="2" x14ac:dyDescent="0.25">
      <c r="A168" s="23"/>
      <c r="B168" s="25">
        <v>1</v>
      </c>
      <c r="C168" s="103" t="s">
        <v>356</v>
      </c>
      <c r="D168" s="104">
        <v>6055</v>
      </c>
      <c r="E168" s="10">
        <v>10</v>
      </c>
      <c r="F168" s="10">
        <v>13</v>
      </c>
      <c r="G168" s="33" t="s">
        <v>46</v>
      </c>
      <c r="H168" s="25">
        <v>1</v>
      </c>
    </row>
    <row r="169" spans="1:8" outlineLevel="2" x14ac:dyDescent="0.25">
      <c r="A169" s="23"/>
      <c r="B169" s="25"/>
      <c r="C169" s="25"/>
      <c r="D169" s="25"/>
      <c r="E169" s="25"/>
      <c r="F169" s="25"/>
      <c r="G169" s="33"/>
      <c r="H169" s="25"/>
    </row>
    <row r="170" spans="1:8" x14ac:dyDescent="0.25">
      <c r="A170" s="26"/>
      <c r="B170" s="26"/>
      <c r="C170" s="26"/>
      <c r="D170" s="26"/>
      <c r="E170" s="26"/>
      <c r="F170" s="26"/>
      <c r="G170" s="26"/>
      <c r="H170" s="26"/>
    </row>
    <row r="171" spans="1:8" x14ac:dyDescent="0.25">
      <c r="A171" s="31" t="s">
        <v>109</v>
      </c>
      <c r="B171" s="25">
        <f>SUM(B172:B182)</f>
        <v>10</v>
      </c>
      <c r="C171" s="32" t="s">
        <v>58</v>
      </c>
      <c r="D171" s="32" t="s">
        <v>58</v>
      </c>
      <c r="E171" s="25">
        <f>SUM(E172:E182)</f>
        <v>100</v>
      </c>
      <c r="F171" s="25">
        <f>SUM(F172:F182)</f>
        <v>52</v>
      </c>
      <c r="G171" s="33" t="s">
        <v>46</v>
      </c>
      <c r="H171" s="25">
        <v>1</v>
      </c>
    </row>
    <row r="172" spans="1:8" outlineLevel="2" x14ac:dyDescent="0.25">
      <c r="A172" s="34" t="s">
        <v>112</v>
      </c>
      <c r="B172" s="25">
        <v>1</v>
      </c>
      <c r="C172" s="103" t="s">
        <v>357</v>
      </c>
      <c r="D172" s="104">
        <v>6020</v>
      </c>
      <c r="E172" s="10">
        <v>7</v>
      </c>
      <c r="F172" s="10">
        <v>0</v>
      </c>
      <c r="G172" s="33" t="s">
        <v>46</v>
      </c>
      <c r="H172" s="25">
        <v>1</v>
      </c>
    </row>
    <row r="173" spans="1:8" outlineLevel="2" x14ac:dyDescent="0.25">
      <c r="A173" s="23"/>
      <c r="B173" s="25">
        <v>1</v>
      </c>
      <c r="C173" s="103" t="s">
        <v>358</v>
      </c>
      <c r="D173" s="104">
        <v>6027</v>
      </c>
      <c r="E173" s="10">
        <v>10</v>
      </c>
      <c r="F173" s="10">
        <v>12</v>
      </c>
      <c r="G173" s="33" t="s">
        <v>46</v>
      </c>
      <c r="H173" s="25">
        <v>1</v>
      </c>
    </row>
    <row r="174" spans="1:8" outlineLevel="2" x14ac:dyDescent="0.25">
      <c r="A174" s="23"/>
      <c r="B174" s="25">
        <v>1</v>
      </c>
      <c r="C174" s="103" t="s">
        <v>359</v>
      </c>
      <c r="D174" s="104">
        <v>6023</v>
      </c>
      <c r="E174" s="10">
        <v>22</v>
      </c>
      <c r="F174" s="10">
        <v>0</v>
      </c>
      <c r="G174" s="33" t="s">
        <v>46</v>
      </c>
      <c r="H174" s="25">
        <v>1</v>
      </c>
    </row>
    <row r="175" spans="1:8" outlineLevel="2" x14ac:dyDescent="0.25">
      <c r="A175" s="23"/>
      <c r="B175" s="25">
        <v>1</v>
      </c>
      <c r="C175" s="103" t="s">
        <v>360</v>
      </c>
      <c r="D175" s="104">
        <v>6018</v>
      </c>
      <c r="E175" s="10">
        <v>14</v>
      </c>
      <c r="F175" s="10">
        <v>18</v>
      </c>
      <c r="G175" s="33" t="s">
        <v>46</v>
      </c>
      <c r="H175" s="25">
        <v>1</v>
      </c>
    </row>
    <row r="176" spans="1:8" outlineLevel="2" x14ac:dyDescent="0.25">
      <c r="A176" s="23"/>
      <c r="B176" s="25">
        <v>1</v>
      </c>
      <c r="C176" s="103" t="s">
        <v>361</v>
      </c>
      <c r="D176" s="104">
        <v>6026</v>
      </c>
      <c r="E176" s="10">
        <v>6</v>
      </c>
      <c r="F176" s="10">
        <v>0</v>
      </c>
      <c r="G176" s="33" t="s">
        <v>46</v>
      </c>
      <c r="H176" s="25">
        <v>1</v>
      </c>
    </row>
    <row r="177" spans="1:8" outlineLevel="2" x14ac:dyDescent="0.25">
      <c r="A177" s="23"/>
      <c r="B177" s="25">
        <v>1</v>
      </c>
      <c r="C177" s="103" t="s">
        <v>362</v>
      </c>
      <c r="D177" s="104">
        <v>6020</v>
      </c>
      <c r="E177" s="10">
        <v>9</v>
      </c>
      <c r="F177" s="10">
        <v>17</v>
      </c>
      <c r="G177" s="33" t="s">
        <v>46</v>
      </c>
      <c r="H177" s="25">
        <v>1</v>
      </c>
    </row>
    <row r="178" spans="1:8" outlineLevel="2" x14ac:dyDescent="0.25">
      <c r="A178" s="23"/>
      <c r="B178" s="25">
        <v>1</v>
      </c>
      <c r="C178" s="103" t="s">
        <v>363</v>
      </c>
      <c r="D178" s="104">
        <v>6027</v>
      </c>
      <c r="E178" s="10">
        <v>17</v>
      </c>
      <c r="F178" s="10">
        <v>0</v>
      </c>
      <c r="G178" s="33" t="s">
        <v>46</v>
      </c>
      <c r="H178" s="25">
        <v>1</v>
      </c>
    </row>
    <row r="179" spans="1:8" outlineLevel="2" x14ac:dyDescent="0.25">
      <c r="A179" s="23"/>
      <c r="B179" s="25">
        <v>1</v>
      </c>
      <c r="C179" s="103" t="s">
        <v>111</v>
      </c>
      <c r="D179" s="104">
        <v>6025</v>
      </c>
      <c r="E179" s="10">
        <v>6</v>
      </c>
      <c r="F179" s="10">
        <v>5</v>
      </c>
      <c r="G179" s="33" t="s">
        <v>46</v>
      </c>
      <c r="H179" s="25">
        <v>1</v>
      </c>
    </row>
    <row r="180" spans="1:8" outlineLevel="2" x14ac:dyDescent="0.25">
      <c r="A180" s="23"/>
      <c r="B180" s="25">
        <v>1</v>
      </c>
      <c r="C180" s="103" t="s">
        <v>364</v>
      </c>
      <c r="D180" s="104">
        <v>6020</v>
      </c>
      <c r="E180" s="10">
        <v>6</v>
      </c>
      <c r="F180" s="10">
        <v>0</v>
      </c>
      <c r="G180" s="33" t="s">
        <v>46</v>
      </c>
      <c r="H180" s="25">
        <v>1</v>
      </c>
    </row>
    <row r="181" spans="1:8" outlineLevel="2" x14ac:dyDescent="0.25">
      <c r="A181" s="23"/>
      <c r="B181" s="25">
        <v>1</v>
      </c>
      <c r="C181" s="103" t="s">
        <v>365</v>
      </c>
      <c r="D181" s="104">
        <v>6026</v>
      </c>
      <c r="E181" s="10">
        <v>3</v>
      </c>
      <c r="F181" s="10">
        <v>0</v>
      </c>
      <c r="G181" s="33" t="s">
        <v>46</v>
      </c>
      <c r="H181" s="25">
        <v>1</v>
      </c>
    </row>
    <row r="182" spans="1:8" outlineLevel="2" x14ac:dyDescent="0.25">
      <c r="A182" s="23"/>
      <c r="B182" s="25"/>
      <c r="C182" s="25"/>
      <c r="D182" s="25"/>
      <c r="E182" s="25"/>
      <c r="F182" s="25"/>
      <c r="G182" s="33"/>
      <c r="H182" s="25"/>
    </row>
    <row r="183" spans="1:8" x14ac:dyDescent="0.25">
      <c r="A183" s="26"/>
      <c r="B183" s="26"/>
      <c r="C183" s="26"/>
      <c r="D183" s="26"/>
      <c r="E183" s="26"/>
      <c r="F183" s="26"/>
      <c r="G183" s="26"/>
      <c r="H183" s="26"/>
    </row>
    <row r="184" spans="1:8" x14ac:dyDescent="0.25">
      <c r="A184" s="31" t="s">
        <v>113</v>
      </c>
      <c r="B184" s="25">
        <f>SUM(B185:B196)</f>
        <v>11</v>
      </c>
      <c r="C184" s="32" t="s">
        <v>58</v>
      </c>
      <c r="D184" s="32" t="s">
        <v>58</v>
      </c>
      <c r="E184" s="25">
        <f>SUM(E185:E196)</f>
        <v>56</v>
      </c>
      <c r="F184" s="25">
        <f>SUM(F185:F196)</f>
        <v>21</v>
      </c>
      <c r="G184" s="33" t="s">
        <v>138</v>
      </c>
      <c r="H184" s="25">
        <v>1</v>
      </c>
    </row>
    <row r="185" spans="1:8" outlineLevel="1" x14ac:dyDescent="0.25">
      <c r="A185" s="34" t="s">
        <v>116</v>
      </c>
      <c r="B185" s="25">
        <v>1</v>
      </c>
      <c r="C185" s="103" t="s">
        <v>366</v>
      </c>
      <c r="D185" s="104">
        <v>6330</v>
      </c>
      <c r="E185" s="10">
        <v>4</v>
      </c>
      <c r="F185" s="10">
        <v>0</v>
      </c>
      <c r="G185" s="33" t="s">
        <v>138</v>
      </c>
      <c r="H185" s="25">
        <v>1</v>
      </c>
    </row>
    <row r="186" spans="1:8" outlineLevel="1" x14ac:dyDescent="0.25">
      <c r="A186" s="23"/>
      <c r="B186" s="25">
        <v>1</v>
      </c>
      <c r="C186" s="103" t="s">
        <v>367</v>
      </c>
      <c r="D186" s="104">
        <v>6432</v>
      </c>
      <c r="E186" s="10">
        <v>5</v>
      </c>
      <c r="F186" s="10">
        <v>0</v>
      </c>
      <c r="G186" s="33" t="s">
        <v>138</v>
      </c>
      <c r="H186" s="25">
        <v>1</v>
      </c>
    </row>
    <row r="187" spans="1:8" outlineLevel="1" x14ac:dyDescent="0.25">
      <c r="A187" s="23"/>
      <c r="B187" s="25">
        <v>1</v>
      </c>
      <c r="C187" s="103" t="s">
        <v>368</v>
      </c>
      <c r="D187" s="104">
        <v>6418</v>
      </c>
      <c r="E187" s="10">
        <v>8</v>
      </c>
      <c r="F187" s="10">
        <v>10</v>
      </c>
      <c r="G187" s="33" t="s">
        <v>138</v>
      </c>
      <c r="H187" s="25">
        <v>1</v>
      </c>
    </row>
    <row r="188" spans="1:8" outlineLevel="1" x14ac:dyDescent="0.25">
      <c r="A188" s="23"/>
      <c r="B188" s="25">
        <v>1</v>
      </c>
      <c r="C188" s="103" t="s">
        <v>115</v>
      </c>
      <c r="D188" s="104">
        <v>6225</v>
      </c>
      <c r="E188" s="10">
        <v>6</v>
      </c>
      <c r="F188" s="10">
        <v>0</v>
      </c>
      <c r="G188" s="33" t="s">
        <v>138</v>
      </c>
      <c r="H188" s="25">
        <v>1</v>
      </c>
    </row>
    <row r="189" spans="1:8" outlineLevel="1" x14ac:dyDescent="0.25">
      <c r="A189" s="23"/>
      <c r="B189" s="25">
        <v>1</v>
      </c>
      <c r="C189" s="103" t="s">
        <v>369</v>
      </c>
      <c r="D189" s="104">
        <v>6330</v>
      </c>
      <c r="E189" s="10">
        <v>4</v>
      </c>
      <c r="F189" s="10">
        <v>0</v>
      </c>
      <c r="G189" s="33" t="s">
        <v>138</v>
      </c>
      <c r="H189" s="25">
        <v>1</v>
      </c>
    </row>
    <row r="190" spans="1:8" outlineLevel="1" x14ac:dyDescent="0.25">
      <c r="A190" s="23"/>
      <c r="B190" s="25">
        <v>1</v>
      </c>
      <c r="C190" s="103" t="s">
        <v>370</v>
      </c>
      <c r="D190" s="104">
        <v>6430</v>
      </c>
      <c r="E190" s="10">
        <v>3</v>
      </c>
      <c r="F190" s="10">
        <v>0</v>
      </c>
      <c r="G190" s="33" t="s">
        <v>138</v>
      </c>
      <c r="H190" s="25">
        <v>1</v>
      </c>
    </row>
    <row r="191" spans="1:8" outlineLevel="1" x14ac:dyDescent="0.25">
      <c r="A191" s="23"/>
      <c r="B191" s="25">
        <v>1</v>
      </c>
      <c r="C191" s="103" t="s">
        <v>371</v>
      </c>
      <c r="D191" s="104">
        <v>6330</v>
      </c>
      <c r="E191" s="10">
        <v>9</v>
      </c>
      <c r="F191" s="10">
        <v>11</v>
      </c>
      <c r="G191" s="33" t="s">
        <v>138</v>
      </c>
      <c r="H191" s="25">
        <v>1</v>
      </c>
    </row>
    <row r="192" spans="1:8" outlineLevel="1" x14ac:dyDescent="0.25">
      <c r="A192" s="23"/>
      <c r="B192" s="25">
        <v>1</v>
      </c>
      <c r="C192" s="103" t="s">
        <v>372</v>
      </c>
      <c r="D192" s="104">
        <v>6330</v>
      </c>
      <c r="E192" s="10">
        <v>4</v>
      </c>
      <c r="F192" s="10">
        <v>0</v>
      </c>
      <c r="G192" s="33" t="s">
        <v>138</v>
      </c>
      <c r="H192" s="25">
        <v>1</v>
      </c>
    </row>
    <row r="193" spans="1:8" outlineLevel="1" x14ac:dyDescent="0.25">
      <c r="A193" s="23"/>
      <c r="B193" s="25">
        <v>1</v>
      </c>
      <c r="C193" s="103" t="s">
        <v>373</v>
      </c>
      <c r="D193" s="104">
        <v>6343</v>
      </c>
      <c r="E193" s="10">
        <v>5</v>
      </c>
      <c r="F193" s="10">
        <v>0</v>
      </c>
      <c r="G193" s="33" t="s">
        <v>138</v>
      </c>
      <c r="H193" s="25">
        <v>1</v>
      </c>
    </row>
    <row r="194" spans="1:8" outlineLevel="1" x14ac:dyDescent="0.25">
      <c r="A194" s="23"/>
      <c r="B194" s="25">
        <v>1</v>
      </c>
      <c r="C194" s="103" t="s">
        <v>374</v>
      </c>
      <c r="D194" s="104">
        <v>6383</v>
      </c>
      <c r="E194" s="10">
        <v>3</v>
      </c>
      <c r="F194" s="10">
        <v>0</v>
      </c>
      <c r="G194" s="33" t="s">
        <v>138</v>
      </c>
      <c r="H194" s="25">
        <v>1</v>
      </c>
    </row>
    <row r="195" spans="1:8" outlineLevel="1" x14ac:dyDescent="0.25">
      <c r="A195" s="23"/>
      <c r="B195" s="25">
        <v>1</v>
      </c>
      <c r="C195" s="103" t="s">
        <v>375</v>
      </c>
      <c r="D195" s="104">
        <v>6333</v>
      </c>
      <c r="E195" s="10">
        <v>5</v>
      </c>
      <c r="F195" s="10">
        <v>0</v>
      </c>
      <c r="G195" s="33" t="s">
        <v>138</v>
      </c>
      <c r="H195" s="25">
        <v>1</v>
      </c>
    </row>
    <row r="196" spans="1:8" outlineLevel="1" x14ac:dyDescent="0.25">
      <c r="A196" s="23"/>
      <c r="B196" s="25"/>
      <c r="C196" s="25"/>
      <c r="D196" s="25"/>
      <c r="E196" s="25"/>
      <c r="F196" s="25"/>
      <c r="G196" s="33"/>
      <c r="H196" s="25"/>
    </row>
    <row r="197" spans="1:8" x14ac:dyDescent="0.25">
      <c r="A197" s="26"/>
      <c r="B197" s="26"/>
      <c r="C197" s="26"/>
      <c r="D197" s="26"/>
      <c r="E197" s="26"/>
      <c r="F197" s="26"/>
      <c r="G197" s="26"/>
      <c r="H197" s="26"/>
    </row>
    <row r="198" spans="1:8" x14ac:dyDescent="0.25">
      <c r="A198" s="31" t="s">
        <v>117</v>
      </c>
      <c r="B198" s="25">
        <f>SUM(B199:B211)</f>
        <v>12</v>
      </c>
      <c r="C198" s="32" t="s">
        <v>58</v>
      </c>
      <c r="D198" s="32" t="s">
        <v>58</v>
      </c>
      <c r="E198" s="25">
        <f>SUM(E199:E211)</f>
        <v>141</v>
      </c>
      <c r="F198" s="25">
        <f>SUM(F199:F211)</f>
        <v>103</v>
      </c>
      <c r="G198" s="33" t="s">
        <v>46</v>
      </c>
      <c r="H198" s="25">
        <v>1</v>
      </c>
    </row>
    <row r="199" spans="1:8" outlineLevel="1" x14ac:dyDescent="0.25">
      <c r="A199" s="34" t="s">
        <v>121</v>
      </c>
      <c r="B199" s="25">
        <v>1</v>
      </c>
      <c r="C199" s="103" t="s">
        <v>376</v>
      </c>
      <c r="D199" s="104">
        <v>6031</v>
      </c>
      <c r="E199" s="10">
        <v>23</v>
      </c>
      <c r="F199" s="10">
        <v>14</v>
      </c>
      <c r="G199" s="33" t="s">
        <v>46</v>
      </c>
      <c r="H199" s="25">
        <v>1</v>
      </c>
    </row>
    <row r="200" spans="1:8" outlineLevel="1" x14ac:dyDescent="0.25">
      <c r="A200" s="23"/>
      <c r="B200" s="25">
        <v>1</v>
      </c>
      <c r="C200" s="103" t="s">
        <v>377</v>
      </c>
      <c r="D200" s="104">
        <v>6036</v>
      </c>
      <c r="E200" s="10">
        <v>18</v>
      </c>
      <c r="F200" s="10">
        <v>13</v>
      </c>
      <c r="G200" s="33" t="s">
        <v>46</v>
      </c>
      <c r="H200" s="25">
        <v>1</v>
      </c>
    </row>
    <row r="201" spans="1:8" outlineLevel="1" x14ac:dyDescent="0.25">
      <c r="A201" s="23"/>
      <c r="B201" s="25">
        <v>1</v>
      </c>
      <c r="C201" s="103" t="s">
        <v>378</v>
      </c>
      <c r="D201" s="104">
        <v>6031</v>
      </c>
      <c r="E201" s="10">
        <v>12</v>
      </c>
      <c r="F201" s="10">
        <v>0</v>
      </c>
      <c r="G201" s="33" t="s">
        <v>46</v>
      </c>
      <c r="H201" s="25">
        <v>1</v>
      </c>
    </row>
    <row r="202" spans="1:8" outlineLevel="1" x14ac:dyDescent="0.25">
      <c r="A202" s="23"/>
      <c r="B202" s="25">
        <v>1</v>
      </c>
      <c r="C202" s="103" t="s">
        <v>379</v>
      </c>
      <c r="D202" s="104">
        <v>6030</v>
      </c>
      <c r="E202" s="10">
        <v>4</v>
      </c>
      <c r="F202" s="10">
        <v>0</v>
      </c>
      <c r="G202" s="33" t="s">
        <v>46</v>
      </c>
      <c r="H202" s="25">
        <v>1</v>
      </c>
    </row>
    <row r="203" spans="1:8" outlineLevel="1" x14ac:dyDescent="0.25">
      <c r="A203" s="23"/>
      <c r="B203" s="25">
        <v>1</v>
      </c>
      <c r="C203" s="103" t="s">
        <v>380</v>
      </c>
      <c r="D203" s="104">
        <v>6065</v>
      </c>
      <c r="E203" s="10">
        <v>13</v>
      </c>
      <c r="F203" s="10">
        <v>17</v>
      </c>
      <c r="G203" s="33" t="s">
        <v>46</v>
      </c>
      <c r="H203" s="25">
        <v>1</v>
      </c>
    </row>
    <row r="204" spans="1:8" outlineLevel="1" x14ac:dyDescent="0.25">
      <c r="A204" s="23"/>
      <c r="B204" s="25">
        <v>1</v>
      </c>
      <c r="C204" s="103" t="s">
        <v>381</v>
      </c>
      <c r="D204" s="104">
        <v>6030</v>
      </c>
      <c r="E204" s="10">
        <v>10</v>
      </c>
      <c r="F204" s="10">
        <v>13</v>
      </c>
      <c r="G204" s="33" t="s">
        <v>46</v>
      </c>
      <c r="H204" s="25">
        <v>1</v>
      </c>
    </row>
    <row r="205" spans="1:8" outlineLevel="1" x14ac:dyDescent="0.25">
      <c r="A205" s="23"/>
      <c r="B205" s="25">
        <v>1</v>
      </c>
      <c r="C205" s="103" t="s">
        <v>119</v>
      </c>
      <c r="D205" s="104">
        <v>6030</v>
      </c>
      <c r="E205" s="10">
        <v>3</v>
      </c>
      <c r="F205" s="10">
        <v>0</v>
      </c>
      <c r="G205" s="33" t="s">
        <v>46</v>
      </c>
      <c r="H205" s="25">
        <v>1</v>
      </c>
    </row>
    <row r="206" spans="1:8" outlineLevel="1" x14ac:dyDescent="0.25">
      <c r="A206" s="23"/>
      <c r="B206" s="25">
        <v>1</v>
      </c>
      <c r="C206" s="103" t="s">
        <v>382</v>
      </c>
      <c r="D206" s="104">
        <v>6065</v>
      </c>
      <c r="E206" s="10">
        <v>13</v>
      </c>
      <c r="F206" s="10">
        <v>17</v>
      </c>
      <c r="G206" s="33" t="s">
        <v>46</v>
      </c>
      <c r="H206" s="25">
        <v>1</v>
      </c>
    </row>
    <row r="207" spans="1:8" outlineLevel="1" x14ac:dyDescent="0.25">
      <c r="A207" s="23"/>
      <c r="B207" s="25">
        <v>1</v>
      </c>
      <c r="C207" s="103" t="s">
        <v>383</v>
      </c>
      <c r="D207" s="104">
        <v>6030</v>
      </c>
      <c r="E207" s="10">
        <v>8</v>
      </c>
      <c r="F207" s="10">
        <v>0</v>
      </c>
      <c r="G207" s="33" t="s">
        <v>46</v>
      </c>
      <c r="H207" s="25">
        <v>1</v>
      </c>
    </row>
    <row r="208" spans="1:8" outlineLevel="1" x14ac:dyDescent="0.25">
      <c r="A208" s="23"/>
      <c r="B208" s="25">
        <v>1</v>
      </c>
      <c r="C208" s="103" t="s">
        <v>384</v>
      </c>
      <c r="D208" s="104">
        <v>6065</v>
      </c>
      <c r="E208" s="10">
        <v>12</v>
      </c>
      <c r="F208" s="10">
        <v>16</v>
      </c>
      <c r="G208" s="33" t="s">
        <v>46</v>
      </c>
      <c r="H208" s="25">
        <v>1</v>
      </c>
    </row>
    <row r="209" spans="1:8" outlineLevel="1" x14ac:dyDescent="0.25">
      <c r="A209" s="23"/>
      <c r="B209" s="25">
        <v>1</v>
      </c>
      <c r="C209" s="103" t="s">
        <v>62</v>
      </c>
      <c r="D209" s="104">
        <v>6065</v>
      </c>
      <c r="E209" s="10">
        <v>8</v>
      </c>
      <c r="F209" s="10">
        <v>0</v>
      </c>
      <c r="G209" s="33" t="s">
        <v>46</v>
      </c>
      <c r="H209" s="25">
        <v>1</v>
      </c>
    </row>
    <row r="210" spans="1:8" outlineLevel="1" x14ac:dyDescent="0.25">
      <c r="A210" s="23"/>
      <c r="B210" s="25">
        <v>1</v>
      </c>
      <c r="C210" s="103" t="s">
        <v>120</v>
      </c>
      <c r="D210" s="104">
        <v>6035</v>
      </c>
      <c r="E210" s="10">
        <v>17</v>
      </c>
      <c r="F210" s="10">
        <v>13</v>
      </c>
      <c r="G210" s="33" t="s">
        <v>46</v>
      </c>
      <c r="H210" s="25">
        <v>1</v>
      </c>
    </row>
    <row r="211" spans="1:8" outlineLevel="1" x14ac:dyDescent="0.25">
      <c r="A211" s="23"/>
      <c r="B211" s="25"/>
      <c r="C211" s="25"/>
      <c r="D211" s="25"/>
      <c r="E211" s="25"/>
      <c r="F211" s="25"/>
      <c r="G211" s="33"/>
      <c r="H211" s="25"/>
    </row>
    <row r="212" spans="1:8" x14ac:dyDescent="0.25">
      <c r="A212" s="26"/>
      <c r="B212" s="26"/>
      <c r="C212" s="26"/>
      <c r="D212" s="26"/>
      <c r="E212" s="26"/>
      <c r="F212" s="26"/>
      <c r="G212" s="26"/>
      <c r="H212" s="26"/>
    </row>
    <row r="213" spans="1:8" x14ac:dyDescent="0.25">
      <c r="A213" s="31" t="s">
        <v>122</v>
      </c>
      <c r="B213" s="25">
        <f>SUM(B214:B227)</f>
        <v>13</v>
      </c>
      <c r="C213" s="32" t="s">
        <v>58</v>
      </c>
      <c r="D213" s="32" t="s">
        <v>58</v>
      </c>
      <c r="E213" s="25">
        <f>SUM(E214:E227)</f>
        <v>161</v>
      </c>
      <c r="F213" s="25">
        <f>SUM(F214:F227)</f>
        <v>86</v>
      </c>
      <c r="G213" s="33" t="s">
        <v>139</v>
      </c>
      <c r="H213" s="25">
        <v>1</v>
      </c>
    </row>
    <row r="214" spans="1:8" outlineLevel="1" x14ac:dyDescent="0.25">
      <c r="A214" s="34" t="s">
        <v>124</v>
      </c>
      <c r="B214" s="25">
        <v>1</v>
      </c>
      <c r="C214" s="103" t="s">
        <v>385</v>
      </c>
      <c r="D214" s="104">
        <v>6053</v>
      </c>
      <c r="E214" s="10">
        <v>13</v>
      </c>
      <c r="F214" s="10">
        <v>17</v>
      </c>
      <c r="G214" s="33" t="s">
        <v>139</v>
      </c>
      <c r="H214" s="25">
        <v>1</v>
      </c>
    </row>
    <row r="215" spans="1:8" outlineLevel="1" x14ac:dyDescent="0.25">
      <c r="A215" s="23"/>
      <c r="B215" s="25">
        <v>1</v>
      </c>
      <c r="C215" s="103" t="s">
        <v>386</v>
      </c>
      <c r="D215" s="104">
        <v>6050</v>
      </c>
      <c r="E215" s="10">
        <v>8</v>
      </c>
      <c r="F215" s="10">
        <v>0</v>
      </c>
      <c r="G215" s="33" t="s">
        <v>139</v>
      </c>
      <c r="H215" s="25">
        <v>1</v>
      </c>
    </row>
    <row r="216" spans="1:8" outlineLevel="1" x14ac:dyDescent="0.25">
      <c r="A216" s="23"/>
      <c r="B216" s="25">
        <v>1</v>
      </c>
      <c r="C216" s="103" t="s">
        <v>387</v>
      </c>
      <c r="D216" s="104">
        <v>6059</v>
      </c>
      <c r="E216" s="10">
        <v>11</v>
      </c>
      <c r="F216" s="10">
        <v>14</v>
      </c>
      <c r="G216" s="33" t="s">
        <v>139</v>
      </c>
      <c r="H216" s="25">
        <v>1</v>
      </c>
    </row>
    <row r="217" spans="1:8" outlineLevel="1" x14ac:dyDescent="0.25">
      <c r="A217" s="23"/>
      <c r="B217" s="25">
        <v>1</v>
      </c>
      <c r="C217" s="103" t="s">
        <v>388</v>
      </c>
      <c r="D217" s="104">
        <v>6062</v>
      </c>
      <c r="E217" s="10">
        <v>11</v>
      </c>
      <c r="F217" s="10">
        <v>13</v>
      </c>
      <c r="G217" s="33" t="s">
        <v>139</v>
      </c>
      <c r="H217" s="25">
        <v>1</v>
      </c>
    </row>
    <row r="218" spans="1:8" outlineLevel="1" x14ac:dyDescent="0.25">
      <c r="A218" s="23"/>
      <c r="B218" s="25">
        <v>1</v>
      </c>
      <c r="C218" s="103" t="s">
        <v>389</v>
      </c>
      <c r="D218" s="104">
        <v>6052</v>
      </c>
      <c r="E218" s="10">
        <v>14</v>
      </c>
      <c r="F218" s="10">
        <v>0</v>
      </c>
      <c r="G218" s="33" t="s">
        <v>139</v>
      </c>
      <c r="H218" s="25">
        <v>1</v>
      </c>
    </row>
    <row r="219" spans="1:8" outlineLevel="1" x14ac:dyDescent="0.25">
      <c r="A219" s="23"/>
      <c r="B219" s="25">
        <v>1</v>
      </c>
      <c r="C219" s="103" t="s">
        <v>390</v>
      </c>
      <c r="D219" s="104">
        <v>6060</v>
      </c>
      <c r="E219" s="10">
        <v>11</v>
      </c>
      <c r="F219" s="10">
        <v>0</v>
      </c>
      <c r="G219" s="33" t="s">
        <v>139</v>
      </c>
      <c r="H219" s="25">
        <v>1</v>
      </c>
    </row>
    <row r="220" spans="1:8" outlineLevel="1" x14ac:dyDescent="0.25">
      <c r="A220" s="23"/>
      <c r="B220" s="25">
        <v>1</v>
      </c>
      <c r="C220" s="103" t="s">
        <v>391</v>
      </c>
      <c r="D220" s="104">
        <v>6050</v>
      </c>
      <c r="E220" s="10">
        <v>10</v>
      </c>
      <c r="F220" s="10">
        <v>0</v>
      </c>
      <c r="G220" s="33" t="s">
        <v>139</v>
      </c>
      <c r="H220" s="25">
        <v>1</v>
      </c>
    </row>
    <row r="221" spans="1:8" outlineLevel="1" x14ac:dyDescent="0.25">
      <c r="A221" s="23"/>
      <c r="B221" s="25">
        <v>1</v>
      </c>
      <c r="C221" s="103" t="s">
        <v>392</v>
      </c>
      <c r="D221" s="104">
        <v>6006</v>
      </c>
      <c r="E221" s="10">
        <v>18</v>
      </c>
      <c r="F221" s="10">
        <v>9</v>
      </c>
      <c r="G221" s="33" t="s">
        <v>139</v>
      </c>
      <c r="H221" s="25">
        <v>1</v>
      </c>
    </row>
    <row r="222" spans="1:8" outlineLevel="1" x14ac:dyDescent="0.25">
      <c r="A222" s="23"/>
      <c r="B222" s="25">
        <v>1</v>
      </c>
      <c r="C222" s="103" t="s">
        <v>393</v>
      </c>
      <c r="D222" s="104">
        <v>6017</v>
      </c>
      <c r="E222" s="10">
        <v>13</v>
      </c>
      <c r="F222" s="10">
        <v>16</v>
      </c>
      <c r="G222" s="33" t="s">
        <v>139</v>
      </c>
      <c r="H222" s="25">
        <v>1</v>
      </c>
    </row>
    <row r="223" spans="1:8" outlineLevel="1" x14ac:dyDescent="0.25">
      <c r="A223" s="23"/>
      <c r="B223" s="25">
        <v>1</v>
      </c>
      <c r="C223" s="103" t="s">
        <v>122</v>
      </c>
      <c r="D223" s="104">
        <v>6000</v>
      </c>
      <c r="E223" s="10">
        <v>15</v>
      </c>
      <c r="F223" s="10">
        <v>17</v>
      </c>
      <c r="G223" s="33" t="s">
        <v>139</v>
      </c>
      <c r="H223" s="25">
        <v>1</v>
      </c>
    </row>
    <row r="224" spans="1:8" outlineLevel="1" x14ac:dyDescent="0.25">
      <c r="A224" s="23"/>
      <c r="B224" s="25">
        <v>1</v>
      </c>
      <c r="C224" s="103" t="s">
        <v>394</v>
      </c>
      <c r="D224" s="104">
        <v>6060</v>
      </c>
      <c r="E224" s="10">
        <v>12</v>
      </c>
      <c r="F224" s="10">
        <v>0</v>
      </c>
      <c r="G224" s="33" t="s">
        <v>139</v>
      </c>
      <c r="H224" s="25">
        <v>1</v>
      </c>
    </row>
    <row r="225" spans="1:8" outlineLevel="1" x14ac:dyDescent="0.25">
      <c r="A225" s="23"/>
      <c r="B225" s="25">
        <v>1</v>
      </c>
      <c r="C225" s="103" t="s">
        <v>395</v>
      </c>
      <c r="D225" s="104">
        <v>6005</v>
      </c>
      <c r="E225" s="10">
        <v>8</v>
      </c>
      <c r="F225" s="10">
        <v>0</v>
      </c>
      <c r="G225" s="33" t="s">
        <v>139</v>
      </c>
      <c r="H225" s="25">
        <v>1</v>
      </c>
    </row>
    <row r="226" spans="1:8" outlineLevel="1" x14ac:dyDescent="0.25">
      <c r="A226" s="23"/>
      <c r="B226" s="25">
        <v>1</v>
      </c>
      <c r="C226" s="103" t="s">
        <v>396</v>
      </c>
      <c r="D226" s="104">
        <v>6060</v>
      </c>
      <c r="E226" s="10">
        <v>17</v>
      </c>
      <c r="F226" s="10">
        <v>0</v>
      </c>
      <c r="G226" s="33" t="s">
        <v>139</v>
      </c>
      <c r="H226" s="25">
        <v>1</v>
      </c>
    </row>
    <row r="227" spans="1:8" outlineLevel="1" x14ac:dyDescent="0.25">
      <c r="A227" s="23"/>
      <c r="B227" s="25"/>
      <c r="C227" s="25"/>
      <c r="D227" s="25"/>
      <c r="E227" s="25"/>
      <c r="F227" s="25"/>
      <c r="G227" s="33"/>
      <c r="H227" s="25"/>
    </row>
    <row r="228" spans="1:8" x14ac:dyDescent="0.25">
      <c r="A228" s="26"/>
      <c r="B228" s="26"/>
      <c r="C228" s="26"/>
      <c r="D228" s="26"/>
      <c r="E228" s="26"/>
      <c r="F228" s="26"/>
      <c r="G228" s="26"/>
      <c r="H228" s="26"/>
    </row>
    <row r="229" spans="1:8" x14ac:dyDescent="0.25">
      <c r="A229" s="31" t="s">
        <v>129</v>
      </c>
      <c r="B229" s="25">
        <f>SUM(B230:B242)</f>
        <v>12</v>
      </c>
      <c r="C229" s="32" t="s">
        <v>58</v>
      </c>
      <c r="D229" s="32" t="s">
        <v>58</v>
      </c>
      <c r="E229" s="25">
        <f>SUM(E230:E242)</f>
        <v>133</v>
      </c>
      <c r="F229" s="25">
        <f>SUM(F230:F242)</f>
        <v>33</v>
      </c>
      <c r="G229" s="33" t="s">
        <v>139</v>
      </c>
      <c r="H229" s="25">
        <v>1</v>
      </c>
    </row>
    <row r="230" spans="1:8" outlineLevel="1" x14ac:dyDescent="0.25">
      <c r="A230" s="34" t="s">
        <v>130</v>
      </c>
      <c r="B230" s="25">
        <v>1</v>
      </c>
      <c r="C230" s="103" t="s">
        <v>131</v>
      </c>
      <c r="D230" s="104">
        <v>6104</v>
      </c>
      <c r="E230" s="10">
        <v>8</v>
      </c>
      <c r="F230" s="10">
        <v>0</v>
      </c>
      <c r="G230" s="33" t="s">
        <v>139</v>
      </c>
      <c r="H230" s="25">
        <v>1</v>
      </c>
    </row>
    <row r="231" spans="1:8" outlineLevel="1" x14ac:dyDescent="0.25">
      <c r="A231" s="23"/>
      <c r="B231" s="25">
        <v>1</v>
      </c>
      <c r="C231" s="103" t="s">
        <v>132</v>
      </c>
      <c r="D231" s="104">
        <v>6102</v>
      </c>
      <c r="E231" s="10">
        <v>10</v>
      </c>
      <c r="F231" s="10">
        <v>0</v>
      </c>
      <c r="G231" s="33" t="s">
        <v>139</v>
      </c>
      <c r="H231" s="25">
        <v>1</v>
      </c>
    </row>
    <row r="232" spans="1:8" outlineLevel="1" x14ac:dyDescent="0.25">
      <c r="A232" s="23"/>
      <c r="B232" s="25">
        <v>1</v>
      </c>
      <c r="C232" s="103" t="s">
        <v>397</v>
      </c>
      <c r="D232" s="104">
        <v>6152</v>
      </c>
      <c r="E232" s="10">
        <v>20</v>
      </c>
      <c r="F232" s="10">
        <v>0</v>
      </c>
      <c r="G232" s="33" t="s">
        <v>139</v>
      </c>
      <c r="H232" s="25">
        <v>1</v>
      </c>
    </row>
    <row r="233" spans="1:8" outlineLevel="1" x14ac:dyDescent="0.25">
      <c r="A233" s="23"/>
      <c r="B233" s="25">
        <v>1</v>
      </c>
      <c r="C233" s="103" t="s">
        <v>398</v>
      </c>
      <c r="D233" s="104">
        <v>6148</v>
      </c>
      <c r="E233" s="10">
        <v>8</v>
      </c>
      <c r="F233" s="10">
        <v>0</v>
      </c>
      <c r="G233" s="33" t="s">
        <v>139</v>
      </c>
      <c r="H233" s="25">
        <v>1</v>
      </c>
    </row>
    <row r="234" spans="1:8" outlineLevel="1" x14ac:dyDescent="0.25">
      <c r="A234" s="23"/>
      <c r="B234" s="25">
        <v>1</v>
      </c>
      <c r="C234" s="103" t="s">
        <v>399</v>
      </c>
      <c r="D234" s="104">
        <v>6151</v>
      </c>
      <c r="E234" s="10">
        <v>25</v>
      </c>
      <c r="F234" s="10">
        <v>17</v>
      </c>
      <c r="G234" s="33" t="s">
        <v>139</v>
      </c>
      <c r="H234" s="25">
        <v>1</v>
      </c>
    </row>
    <row r="235" spans="1:8" outlineLevel="1" x14ac:dyDescent="0.25">
      <c r="A235" s="23"/>
      <c r="B235" s="25">
        <v>1</v>
      </c>
      <c r="C235" s="103" t="s">
        <v>141</v>
      </c>
      <c r="D235" s="104">
        <v>6147</v>
      </c>
      <c r="E235" s="10">
        <v>5</v>
      </c>
      <c r="F235" s="10">
        <v>0</v>
      </c>
      <c r="G235" s="33" t="s">
        <v>139</v>
      </c>
      <c r="H235" s="25">
        <v>1</v>
      </c>
    </row>
    <row r="236" spans="1:8" outlineLevel="1" x14ac:dyDescent="0.25">
      <c r="A236" s="23"/>
      <c r="B236" s="25">
        <v>1</v>
      </c>
      <c r="C236" s="103" t="s">
        <v>400</v>
      </c>
      <c r="D236" s="104">
        <v>6100</v>
      </c>
      <c r="E236" s="10">
        <v>12</v>
      </c>
      <c r="F236" s="10">
        <v>0</v>
      </c>
      <c r="G236" s="33" t="s">
        <v>139</v>
      </c>
      <c r="H236" s="25">
        <v>1</v>
      </c>
    </row>
    <row r="237" spans="1:8" outlineLevel="1" x14ac:dyDescent="0.25">
      <c r="A237" s="23"/>
      <c r="B237" s="25">
        <v>1</v>
      </c>
      <c r="C237" s="103" t="s">
        <v>401</v>
      </c>
      <c r="D237" s="104">
        <v>6147</v>
      </c>
      <c r="E237" s="10">
        <v>10</v>
      </c>
      <c r="F237" s="10">
        <v>0</v>
      </c>
      <c r="G237" s="33" t="s">
        <v>139</v>
      </c>
      <c r="H237" s="25">
        <v>1</v>
      </c>
    </row>
    <row r="238" spans="1:8" outlineLevel="1" x14ac:dyDescent="0.25">
      <c r="A238" s="23"/>
      <c r="B238" s="25">
        <v>1</v>
      </c>
      <c r="C238" s="103" t="s">
        <v>402</v>
      </c>
      <c r="D238" s="104">
        <v>6152</v>
      </c>
      <c r="E238" s="10">
        <v>12</v>
      </c>
      <c r="F238" s="10">
        <v>16</v>
      </c>
      <c r="G238" s="33" t="s">
        <v>139</v>
      </c>
      <c r="H238" s="25">
        <v>1</v>
      </c>
    </row>
    <row r="239" spans="1:8" outlineLevel="1" x14ac:dyDescent="0.25">
      <c r="A239" s="23"/>
      <c r="B239" s="25">
        <v>1</v>
      </c>
      <c r="C239" s="103" t="s">
        <v>403</v>
      </c>
      <c r="D239" s="104">
        <v>6103</v>
      </c>
      <c r="E239" s="10">
        <v>11</v>
      </c>
      <c r="F239" s="10">
        <v>0</v>
      </c>
      <c r="G239" s="33" t="s">
        <v>139</v>
      </c>
      <c r="H239" s="25">
        <v>1</v>
      </c>
    </row>
    <row r="240" spans="1:8" outlineLevel="1" x14ac:dyDescent="0.25">
      <c r="A240" s="23"/>
      <c r="B240" s="25">
        <v>1</v>
      </c>
      <c r="C240" s="103" t="s">
        <v>404</v>
      </c>
      <c r="D240" s="104">
        <v>6151</v>
      </c>
      <c r="E240" s="10">
        <v>7</v>
      </c>
      <c r="F240" s="10">
        <v>0</v>
      </c>
      <c r="G240" s="33" t="s">
        <v>139</v>
      </c>
      <c r="H240" s="25">
        <v>1</v>
      </c>
    </row>
    <row r="241" spans="1:8" outlineLevel="1" x14ac:dyDescent="0.25">
      <c r="A241" s="23"/>
      <c r="B241" s="25">
        <v>1</v>
      </c>
      <c r="C241" s="103" t="s">
        <v>405</v>
      </c>
      <c r="D241" s="104">
        <v>6107</v>
      </c>
      <c r="E241" s="10">
        <v>5</v>
      </c>
      <c r="F241" s="10">
        <v>0</v>
      </c>
      <c r="G241" s="33" t="s">
        <v>139</v>
      </c>
      <c r="H241" s="25">
        <v>1</v>
      </c>
    </row>
    <row r="242" spans="1:8" outlineLevel="1" x14ac:dyDescent="0.25">
      <c r="A242" s="23"/>
      <c r="B242" s="25"/>
      <c r="C242" s="25"/>
      <c r="D242" s="25"/>
      <c r="E242" s="25"/>
      <c r="F242" s="25"/>
      <c r="G242" s="33"/>
      <c r="H242" s="25"/>
    </row>
    <row r="243" spans="1:8" x14ac:dyDescent="0.25">
      <c r="A243" s="26"/>
      <c r="B243" s="26"/>
      <c r="C243" s="26"/>
      <c r="D243" s="26"/>
      <c r="E243" s="26"/>
      <c r="F243" s="26"/>
      <c r="G243" s="26"/>
      <c r="H243" s="26"/>
    </row>
    <row r="244" spans="1:8" x14ac:dyDescent="0.25">
      <c r="A244" s="31" t="s">
        <v>136</v>
      </c>
      <c r="B244" s="25">
        <f>SUM(B245:B263)</f>
        <v>18</v>
      </c>
      <c r="C244" s="32" t="s">
        <v>58</v>
      </c>
      <c r="D244" s="32" t="s">
        <v>58</v>
      </c>
      <c r="E244" s="25">
        <f>SUM(E245:E263)</f>
        <v>238</v>
      </c>
      <c r="F244" s="25">
        <f>SUM(F245:F263)</f>
        <v>87</v>
      </c>
      <c r="G244" s="33" t="s">
        <v>139</v>
      </c>
      <c r="H244" s="25">
        <v>1</v>
      </c>
    </row>
    <row r="245" spans="1:8" s="26" customFormat="1" outlineLevel="1" x14ac:dyDescent="0.25">
      <c r="A245" s="34" t="s">
        <v>137</v>
      </c>
      <c r="B245" s="25">
        <v>1</v>
      </c>
      <c r="C245" s="103" t="s">
        <v>406</v>
      </c>
      <c r="D245" s="104">
        <v>6153</v>
      </c>
      <c r="E245" s="10">
        <v>13</v>
      </c>
      <c r="F245" s="10">
        <v>0</v>
      </c>
      <c r="G245" s="33" t="s">
        <v>139</v>
      </c>
      <c r="H245" s="25">
        <v>1</v>
      </c>
    </row>
    <row r="246" spans="1:8" s="26" customFormat="1" outlineLevel="1" x14ac:dyDescent="0.25">
      <c r="A246" s="23"/>
      <c r="B246" s="25">
        <v>1</v>
      </c>
      <c r="C246" s="103" t="s">
        <v>134</v>
      </c>
      <c r="D246" s="104">
        <v>6153</v>
      </c>
      <c r="E246" s="10">
        <v>10</v>
      </c>
      <c r="F246" s="10">
        <v>0</v>
      </c>
      <c r="G246" s="33" t="s">
        <v>139</v>
      </c>
      <c r="H246" s="25">
        <v>1</v>
      </c>
    </row>
    <row r="247" spans="1:8" s="26" customFormat="1" outlineLevel="1" x14ac:dyDescent="0.25">
      <c r="A247" s="23"/>
      <c r="B247" s="25">
        <v>1</v>
      </c>
      <c r="C247" s="103" t="s">
        <v>407</v>
      </c>
      <c r="D247" s="104">
        <v>6156</v>
      </c>
      <c r="E247" s="10">
        <v>12</v>
      </c>
      <c r="F247" s="10">
        <v>0</v>
      </c>
      <c r="G247" s="33" t="s">
        <v>139</v>
      </c>
      <c r="H247" s="25">
        <v>1</v>
      </c>
    </row>
    <row r="248" spans="1:8" s="26" customFormat="1" outlineLevel="1" x14ac:dyDescent="0.25">
      <c r="A248" s="23"/>
      <c r="B248" s="25">
        <v>1</v>
      </c>
      <c r="C248" s="103" t="s">
        <v>408</v>
      </c>
      <c r="D248" s="104">
        <v>6150</v>
      </c>
      <c r="E248" s="10">
        <v>4</v>
      </c>
      <c r="F248" s="10">
        <v>0</v>
      </c>
      <c r="G248" s="33" t="s">
        <v>139</v>
      </c>
      <c r="H248" s="25">
        <v>1</v>
      </c>
    </row>
    <row r="249" spans="1:8" s="26" customFormat="1" outlineLevel="1" x14ac:dyDescent="0.25">
      <c r="A249" s="23"/>
      <c r="B249" s="25">
        <v>1</v>
      </c>
      <c r="C249" s="103" t="s">
        <v>409</v>
      </c>
      <c r="D249" s="104">
        <v>6157</v>
      </c>
      <c r="E249" s="10">
        <v>12</v>
      </c>
      <c r="F249" s="10">
        <v>0</v>
      </c>
      <c r="G249" s="33" t="s">
        <v>139</v>
      </c>
      <c r="H249" s="25">
        <v>1</v>
      </c>
    </row>
    <row r="250" spans="1:8" s="26" customFormat="1" outlineLevel="1" x14ac:dyDescent="0.25">
      <c r="A250" s="23"/>
      <c r="B250" s="25">
        <v>1</v>
      </c>
      <c r="C250" s="103" t="s">
        <v>410</v>
      </c>
      <c r="D250" s="104">
        <v>6154</v>
      </c>
      <c r="E250" s="10">
        <v>5</v>
      </c>
      <c r="F250" s="10">
        <v>0</v>
      </c>
      <c r="G250" s="33" t="s">
        <v>139</v>
      </c>
      <c r="H250" s="25">
        <v>1</v>
      </c>
    </row>
    <row r="251" spans="1:8" s="26" customFormat="1" outlineLevel="1" x14ac:dyDescent="0.25">
      <c r="A251" s="23"/>
      <c r="B251" s="25">
        <v>1</v>
      </c>
      <c r="C251" s="103" t="s">
        <v>411</v>
      </c>
      <c r="D251" s="104">
        <v>6153</v>
      </c>
      <c r="E251" s="10">
        <v>12</v>
      </c>
      <c r="F251" s="10">
        <v>15</v>
      </c>
      <c r="G251" s="33" t="s">
        <v>139</v>
      </c>
      <c r="H251" s="25">
        <v>1</v>
      </c>
    </row>
    <row r="252" spans="1:8" s="26" customFormat="1" outlineLevel="1" x14ac:dyDescent="0.25">
      <c r="A252" s="23"/>
      <c r="B252" s="25">
        <v>1</v>
      </c>
      <c r="C252" s="103" t="s">
        <v>412</v>
      </c>
      <c r="D252" s="104">
        <v>6155</v>
      </c>
      <c r="E252" s="10">
        <v>46</v>
      </c>
      <c r="F252" s="10">
        <v>32</v>
      </c>
      <c r="G252" s="33" t="s">
        <v>139</v>
      </c>
      <c r="H252" s="25">
        <v>1</v>
      </c>
    </row>
    <row r="253" spans="1:8" s="26" customFormat="1" outlineLevel="1" x14ac:dyDescent="0.25">
      <c r="A253" s="23"/>
      <c r="B253" s="25">
        <v>1</v>
      </c>
      <c r="C253" s="103" t="s">
        <v>413</v>
      </c>
      <c r="D253" s="104">
        <v>6163</v>
      </c>
      <c r="E253" s="10">
        <v>12</v>
      </c>
      <c r="F253" s="10">
        <v>0</v>
      </c>
      <c r="G253" s="33" t="s">
        <v>139</v>
      </c>
      <c r="H253" s="25">
        <v>1</v>
      </c>
    </row>
    <row r="254" spans="1:8" s="26" customFormat="1" outlineLevel="1" x14ac:dyDescent="0.25">
      <c r="A254" s="23"/>
      <c r="B254" s="25">
        <v>1</v>
      </c>
      <c r="C254" s="103" t="s">
        <v>414</v>
      </c>
      <c r="D254" s="104">
        <v>6149</v>
      </c>
      <c r="E254" s="10">
        <v>34</v>
      </c>
      <c r="F254" s="10">
        <v>16</v>
      </c>
      <c r="G254" s="33" t="s">
        <v>139</v>
      </c>
      <c r="H254" s="25">
        <v>1</v>
      </c>
    </row>
    <row r="255" spans="1:8" s="26" customFormat="1" outlineLevel="1" x14ac:dyDescent="0.25">
      <c r="A255" s="23"/>
      <c r="B255" s="25">
        <v>1</v>
      </c>
      <c r="C255" s="103" t="s">
        <v>415</v>
      </c>
      <c r="D255" s="104">
        <v>6156</v>
      </c>
      <c r="E255" s="10">
        <v>20</v>
      </c>
      <c r="F255" s="10">
        <v>10</v>
      </c>
      <c r="G255" s="33" t="s">
        <v>139</v>
      </c>
      <c r="H255" s="25">
        <v>1</v>
      </c>
    </row>
    <row r="256" spans="1:8" s="26" customFormat="1" outlineLevel="1" x14ac:dyDescent="0.25">
      <c r="A256" s="23"/>
      <c r="B256" s="25">
        <v>1</v>
      </c>
      <c r="C256" s="103" t="s">
        <v>416</v>
      </c>
      <c r="D256" s="104">
        <v>6153</v>
      </c>
      <c r="E256" s="10">
        <v>5</v>
      </c>
      <c r="F256" s="10">
        <v>0</v>
      </c>
      <c r="G256" s="33" t="s">
        <v>139</v>
      </c>
      <c r="H256" s="25">
        <v>1</v>
      </c>
    </row>
    <row r="257" spans="1:8" s="26" customFormat="1" outlineLevel="1" x14ac:dyDescent="0.25">
      <c r="A257" s="23"/>
      <c r="B257" s="25">
        <v>1</v>
      </c>
      <c r="C257" s="103" t="s">
        <v>417</v>
      </c>
      <c r="D257" s="104">
        <v>6147</v>
      </c>
      <c r="E257" s="10">
        <v>5</v>
      </c>
      <c r="F257" s="10">
        <v>0</v>
      </c>
      <c r="G257" s="33" t="s">
        <v>139</v>
      </c>
      <c r="H257" s="25">
        <v>1</v>
      </c>
    </row>
    <row r="258" spans="1:8" s="26" customFormat="1" outlineLevel="1" x14ac:dyDescent="0.25">
      <c r="A258" s="23"/>
      <c r="B258" s="25">
        <v>1</v>
      </c>
      <c r="C258" s="103" t="s">
        <v>418</v>
      </c>
      <c r="D258" s="104">
        <v>6148</v>
      </c>
      <c r="E258" s="10">
        <v>12</v>
      </c>
      <c r="F258" s="10">
        <v>0</v>
      </c>
      <c r="G258" s="33" t="s">
        <v>139</v>
      </c>
      <c r="H258" s="25">
        <v>1</v>
      </c>
    </row>
    <row r="259" spans="1:8" s="26" customFormat="1" outlineLevel="1" x14ac:dyDescent="0.25">
      <c r="A259" s="23"/>
      <c r="B259" s="25">
        <v>1</v>
      </c>
      <c r="C259" s="103" t="s">
        <v>419</v>
      </c>
      <c r="D259" s="104">
        <v>6148</v>
      </c>
      <c r="E259" s="10">
        <v>5</v>
      </c>
      <c r="F259" s="10">
        <v>0</v>
      </c>
      <c r="G259" s="33" t="s">
        <v>139</v>
      </c>
      <c r="H259" s="25">
        <v>1</v>
      </c>
    </row>
    <row r="260" spans="1:8" s="26" customFormat="1" outlineLevel="1" x14ac:dyDescent="0.25">
      <c r="A260" s="23"/>
      <c r="B260" s="25">
        <v>1</v>
      </c>
      <c r="C260" s="103" t="s">
        <v>420</v>
      </c>
      <c r="D260" s="104">
        <v>6156</v>
      </c>
      <c r="E260" s="10">
        <v>11</v>
      </c>
      <c r="F260" s="10">
        <v>14</v>
      </c>
      <c r="G260" s="33" t="s">
        <v>139</v>
      </c>
      <c r="H260" s="25">
        <v>1</v>
      </c>
    </row>
    <row r="261" spans="1:8" s="26" customFormat="1" outlineLevel="1" x14ac:dyDescent="0.25">
      <c r="A261" s="23"/>
      <c r="B261" s="25">
        <v>1</v>
      </c>
      <c r="C261" s="103" t="s">
        <v>135</v>
      </c>
      <c r="D261" s="104">
        <v>6155</v>
      </c>
      <c r="E261" s="10">
        <v>8</v>
      </c>
      <c r="F261" s="10">
        <v>0</v>
      </c>
      <c r="G261" s="33" t="s">
        <v>139</v>
      </c>
      <c r="H261" s="25">
        <v>1</v>
      </c>
    </row>
    <row r="262" spans="1:8" s="26" customFormat="1" outlineLevel="1" x14ac:dyDescent="0.25">
      <c r="A262" s="23"/>
      <c r="B262" s="25">
        <v>1</v>
      </c>
      <c r="C262" s="103" t="s">
        <v>421</v>
      </c>
      <c r="D262" s="104">
        <v>6150</v>
      </c>
      <c r="E262" s="10">
        <v>12</v>
      </c>
      <c r="F262" s="10">
        <v>0</v>
      </c>
      <c r="G262" s="33" t="s">
        <v>139</v>
      </c>
      <c r="H262" s="25">
        <v>1</v>
      </c>
    </row>
    <row r="263" spans="1:8" s="26" customFormat="1" ht="14.25" outlineLevel="1" x14ac:dyDescent="0.2">
      <c r="A263" s="23"/>
      <c r="B263" s="25"/>
      <c r="C263" s="25"/>
      <c r="D263" s="25"/>
      <c r="E263" s="25"/>
      <c r="F263" s="25"/>
      <c r="G263" s="33"/>
      <c r="H263" s="25"/>
    </row>
  </sheetData>
  <mergeCells count="5">
    <mergeCell ref="A4:A5"/>
    <mergeCell ref="B4:D4"/>
    <mergeCell ref="E4:F4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109"/>
  <sheetViews>
    <sheetView zoomScale="85" zoomScaleNormal="85" workbookViewId="0">
      <selection activeCell="Q14" sqref="Q14"/>
    </sheetView>
  </sheetViews>
  <sheetFormatPr defaultColWidth="9.140625" defaultRowHeight="15" outlineLevelRow="4" x14ac:dyDescent="0.25"/>
  <cols>
    <col min="1" max="1" width="21" style="13" customWidth="1"/>
    <col min="2" max="2" width="16.28515625" style="13" customWidth="1"/>
    <col min="3" max="3" width="26.140625" style="13" bestFit="1" customWidth="1"/>
    <col min="4" max="5" width="13" style="13" customWidth="1"/>
    <col min="6" max="6" width="15.140625" style="13" customWidth="1"/>
    <col min="7" max="7" width="12.140625" style="13" bestFit="1" customWidth="1"/>
    <col min="8" max="8" width="17.85546875" style="13" customWidth="1"/>
    <col min="9" max="9" width="17.28515625" style="13" bestFit="1" customWidth="1"/>
    <col min="10" max="10" width="14.7109375" style="13" bestFit="1" customWidth="1"/>
    <col min="11" max="11" width="17.85546875" style="13" customWidth="1"/>
    <col min="12" max="12" width="20.42578125" style="13" customWidth="1"/>
    <col min="13" max="13" width="14.7109375" style="13" customWidth="1"/>
    <col min="14" max="16384" width="9.140625" style="13"/>
  </cols>
  <sheetData>
    <row r="1" spans="1:48" ht="34.5" x14ac:dyDescent="0.4">
      <c r="A1" s="6" t="s">
        <v>35</v>
      </c>
      <c r="B1" s="4" t="s">
        <v>162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5"/>
      <c r="Z1" s="5"/>
      <c r="AA1" s="5"/>
      <c r="AB1" s="5"/>
      <c r="AC1" s="5"/>
      <c r="AD1" s="5"/>
      <c r="AE1" s="5"/>
      <c r="AF1" s="5"/>
      <c r="AG1" s="5"/>
      <c r="AH1" s="5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4" spans="1:48" ht="18" customHeight="1" x14ac:dyDescent="0.25">
      <c r="A4" s="171" t="s">
        <v>0</v>
      </c>
      <c r="B4" s="159" t="s">
        <v>10</v>
      </c>
      <c r="C4" s="159"/>
      <c r="D4" s="159"/>
      <c r="E4" s="159" t="s">
        <v>9</v>
      </c>
      <c r="F4" s="159"/>
      <c r="G4" s="159"/>
      <c r="H4" s="159"/>
      <c r="I4" s="159"/>
      <c r="J4" s="159"/>
      <c r="K4" s="159"/>
      <c r="L4" s="174" t="s">
        <v>180</v>
      </c>
      <c r="M4" s="174" t="s">
        <v>4</v>
      </c>
    </row>
    <row r="5" spans="1:48" ht="30" customHeight="1" x14ac:dyDescent="0.25">
      <c r="A5" s="176"/>
      <c r="B5" s="175" t="s">
        <v>3</v>
      </c>
      <c r="C5" s="175" t="s">
        <v>8</v>
      </c>
      <c r="D5" s="175" t="s">
        <v>13</v>
      </c>
      <c r="E5" s="177" t="s">
        <v>1</v>
      </c>
      <c r="F5" s="177" t="s">
        <v>261</v>
      </c>
      <c r="G5" s="175" t="s">
        <v>143</v>
      </c>
      <c r="H5" s="175" t="s">
        <v>144</v>
      </c>
      <c r="I5" s="175" t="s">
        <v>146</v>
      </c>
      <c r="J5" s="175" t="s">
        <v>147</v>
      </c>
      <c r="K5" s="175" t="s">
        <v>148</v>
      </c>
      <c r="L5" s="174"/>
      <c r="M5" s="174"/>
    </row>
    <row r="6" spans="1:48" ht="15" customHeight="1" x14ac:dyDescent="0.25">
      <c r="A6" s="172"/>
      <c r="B6" s="175"/>
      <c r="C6" s="175"/>
      <c r="D6" s="175"/>
      <c r="E6" s="178"/>
      <c r="F6" s="178"/>
      <c r="G6" s="175"/>
      <c r="H6" s="175"/>
      <c r="I6" s="175"/>
      <c r="J6" s="175"/>
      <c r="K6" s="175"/>
      <c r="L6" s="174"/>
      <c r="M6" s="174"/>
    </row>
    <row r="7" spans="1:48" x14ac:dyDescent="0.25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7"/>
      <c r="M7" s="17"/>
    </row>
    <row r="8" spans="1:48" s="26" customFormat="1" ht="14.25" customHeight="1" x14ac:dyDescent="0.25">
      <c r="A8" s="31" t="s">
        <v>36</v>
      </c>
      <c r="B8" s="25">
        <f>SUM(B9:B12)</f>
        <v>4</v>
      </c>
      <c r="C8" s="32" t="s">
        <v>58</v>
      </c>
      <c r="D8" s="32" t="s">
        <v>58</v>
      </c>
      <c r="E8" s="25">
        <f t="shared" ref="E8:K8" si="0">SUM(E9:E12)</f>
        <v>46</v>
      </c>
      <c r="F8" s="25">
        <f t="shared" si="0"/>
        <v>67</v>
      </c>
      <c r="G8" s="30">
        <f t="shared" si="0"/>
        <v>4</v>
      </c>
      <c r="H8" s="30">
        <f t="shared" si="0"/>
        <v>4</v>
      </c>
      <c r="I8" s="30">
        <f t="shared" si="0"/>
        <v>4</v>
      </c>
      <c r="J8" s="30">
        <f t="shared" si="0"/>
        <v>4</v>
      </c>
      <c r="K8" s="30">
        <f t="shared" si="0"/>
        <v>4</v>
      </c>
      <c r="L8" s="35" t="s">
        <v>46</v>
      </c>
      <c r="M8" s="32" t="s">
        <v>58</v>
      </c>
    </row>
    <row r="9" spans="1:48" s="26" customFormat="1" outlineLevel="1" x14ac:dyDescent="0.25">
      <c r="A9" s="25" t="s">
        <v>47</v>
      </c>
      <c r="B9" s="25">
        <v>1</v>
      </c>
      <c r="C9" s="103" t="s">
        <v>140</v>
      </c>
      <c r="D9" s="10">
        <v>6167</v>
      </c>
      <c r="E9" s="10">
        <v>11</v>
      </c>
      <c r="F9" s="10">
        <v>16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35" t="s">
        <v>46</v>
      </c>
      <c r="M9" s="24">
        <v>14</v>
      </c>
    </row>
    <row r="10" spans="1:48" s="26" customFormat="1" outlineLevel="1" x14ac:dyDescent="0.25">
      <c r="B10" s="25">
        <v>1</v>
      </c>
      <c r="C10" s="103" t="s">
        <v>40</v>
      </c>
      <c r="D10" s="10">
        <v>6172</v>
      </c>
      <c r="E10" s="10">
        <v>9</v>
      </c>
      <c r="F10" s="10">
        <v>14</v>
      </c>
      <c r="G10" s="25">
        <v>1</v>
      </c>
      <c r="H10" s="25">
        <v>1</v>
      </c>
      <c r="I10" s="25">
        <v>1</v>
      </c>
      <c r="J10" s="25">
        <v>1</v>
      </c>
      <c r="K10" s="25">
        <v>1</v>
      </c>
      <c r="L10" s="35" t="s">
        <v>46</v>
      </c>
      <c r="M10" s="24">
        <v>14</v>
      </c>
    </row>
    <row r="11" spans="1:48" s="26" customFormat="1" outlineLevel="1" x14ac:dyDescent="0.25">
      <c r="B11" s="25">
        <v>1</v>
      </c>
      <c r="C11" s="103" t="s">
        <v>41</v>
      </c>
      <c r="D11" s="10">
        <v>6168</v>
      </c>
      <c r="E11" s="10">
        <v>22</v>
      </c>
      <c r="F11" s="10">
        <v>30</v>
      </c>
      <c r="G11" s="25">
        <v>1</v>
      </c>
      <c r="H11" s="25">
        <v>1</v>
      </c>
      <c r="I11" s="25">
        <v>1</v>
      </c>
      <c r="J11" s="25">
        <v>1</v>
      </c>
      <c r="K11" s="25">
        <v>1</v>
      </c>
      <c r="L11" s="35" t="s">
        <v>46</v>
      </c>
      <c r="M11" s="24">
        <v>14</v>
      </c>
    </row>
    <row r="12" spans="1:48" s="26" customFormat="1" outlineLevel="1" x14ac:dyDescent="0.25">
      <c r="B12" s="25">
        <v>1</v>
      </c>
      <c r="C12" s="103" t="s">
        <v>94</v>
      </c>
      <c r="D12" s="10">
        <v>6164</v>
      </c>
      <c r="E12" s="10">
        <v>4</v>
      </c>
      <c r="F12" s="10">
        <v>7</v>
      </c>
      <c r="G12" s="25">
        <v>1</v>
      </c>
      <c r="H12" s="25">
        <v>1</v>
      </c>
      <c r="I12" s="25">
        <v>1</v>
      </c>
      <c r="J12" s="25">
        <v>1</v>
      </c>
      <c r="K12" s="25">
        <v>1</v>
      </c>
      <c r="L12" s="35" t="s">
        <v>46</v>
      </c>
      <c r="M12" s="24">
        <v>14</v>
      </c>
    </row>
    <row r="13" spans="1:48" s="26" customFormat="1" ht="14.25" x14ac:dyDescent="0.2"/>
    <row r="14" spans="1:48" s="26" customFormat="1" x14ac:dyDescent="0.25">
      <c r="A14" s="31" t="s">
        <v>281</v>
      </c>
      <c r="B14" s="25">
        <f>SUM(B15:B16)</f>
        <v>2</v>
      </c>
      <c r="C14" s="32" t="s">
        <v>58</v>
      </c>
      <c r="D14" s="32" t="s">
        <v>58</v>
      </c>
      <c r="E14" s="25">
        <f t="shared" ref="E14:K14" si="1">SUM(E15:E16)</f>
        <v>13</v>
      </c>
      <c r="F14" s="25">
        <f t="shared" si="1"/>
        <v>12</v>
      </c>
      <c r="G14" s="25">
        <f t="shared" si="1"/>
        <v>2</v>
      </c>
      <c r="H14" s="25">
        <f t="shared" si="1"/>
        <v>2</v>
      </c>
      <c r="I14" s="25">
        <f t="shared" si="1"/>
        <v>2</v>
      </c>
      <c r="J14" s="25">
        <f t="shared" si="1"/>
        <v>2</v>
      </c>
      <c r="K14" s="25">
        <f t="shared" si="1"/>
        <v>2</v>
      </c>
      <c r="L14" s="33" t="s">
        <v>46</v>
      </c>
      <c r="M14" s="32" t="s">
        <v>58</v>
      </c>
    </row>
    <row r="15" spans="1:48" s="26" customFormat="1" outlineLevel="2" x14ac:dyDescent="0.25">
      <c r="A15" s="34" t="s">
        <v>422</v>
      </c>
      <c r="B15" s="25">
        <v>1</v>
      </c>
      <c r="C15" s="103" t="s">
        <v>102</v>
      </c>
      <c r="D15" s="10">
        <v>6076</v>
      </c>
      <c r="E15" s="10">
        <v>5</v>
      </c>
      <c r="F15" s="10">
        <v>0</v>
      </c>
      <c r="G15" s="25">
        <v>1</v>
      </c>
      <c r="H15" s="25">
        <v>1</v>
      </c>
      <c r="I15" s="25">
        <v>1</v>
      </c>
      <c r="J15" s="25">
        <v>1</v>
      </c>
      <c r="K15" s="25">
        <v>1</v>
      </c>
      <c r="L15" s="33" t="s">
        <v>46</v>
      </c>
      <c r="M15" s="24">
        <v>14</v>
      </c>
    </row>
    <row r="16" spans="1:48" s="26" customFormat="1" outlineLevel="2" x14ac:dyDescent="0.25">
      <c r="B16" s="25">
        <v>1</v>
      </c>
      <c r="C16" s="103" t="s">
        <v>104</v>
      </c>
      <c r="D16" s="10">
        <v>6056</v>
      </c>
      <c r="E16" s="10">
        <v>8</v>
      </c>
      <c r="F16" s="10">
        <v>12</v>
      </c>
      <c r="G16" s="25">
        <v>1</v>
      </c>
      <c r="H16" s="25">
        <v>1</v>
      </c>
      <c r="I16" s="25">
        <v>1</v>
      </c>
      <c r="J16" s="25">
        <v>1</v>
      </c>
      <c r="K16" s="25">
        <v>1</v>
      </c>
      <c r="L16" s="33" t="s">
        <v>46</v>
      </c>
      <c r="M16" s="24">
        <v>14</v>
      </c>
    </row>
    <row r="17" spans="1:13" s="26" customFormat="1" ht="14.25" x14ac:dyDescent="0.2"/>
    <row r="18" spans="1:13" s="26" customFormat="1" x14ac:dyDescent="0.25">
      <c r="A18" s="31" t="s">
        <v>48</v>
      </c>
      <c r="B18" s="25">
        <f>SUM(B19:B24)</f>
        <v>6</v>
      </c>
      <c r="C18" s="32" t="s">
        <v>58</v>
      </c>
      <c r="D18" s="32" t="s">
        <v>58</v>
      </c>
      <c r="E18" s="25">
        <f t="shared" ref="E18:K18" si="2">SUM(E19:E24)</f>
        <v>44</v>
      </c>
      <c r="F18" s="25">
        <f t="shared" si="2"/>
        <v>61</v>
      </c>
      <c r="G18" s="25">
        <f t="shared" si="2"/>
        <v>6</v>
      </c>
      <c r="H18" s="25">
        <f t="shared" si="2"/>
        <v>6</v>
      </c>
      <c r="I18" s="25">
        <f t="shared" si="2"/>
        <v>6</v>
      </c>
      <c r="J18" s="25">
        <f t="shared" si="2"/>
        <v>6</v>
      </c>
      <c r="K18" s="25">
        <f t="shared" si="2"/>
        <v>6</v>
      </c>
      <c r="L18" s="33" t="s">
        <v>46</v>
      </c>
      <c r="M18" s="32" t="s">
        <v>58</v>
      </c>
    </row>
    <row r="19" spans="1:13" s="26" customFormat="1" outlineLevel="1" x14ac:dyDescent="0.25">
      <c r="A19" s="26" t="s">
        <v>174</v>
      </c>
      <c r="B19" s="25">
        <v>1</v>
      </c>
      <c r="C19" s="103" t="s">
        <v>49</v>
      </c>
      <c r="D19" s="10">
        <v>6112</v>
      </c>
      <c r="E19" s="10">
        <v>3</v>
      </c>
      <c r="F19" s="10">
        <v>0</v>
      </c>
      <c r="G19" s="25">
        <v>1</v>
      </c>
      <c r="H19" s="25">
        <v>1</v>
      </c>
      <c r="I19" s="25">
        <v>1</v>
      </c>
      <c r="J19" s="25">
        <v>1</v>
      </c>
      <c r="K19" s="25">
        <v>1</v>
      </c>
      <c r="L19" s="33" t="s">
        <v>46</v>
      </c>
      <c r="M19" s="24">
        <v>14</v>
      </c>
    </row>
    <row r="20" spans="1:13" s="26" customFormat="1" outlineLevel="1" x14ac:dyDescent="0.25">
      <c r="B20" s="25">
        <v>1</v>
      </c>
      <c r="C20" s="103" t="s">
        <v>53</v>
      </c>
      <c r="D20" s="10">
        <v>6122</v>
      </c>
      <c r="E20" s="10">
        <v>10</v>
      </c>
      <c r="F20" s="10">
        <v>14</v>
      </c>
      <c r="G20" s="25">
        <v>1</v>
      </c>
      <c r="H20" s="25">
        <v>1</v>
      </c>
      <c r="I20" s="25">
        <v>1</v>
      </c>
      <c r="J20" s="25">
        <v>1</v>
      </c>
      <c r="K20" s="25">
        <v>1</v>
      </c>
      <c r="L20" s="33" t="s">
        <v>46</v>
      </c>
      <c r="M20" s="24">
        <v>14</v>
      </c>
    </row>
    <row r="21" spans="1:13" s="26" customFormat="1" outlineLevel="1" x14ac:dyDescent="0.25">
      <c r="B21" s="25">
        <v>1</v>
      </c>
      <c r="C21" s="103" t="s">
        <v>423</v>
      </c>
      <c r="D21" s="10">
        <v>6109</v>
      </c>
      <c r="E21" s="10">
        <v>12</v>
      </c>
      <c r="F21" s="10">
        <v>17</v>
      </c>
      <c r="G21" s="25">
        <v>1</v>
      </c>
      <c r="H21" s="25">
        <v>1</v>
      </c>
      <c r="I21" s="25">
        <v>1</v>
      </c>
      <c r="J21" s="25">
        <v>1</v>
      </c>
      <c r="K21" s="25">
        <v>1</v>
      </c>
      <c r="L21" s="33" t="s">
        <v>46</v>
      </c>
      <c r="M21" s="24">
        <v>14</v>
      </c>
    </row>
    <row r="22" spans="1:13" s="26" customFormat="1" outlineLevel="1" x14ac:dyDescent="0.25">
      <c r="B22" s="25">
        <v>1</v>
      </c>
      <c r="C22" s="103" t="s">
        <v>122</v>
      </c>
      <c r="D22" s="10">
        <v>6000</v>
      </c>
      <c r="E22" s="10">
        <v>3</v>
      </c>
      <c r="F22" s="10">
        <v>6</v>
      </c>
      <c r="G22" s="25">
        <v>1</v>
      </c>
      <c r="H22" s="25">
        <v>1</v>
      </c>
      <c r="I22" s="25">
        <v>1</v>
      </c>
      <c r="J22" s="25">
        <v>1</v>
      </c>
      <c r="K22" s="25">
        <v>1</v>
      </c>
      <c r="L22" s="33" t="s">
        <v>46</v>
      </c>
      <c r="M22" s="24">
        <v>14</v>
      </c>
    </row>
    <row r="23" spans="1:13" s="26" customFormat="1" outlineLevel="1" x14ac:dyDescent="0.25">
      <c r="B23" s="25">
        <v>1</v>
      </c>
      <c r="C23" s="103" t="s">
        <v>50</v>
      </c>
      <c r="D23" s="10">
        <v>6110</v>
      </c>
      <c r="E23" s="10">
        <v>12</v>
      </c>
      <c r="F23" s="10">
        <v>17</v>
      </c>
      <c r="G23" s="25">
        <v>1</v>
      </c>
      <c r="H23" s="25">
        <v>1</v>
      </c>
      <c r="I23" s="25">
        <v>1</v>
      </c>
      <c r="J23" s="25">
        <v>1</v>
      </c>
      <c r="K23" s="25">
        <v>1</v>
      </c>
      <c r="L23" s="33" t="s">
        <v>46</v>
      </c>
      <c r="M23" s="24">
        <v>14</v>
      </c>
    </row>
    <row r="24" spans="1:13" s="26" customFormat="1" outlineLevel="1" x14ac:dyDescent="0.25">
      <c r="B24" s="25">
        <v>1</v>
      </c>
      <c r="C24" s="103" t="s">
        <v>94</v>
      </c>
      <c r="D24" s="10">
        <v>6164</v>
      </c>
      <c r="E24" s="10">
        <v>4</v>
      </c>
      <c r="F24" s="10">
        <v>7</v>
      </c>
      <c r="G24" s="25">
        <v>1</v>
      </c>
      <c r="H24" s="25">
        <v>1</v>
      </c>
      <c r="I24" s="25">
        <v>1</v>
      </c>
      <c r="J24" s="25">
        <v>1</v>
      </c>
      <c r="K24" s="25">
        <v>1</v>
      </c>
      <c r="L24" s="33" t="s">
        <v>46</v>
      </c>
      <c r="M24" s="24">
        <v>14</v>
      </c>
    </row>
    <row r="25" spans="1:13" s="26" customFormat="1" ht="14.25" x14ac:dyDescent="0.2"/>
    <row r="26" spans="1:13" s="26" customFormat="1" x14ac:dyDescent="0.25">
      <c r="A26" s="31" t="s">
        <v>52</v>
      </c>
      <c r="B26" s="25">
        <f>SUM(B27:B30)</f>
        <v>4</v>
      </c>
      <c r="C26" s="32" t="s">
        <v>58</v>
      </c>
      <c r="D26" s="32" t="s">
        <v>58</v>
      </c>
      <c r="E26" s="25">
        <f t="shared" ref="E26:K26" si="3">SUM(E27:E30)</f>
        <v>35</v>
      </c>
      <c r="F26" s="25">
        <f t="shared" si="3"/>
        <v>51</v>
      </c>
      <c r="G26" s="25">
        <f t="shared" si="3"/>
        <v>4</v>
      </c>
      <c r="H26" s="25">
        <f t="shared" si="3"/>
        <v>4</v>
      </c>
      <c r="I26" s="25">
        <f t="shared" si="3"/>
        <v>4</v>
      </c>
      <c r="J26" s="25">
        <f t="shared" si="3"/>
        <v>4</v>
      </c>
      <c r="K26" s="25">
        <f t="shared" si="3"/>
        <v>4</v>
      </c>
      <c r="L26" s="33" t="s">
        <v>46</v>
      </c>
      <c r="M26" s="32" t="s">
        <v>58</v>
      </c>
    </row>
    <row r="27" spans="1:13" s="26" customFormat="1" outlineLevel="1" x14ac:dyDescent="0.25">
      <c r="A27" s="25" t="s">
        <v>175</v>
      </c>
      <c r="B27" s="25">
        <v>1</v>
      </c>
      <c r="C27" s="103" t="s">
        <v>53</v>
      </c>
      <c r="D27" s="10">
        <v>6122</v>
      </c>
      <c r="E27" s="10">
        <v>6</v>
      </c>
      <c r="F27" s="10">
        <v>9</v>
      </c>
      <c r="G27" s="25">
        <v>1</v>
      </c>
      <c r="H27" s="25">
        <v>1</v>
      </c>
      <c r="I27" s="25">
        <v>1</v>
      </c>
      <c r="J27" s="25">
        <v>1</v>
      </c>
      <c r="K27" s="25">
        <v>1</v>
      </c>
      <c r="L27" s="33" t="s">
        <v>46</v>
      </c>
      <c r="M27" s="24">
        <v>14</v>
      </c>
    </row>
    <row r="28" spans="1:13" s="26" customFormat="1" outlineLevel="1" x14ac:dyDescent="0.25">
      <c r="A28" s="23"/>
      <c r="B28" s="25">
        <v>1</v>
      </c>
      <c r="C28" s="103" t="s">
        <v>424</v>
      </c>
      <c r="D28" s="10">
        <v>6210</v>
      </c>
      <c r="E28" s="10">
        <v>12</v>
      </c>
      <c r="F28" s="10">
        <v>17</v>
      </c>
      <c r="G28" s="25">
        <v>1</v>
      </c>
      <c r="H28" s="25">
        <v>1</v>
      </c>
      <c r="I28" s="25">
        <v>1</v>
      </c>
      <c r="J28" s="25">
        <v>1</v>
      </c>
      <c r="K28" s="25">
        <v>1</v>
      </c>
      <c r="L28" s="33" t="s">
        <v>46</v>
      </c>
      <c r="M28" s="24">
        <v>14</v>
      </c>
    </row>
    <row r="29" spans="1:13" s="26" customFormat="1" outlineLevel="1" x14ac:dyDescent="0.25">
      <c r="B29" s="25">
        <v>1</v>
      </c>
      <c r="C29" s="103" t="s">
        <v>56</v>
      </c>
      <c r="D29" s="10">
        <v>6210</v>
      </c>
      <c r="E29" s="10">
        <v>10</v>
      </c>
      <c r="F29" s="10">
        <v>15</v>
      </c>
      <c r="G29" s="25">
        <v>1</v>
      </c>
      <c r="H29" s="25">
        <v>1</v>
      </c>
      <c r="I29" s="25">
        <v>1</v>
      </c>
      <c r="J29" s="25">
        <v>1</v>
      </c>
      <c r="K29" s="25">
        <v>1</v>
      </c>
      <c r="L29" s="33" t="s">
        <v>46</v>
      </c>
      <c r="M29" s="24">
        <v>14</v>
      </c>
    </row>
    <row r="30" spans="1:13" s="26" customFormat="1" outlineLevel="1" x14ac:dyDescent="0.25">
      <c r="B30" s="25">
        <v>1</v>
      </c>
      <c r="C30" s="103" t="s">
        <v>40</v>
      </c>
      <c r="D30" s="10">
        <v>6172</v>
      </c>
      <c r="E30" s="10">
        <v>7</v>
      </c>
      <c r="F30" s="10">
        <v>10</v>
      </c>
      <c r="G30" s="25">
        <v>1</v>
      </c>
      <c r="H30" s="25">
        <v>1</v>
      </c>
      <c r="I30" s="25">
        <v>1</v>
      </c>
      <c r="J30" s="25">
        <v>1</v>
      </c>
      <c r="K30" s="25">
        <v>1</v>
      </c>
      <c r="L30" s="33" t="s">
        <v>46</v>
      </c>
      <c r="M30" s="24">
        <v>14</v>
      </c>
    </row>
    <row r="31" spans="1:13" s="26" customFormat="1" ht="14.25" x14ac:dyDescent="0.2"/>
    <row r="32" spans="1:13" s="26" customFormat="1" x14ac:dyDescent="0.25">
      <c r="A32" s="31" t="s">
        <v>63</v>
      </c>
      <c r="B32" s="25">
        <f>SUM(B33:B37)</f>
        <v>5</v>
      </c>
      <c r="C32" s="32" t="s">
        <v>58</v>
      </c>
      <c r="D32" s="32" t="s">
        <v>58</v>
      </c>
      <c r="E32" s="25">
        <f t="shared" ref="E32:K32" si="4">SUM(E33:E37)</f>
        <v>42</v>
      </c>
      <c r="F32" s="25">
        <f t="shared" si="4"/>
        <v>36</v>
      </c>
      <c r="G32" s="25">
        <f t="shared" si="4"/>
        <v>5</v>
      </c>
      <c r="H32" s="25">
        <f t="shared" si="4"/>
        <v>5</v>
      </c>
      <c r="I32" s="25">
        <f t="shared" si="4"/>
        <v>5</v>
      </c>
      <c r="J32" s="25">
        <f t="shared" si="4"/>
        <v>5</v>
      </c>
      <c r="K32" s="25">
        <f t="shared" si="4"/>
        <v>5</v>
      </c>
      <c r="L32" s="33" t="s">
        <v>46</v>
      </c>
      <c r="M32" s="32" t="s">
        <v>58</v>
      </c>
    </row>
    <row r="33" spans="1:13" s="26" customFormat="1" outlineLevel="2" x14ac:dyDescent="0.25">
      <c r="A33" s="24" t="s">
        <v>176</v>
      </c>
      <c r="B33" s="25">
        <v>1</v>
      </c>
      <c r="C33" s="103" t="s">
        <v>142</v>
      </c>
      <c r="D33" s="10">
        <v>6090</v>
      </c>
      <c r="E33" s="10">
        <v>11</v>
      </c>
      <c r="F33" s="10">
        <v>0</v>
      </c>
      <c r="G33" s="25">
        <v>1</v>
      </c>
      <c r="H33" s="25">
        <v>1</v>
      </c>
      <c r="I33" s="25">
        <v>1</v>
      </c>
      <c r="J33" s="25">
        <v>1</v>
      </c>
      <c r="K33" s="25">
        <v>1</v>
      </c>
      <c r="L33" s="33" t="s">
        <v>46</v>
      </c>
      <c r="M33" s="24">
        <v>14</v>
      </c>
    </row>
    <row r="34" spans="1:13" s="26" customFormat="1" outlineLevel="2" x14ac:dyDescent="0.25">
      <c r="B34" s="25">
        <v>1</v>
      </c>
      <c r="C34" s="103" t="s">
        <v>393</v>
      </c>
      <c r="D34" s="10">
        <v>6017</v>
      </c>
      <c r="E34" s="10">
        <v>7</v>
      </c>
      <c r="F34" s="10">
        <v>0</v>
      </c>
      <c r="G34" s="25">
        <v>1</v>
      </c>
      <c r="H34" s="25">
        <v>1</v>
      </c>
      <c r="I34" s="25">
        <v>1</v>
      </c>
      <c r="J34" s="25">
        <v>1</v>
      </c>
      <c r="K34" s="25">
        <v>1</v>
      </c>
      <c r="L34" s="33" t="s">
        <v>46</v>
      </c>
      <c r="M34" s="24">
        <v>14</v>
      </c>
    </row>
    <row r="35" spans="1:13" s="26" customFormat="1" outlineLevel="2" x14ac:dyDescent="0.25">
      <c r="B35" s="25">
        <v>1</v>
      </c>
      <c r="C35" s="103" t="s">
        <v>122</v>
      </c>
      <c r="D35" s="10">
        <v>6000</v>
      </c>
      <c r="E35" s="10">
        <v>3</v>
      </c>
      <c r="F35" s="10">
        <v>6</v>
      </c>
      <c r="G35" s="25">
        <v>1</v>
      </c>
      <c r="H35" s="25">
        <v>1</v>
      </c>
      <c r="I35" s="25">
        <v>1</v>
      </c>
      <c r="J35" s="25">
        <v>1</v>
      </c>
      <c r="K35" s="25">
        <v>1</v>
      </c>
      <c r="L35" s="33" t="s">
        <v>46</v>
      </c>
      <c r="M35" s="24">
        <v>14</v>
      </c>
    </row>
    <row r="36" spans="1:13" s="26" customFormat="1" outlineLevel="2" x14ac:dyDescent="0.25">
      <c r="B36" s="25">
        <v>1</v>
      </c>
      <c r="C36" s="103" t="s">
        <v>425</v>
      </c>
      <c r="D36" s="10">
        <v>6065</v>
      </c>
      <c r="E36" s="10">
        <v>9</v>
      </c>
      <c r="F36" s="10">
        <v>13</v>
      </c>
      <c r="G36" s="25">
        <v>1</v>
      </c>
      <c r="H36" s="25">
        <v>1</v>
      </c>
      <c r="I36" s="25">
        <v>1</v>
      </c>
      <c r="J36" s="25">
        <v>1</v>
      </c>
      <c r="K36" s="25">
        <v>1</v>
      </c>
      <c r="L36" s="33" t="s">
        <v>46</v>
      </c>
      <c r="M36" s="24">
        <v>14</v>
      </c>
    </row>
    <row r="37" spans="1:13" s="26" customFormat="1" outlineLevel="2" x14ac:dyDescent="0.25">
      <c r="B37" s="25">
        <v>1</v>
      </c>
      <c r="C37" s="103" t="s">
        <v>426</v>
      </c>
      <c r="D37" s="10">
        <v>6024</v>
      </c>
      <c r="E37" s="10">
        <v>12</v>
      </c>
      <c r="F37" s="10">
        <v>17</v>
      </c>
      <c r="G37" s="25">
        <v>1</v>
      </c>
      <c r="H37" s="25">
        <v>1</v>
      </c>
      <c r="I37" s="25">
        <v>1</v>
      </c>
      <c r="J37" s="25">
        <v>1</v>
      </c>
      <c r="K37" s="25">
        <v>1</v>
      </c>
      <c r="L37" s="33" t="s">
        <v>46</v>
      </c>
      <c r="M37" s="24">
        <v>14</v>
      </c>
    </row>
    <row r="38" spans="1:13" s="26" customFormat="1" ht="14.25" x14ac:dyDescent="0.2"/>
    <row r="39" spans="1:13" s="26" customFormat="1" x14ac:dyDescent="0.25">
      <c r="A39" s="31" t="s">
        <v>81</v>
      </c>
      <c r="B39" s="25">
        <f>SUM(B40:B45)</f>
        <v>6</v>
      </c>
      <c r="C39" s="32" t="s">
        <v>58</v>
      </c>
      <c r="D39" s="32" t="s">
        <v>58</v>
      </c>
      <c r="E39" s="25">
        <f t="shared" ref="E39:K39" si="5">SUM(E40:E45)</f>
        <v>49</v>
      </c>
      <c r="F39" s="25">
        <f t="shared" si="5"/>
        <v>58</v>
      </c>
      <c r="G39" s="25">
        <f t="shared" si="5"/>
        <v>6</v>
      </c>
      <c r="H39" s="25">
        <f t="shared" si="5"/>
        <v>6</v>
      </c>
      <c r="I39" s="25">
        <f t="shared" si="5"/>
        <v>6</v>
      </c>
      <c r="J39" s="25">
        <f t="shared" si="5"/>
        <v>6</v>
      </c>
      <c r="K39" s="25">
        <f t="shared" si="5"/>
        <v>6</v>
      </c>
      <c r="L39" s="33" t="s">
        <v>139</v>
      </c>
      <c r="M39" s="32" t="s">
        <v>58</v>
      </c>
    </row>
    <row r="40" spans="1:13" s="26" customFormat="1" outlineLevel="3" x14ac:dyDescent="0.25">
      <c r="A40" s="25" t="s">
        <v>83</v>
      </c>
      <c r="B40" s="25">
        <v>1</v>
      </c>
      <c r="C40" s="103" t="s">
        <v>64</v>
      </c>
      <c r="D40" s="10">
        <v>6010</v>
      </c>
      <c r="E40" s="10">
        <v>15</v>
      </c>
      <c r="F40" s="10">
        <v>20</v>
      </c>
      <c r="G40" s="25">
        <v>1</v>
      </c>
      <c r="H40" s="25">
        <v>1</v>
      </c>
      <c r="I40" s="25">
        <v>1</v>
      </c>
      <c r="J40" s="25">
        <v>1</v>
      </c>
      <c r="K40" s="25">
        <v>1</v>
      </c>
      <c r="L40" s="33" t="s">
        <v>139</v>
      </c>
      <c r="M40" s="24">
        <v>14</v>
      </c>
    </row>
    <row r="41" spans="1:13" s="26" customFormat="1" outlineLevel="3" x14ac:dyDescent="0.25">
      <c r="B41" s="25">
        <v>1</v>
      </c>
      <c r="C41" s="103" t="s">
        <v>92</v>
      </c>
      <c r="D41" s="10">
        <v>6160</v>
      </c>
      <c r="E41" s="10">
        <v>3</v>
      </c>
      <c r="F41" s="10">
        <v>6</v>
      </c>
      <c r="G41" s="25">
        <v>1</v>
      </c>
      <c r="H41" s="25">
        <v>1</v>
      </c>
      <c r="I41" s="25">
        <v>1</v>
      </c>
      <c r="J41" s="25">
        <v>1</v>
      </c>
      <c r="K41" s="25">
        <v>1</v>
      </c>
      <c r="L41" s="33" t="s">
        <v>139</v>
      </c>
      <c r="M41" s="24">
        <v>14</v>
      </c>
    </row>
    <row r="42" spans="1:13" s="26" customFormat="1" outlineLevel="3" x14ac:dyDescent="0.25">
      <c r="B42" s="25">
        <v>1</v>
      </c>
      <c r="C42" s="103" t="s">
        <v>393</v>
      </c>
      <c r="D42" s="10">
        <v>6017</v>
      </c>
      <c r="E42" s="10">
        <v>10</v>
      </c>
      <c r="F42" s="10">
        <v>0</v>
      </c>
      <c r="G42" s="25">
        <v>1</v>
      </c>
      <c r="H42" s="25">
        <v>1</v>
      </c>
      <c r="I42" s="25">
        <v>1</v>
      </c>
      <c r="J42" s="25">
        <v>1</v>
      </c>
      <c r="K42" s="25">
        <v>1</v>
      </c>
      <c r="L42" s="33" t="s">
        <v>139</v>
      </c>
      <c r="M42" s="24">
        <v>14</v>
      </c>
    </row>
    <row r="43" spans="1:13" s="26" customFormat="1" outlineLevel="3" x14ac:dyDescent="0.25">
      <c r="B43" s="25">
        <v>1</v>
      </c>
      <c r="C43" s="103" t="s">
        <v>122</v>
      </c>
      <c r="D43" s="10">
        <v>6000</v>
      </c>
      <c r="E43" s="10">
        <v>5</v>
      </c>
      <c r="F43" s="10">
        <v>8</v>
      </c>
      <c r="G43" s="25">
        <v>1</v>
      </c>
      <c r="H43" s="25">
        <v>1</v>
      </c>
      <c r="I43" s="25">
        <v>1</v>
      </c>
      <c r="J43" s="25">
        <v>1</v>
      </c>
      <c r="K43" s="25">
        <v>1</v>
      </c>
      <c r="L43" s="33" t="s">
        <v>139</v>
      </c>
      <c r="M43" s="24">
        <v>14</v>
      </c>
    </row>
    <row r="44" spans="1:13" s="26" customFormat="1" outlineLevel="3" x14ac:dyDescent="0.25">
      <c r="B44" s="25">
        <v>1</v>
      </c>
      <c r="C44" s="103" t="s">
        <v>76</v>
      </c>
      <c r="D44" s="10">
        <v>6008</v>
      </c>
      <c r="E44" s="10">
        <v>13</v>
      </c>
      <c r="F44" s="10">
        <v>18</v>
      </c>
      <c r="G44" s="25">
        <v>1</v>
      </c>
      <c r="H44" s="25">
        <v>1</v>
      </c>
      <c r="I44" s="25">
        <v>1</v>
      </c>
      <c r="J44" s="25">
        <v>1</v>
      </c>
      <c r="K44" s="25">
        <v>1</v>
      </c>
      <c r="L44" s="33" t="s">
        <v>139</v>
      </c>
      <c r="M44" s="24">
        <v>14</v>
      </c>
    </row>
    <row r="45" spans="1:13" s="26" customFormat="1" outlineLevel="3" x14ac:dyDescent="0.25">
      <c r="B45" s="25">
        <v>1</v>
      </c>
      <c r="C45" s="103" t="s">
        <v>426</v>
      </c>
      <c r="D45" s="10">
        <v>6024</v>
      </c>
      <c r="E45" s="10">
        <v>3</v>
      </c>
      <c r="F45" s="10">
        <v>6</v>
      </c>
      <c r="G45" s="25">
        <v>1</v>
      </c>
      <c r="H45" s="25">
        <v>1</v>
      </c>
      <c r="I45" s="25">
        <v>1</v>
      </c>
      <c r="J45" s="25">
        <v>1</v>
      </c>
      <c r="K45" s="25">
        <v>1</v>
      </c>
      <c r="L45" s="33" t="s">
        <v>139</v>
      </c>
      <c r="M45" s="24">
        <v>14</v>
      </c>
    </row>
    <row r="46" spans="1:13" s="26" customFormat="1" ht="14.25" x14ac:dyDescent="0.2"/>
    <row r="47" spans="1:13" s="26" customFormat="1" x14ac:dyDescent="0.25">
      <c r="A47" s="31" t="s">
        <v>84</v>
      </c>
      <c r="B47" s="25">
        <f>SUM(B48:B50)</f>
        <v>3</v>
      </c>
      <c r="C47" s="32" t="s">
        <v>58</v>
      </c>
      <c r="D47" s="32" t="s">
        <v>58</v>
      </c>
      <c r="E47" s="25">
        <f t="shared" ref="E47:K47" si="6">SUM(E48:E50)</f>
        <v>16</v>
      </c>
      <c r="F47" s="25">
        <f t="shared" si="6"/>
        <v>25</v>
      </c>
      <c r="G47" s="25">
        <f t="shared" si="6"/>
        <v>3</v>
      </c>
      <c r="H47" s="25">
        <f t="shared" si="6"/>
        <v>3</v>
      </c>
      <c r="I47" s="25">
        <f t="shared" si="6"/>
        <v>3</v>
      </c>
      <c r="J47" s="25">
        <f t="shared" si="6"/>
        <v>3</v>
      </c>
      <c r="K47" s="25">
        <f t="shared" si="6"/>
        <v>3</v>
      </c>
      <c r="L47" s="33" t="s">
        <v>138</v>
      </c>
      <c r="M47" s="32" t="s">
        <v>58</v>
      </c>
    </row>
    <row r="48" spans="1:13" s="26" customFormat="1" outlineLevel="4" x14ac:dyDescent="0.25">
      <c r="A48" s="34" t="s">
        <v>177</v>
      </c>
      <c r="B48" s="25">
        <v>1</v>
      </c>
      <c r="C48" s="103" t="s">
        <v>427</v>
      </c>
      <c r="D48" s="10">
        <v>6063</v>
      </c>
      <c r="E48" s="10">
        <v>3</v>
      </c>
      <c r="F48" s="10">
        <v>6</v>
      </c>
      <c r="G48" s="25">
        <v>1</v>
      </c>
      <c r="H48" s="25">
        <v>1</v>
      </c>
      <c r="I48" s="25">
        <v>1</v>
      </c>
      <c r="J48" s="25">
        <v>1</v>
      </c>
      <c r="K48" s="25">
        <v>1</v>
      </c>
      <c r="L48" s="33" t="s">
        <v>138</v>
      </c>
      <c r="M48" s="24">
        <v>14</v>
      </c>
    </row>
    <row r="49" spans="1:13" s="26" customFormat="1" outlineLevel="4" x14ac:dyDescent="0.25">
      <c r="B49" s="25">
        <v>1</v>
      </c>
      <c r="C49" s="103" t="s">
        <v>85</v>
      </c>
      <c r="D49" s="10">
        <v>6725</v>
      </c>
      <c r="E49" s="10">
        <v>10</v>
      </c>
      <c r="F49" s="10">
        <v>13</v>
      </c>
      <c r="G49" s="25">
        <v>1</v>
      </c>
      <c r="H49" s="25">
        <v>1</v>
      </c>
      <c r="I49" s="25">
        <v>1</v>
      </c>
      <c r="J49" s="25">
        <v>1</v>
      </c>
      <c r="K49" s="25">
        <v>1</v>
      </c>
      <c r="L49" s="33" t="s">
        <v>138</v>
      </c>
      <c r="M49" s="24">
        <v>14</v>
      </c>
    </row>
    <row r="50" spans="1:13" s="26" customFormat="1" outlineLevel="4" x14ac:dyDescent="0.25">
      <c r="B50" s="25">
        <v>1</v>
      </c>
      <c r="C50" s="103" t="s">
        <v>104</v>
      </c>
      <c r="D50" s="10">
        <v>6056</v>
      </c>
      <c r="E50" s="10">
        <v>3</v>
      </c>
      <c r="F50" s="10">
        <v>6</v>
      </c>
      <c r="G50" s="25">
        <v>1</v>
      </c>
      <c r="H50" s="25">
        <v>1</v>
      </c>
      <c r="I50" s="25">
        <v>1</v>
      </c>
      <c r="J50" s="25">
        <v>1</v>
      </c>
      <c r="K50" s="25">
        <v>1</v>
      </c>
      <c r="L50" s="33" t="s">
        <v>138</v>
      </c>
      <c r="M50" s="24">
        <v>14</v>
      </c>
    </row>
    <row r="51" spans="1:13" s="26" customFormat="1" ht="14.25" x14ac:dyDescent="0.2"/>
    <row r="52" spans="1:13" s="26" customFormat="1" x14ac:dyDescent="0.25">
      <c r="A52" s="31" t="s">
        <v>88</v>
      </c>
      <c r="B52" s="25">
        <f>SUM(B53:B53)</f>
        <v>1</v>
      </c>
      <c r="C52" s="32" t="s">
        <v>58</v>
      </c>
      <c r="D52" s="32" t="s">
        <v>58</v>
      </c>
      <c r="E52" s="25">
        <f t="shared" ref="E52:K52" si="7">SUM(E53:E53)</f>
        <v>4</v>
      </c>
      <c r="F52" s="25">
        <f t="shared" si="7"/>
        <v>0</v>
      </c>
      <c r="G52" s="25">
        <f t="shared" si="7"/>
        <v>1</v>
      </c>
      <c r="H52" s="25">
        <f t="shared" si="7"/>
        <v>1</v>
      </c>
      <c r="I52" s="25">
        <f t="shared" si="7"/>
        <v>1</v>
      </c>
      <c r="J52" s="25">
        <f t="shared" si="7"/>
        <v>1</v>
      </c>
      <c r="K52" s="25">
        <f t="shared" si="7"/>
        <v>1</v>
      </c>
      <c r="L52" s="33" t="s">
        <v>138</v>
      </c>
      <c r="M52" s="32" t="s">
        <v>58</v>
      </c>
    </row>
    <row r="53" spans="1:13" s="26" customFormat="1" outlineLevel="3" x14ac:dyDescent="0.25">
      <c r="A53" s="25" t="s">
        <v>89</v>
      </c>
      <c r="B53" s="25">
        <v>1</v>
      </c>
      <c r="C53" s="103" t="s">
        <v>91</v>
      </c>
      <c r="D53" s="10">
        <v>6230</v>
      </c>
      <c r="E53" s="10">
        <v>4</v>
      </c>
      <c r="F53" s="10">
        <v>0</v>
      </c>
      <c r="G53" s="25">
        <v>1</v>
      </c>
      <c r="H53" s="25">
        <v>1</v>
      </c>
      <c r="I53" s="25">
        <v>1</v>
      </c>
      <c r="J53" s="25">
        <v>1</v>
      </c>
      <c r="K53" s="25">
        <v>1</v>
      </c>
      <c r="L53" s="33" t="s">
        <v>138</v>
      </c>
      <c r="M53" s="24">
        <v>14</v>
      </c>
    </row>
    <row r="54" spans="1:13" s="26" customFormat="1" ht="14.25" x14ac:dyDescent="0.2"/>
    <row r="55" spans="1:13" s="26" customFormat="1" x14ac:dyDescent="0.25">
      <c r="A55" s="31" t="s">
        <v>92</v>
      </c>
      <c r="B55" s="25">
        <f>SUM(B56:B59)</f>
        <v>4</v>
      </c>
      <c r="C55" s="32" t="s">
        <v>58</v>
      </c>
      <c r="D55" s="32" t="s">
        <v>58</v>
      </c>
      <c r="E55" s="25">
        <f t="shared" ref="E55:K55" si="8">SUM(E56:E59)</f>
        <v>30</v>
      </c>
      <c r="F55" s="25">
        <f t="shared" si="8"/>
        <v>46</v>
      </c>
      <c r="G55" s="25">
        <f t="shared" si="8"/>
        <v>4</v>
      </c>
      <c r="H55" s="25">
        <f t="shared" si="8"/>
        <v>4</v>
      </c>
      <c r="I55" s="25">
        <f t="shared" si="8"/>
        <v>4</v>
      </c>
      <c r="J55" s="25">
        <f t="shared" si="8"/>
        <v>4</v>
      </c>
      <c r="K55" s="25">
        <f t="shared" si="8"/>
        <v>4</v>
      </c>
      <c r="L55" s="33" t="s">
        <v>139</v>
      </c>
      <c r="M55" s="32" t="s">
        <v>58</v>
      </c>
    </row>
    <row r="56" spans="1:13" s="26" customFormat="1" outlineLevel="2" x14ac:dyDescent="0.25">
      <c r="A56" s="34" t="s">
        <v>178</v>
      </c>
      <c r="B56" s="25">
        <v>1</v>
      </c>
      <c r="C56" s="103" t="s">
        <v>406</v>
      </c>
      <c r="D56" s="10">
        <v>6153</v>
      </c>
      <c r="E56" s="10">
        <v>3</v>
      </c>
      <c r="F56" s="10">
        <v>6</v>
      </c>
      <c r="G56" s="25">
        <v>1</v>
      </c>
      <c r="H56" s="25">
        <v>1</v>
      </c>
      <c r="I56" s="25">
        <v>1</v>
      </c>
      <c r="J56" s="25">
        <v>1</v>
      </c>
      <c r="K56" s="25">
        <v>1</v>
      </c>
      <c r="L56" s="33" t="s">
        <v>139</v>
      </c>
      <c r="M56" s="24">
        <v>14</v>
      </c>
    </row>
    <row r="57" spans="1:13" s="26" customFormat="1" outlineLevel="2" x14ac:dyDescent="0.25">
      <c r="A57" s="23"/>
      <c r="B57" s="25">
        <v>1</v>
      </c>
      <c r="C57" s="103" t="s">
        <v>92</v>
      </c>
      <c r="D57" s="10">
        <v>6160</v>
      </c>
      <c r="E57" s="10">
        <v>12</v>
      </c>
      <c r="F57" s="10">
        <v>17</v>
      </c>
      <c r="G57" s="25">
        <v>1</v>
      </c>
      <c r="H57" s="25">
        <v>1</v>
      </c>
      <c r="I57" s="25">
        <v>1</v>
      </c>
      <c r="J57" s="25">
        <v>1</v>
      </c>
      <c r="K57" s="25">
        <v>1</v>
      </c>
      <c r="L57" s="33" t="s">
        <v>139</v>
      </c>
      <c r="M57" s="24">
        <v>14</v>
      </c>
    </row>
    <row r="58" spans="1:13" s="26" customFormat="1" outlineLevel="2" x14ac:dyDescent="0.25">
      <c r="B58" s="25">
        <v>1</v>
      </c>
      <c r="C58" s="103" t="s">
        <v>122</v>
      </c>
      <c r="D58" s="10">
        <v>6000</v>
      </c>
      <c r="E58" s="10">
        <v>3</v>
      </c>
      <c r="F58" s="10">
        <v>6</v>
      </c>
      <c r="G58" s="25">
        <v>1</v>
      </c>
      <c r="H58" s="25">
        <v>1</v>
      </c>
      <c r="I58" s="25">
        <v>1</v>
      </c>
      <c r="J58" s="25">
        <v>1</v>
      </c>
      <c r="K58" s="25">
        <v>1</v>
      </c>
      <c r="L58" s="33" t="s">
        <v>139</v>
      </c>
      <c r="M58" s="24">
        <v>14</v>
      </c>
    </row>
    <row r="59" spans="1:13" s="26" customFormat="1" outlineLevel="2" x14ac:dyDescent="0.25">
      <c r="B59" s="25">
        <v>1</v>
      </c>
      <c r="C59" s="103" t="s">
        <v>94</v>
      </c>
      <c r="D59" s="10">
        <v>6164</v>
      </c>
      <c r="E59" s="10">
        <v>12</v>
      </c>
      <c r="F59" s="10">
        <v>17</v>
      </c>
      <c r="G59" s="25">
        <v>1</v>
      </c>
      <c r="H59" s="25">
        <v>1</v>
      </c>
      <c r="I59" s="25">
        <v>1</v>
      </c>
      <c r="J59" s="25">
        <v>1</v>
      </c>
      <c r="K59" s="25">
        <v>1</v>
      </c>
      <c r="L59" s="33" t="s">
        <v>139</v>
      </c>
      <c r="M59" s="24">
        <v>14</v>
      </c>
    </row>
    <row r="60" spans="1:13" s="26" customFormat="1" ht="14.25" x14ac:dyDescent="0.2"/>
    <row r="61" spans="1:13" s="26" customFormat="1" x14ac:dyDescent="0.25">
      <c r="A61" s="31" t="s">
        <v>96</v>
      </c>
      <c r="B61" s="25">
        <f>SUM(B62:B65)</f>
        <v>4</v>
      </c>
      <c r="C61" s="32" t="s">
        <v>58</v>
      </c>
      <c r="D61" s="32" t="s">
        <v>58</v>
      </c>
      <c r="E61" s="25">
        <f t="shared" ref="E61:K61" si="9">SUM(E62:E65)</f>
        <v>31</v>
      </c>
      <c r="F61" s="25">
        <f t="shared" si="9"/>
        <v>38</v>
      </c>
      <c r="G61" s="25">
        <f t="shared" si="9"/>
        <v>4</v>
      </c>
      <c r="H61" s="25">
        <f t="shared" si="9"/>
        <v>4</v>
      </c>
      <c r="I61" s="25">
        <f t="shared" si="9"/>
        <v>4</v>
      </c>
      <c r="J61" s="25">
        <f t="shared" si="9"/>
        <v>4</v>
      </c>
      <c r="K61" s="25">
        <f t="shared" si="9"/>
        <v>4</v>
      </c>
      <c r="L61" s="33" t="s">
        <v>46</v>
      </c>
      <c r="M61" s="32" t="s">
        <v>58</v>
      </c>
    </row>
    <row r="62" spans="1:13" s="26" customFormat="1" outlineLevel="2" x14ac:dyDescent="0.25">
      <c r="A62" s="34" t="s">
        <v>97</v>
      </c>
      <c r="B62" s="25">
        <v>1</v>
      </c>
      <c r="C62" s="103" t="s">
        <v>427</v>
      </c>
      <c r="D62" s="10">
        <v>6063</v>
      </c>
      <c r="E62" s="10">
        <v>13</v>
      </c>
      <c r="F62" s="10">
        <v>18</v>
      </c>
      <c r="G62" s="25">
        <v>1</v>
      </c>
      <c r="H62" s="25">
        <v>1</v>
      </c>
      <c r="I62" s="25">
        <v>1</v>
      </c>
      <c r="J62" s="25">
        <v>1</v>
      </c>
      <c r="K62" s="25">
        <v>1</v>
      </c>
      <c r="L62" s="33" t="s">
        <v>46</v>
      </c>
      <c r="M62" s="24">
        <v>14</v>
      </c>
    </row>
    <row r="63" spans="1:13" s="26" customFormat="1" outlineLevel="2" x14ac:dyDescent="0.25">
      <c r="B63" s="25">
        <v>1</v>
      </c>
      <c r="C63" s="103" t="s">
        <v>142</v>
      </c>
      <c r="D63" s="10">
        <v>6090</v>
      </c>
      <c r="E63" s="10">
        <v>5</v>
      </c>
      <c r="F63" s="10">
        <v>0</v>
      </c>
      <c r="G63" s="25">
        <v>1</v>
      </c>
      <c r="H63" s="25">
        <v>1</v>
      </c>
      <c r="I63" s="25">
        <v>1</v>
      </c>
      <c r="J63" s="25">
        <v>1</v>
      </c>
      <c r="K63" s="25">
        <v>1</v>
      </c>
      <c r="L63" s="33" t="s">
        <v>46</v>
      </c>
      <c r="M63" s="24">
        <v>14</v>
      </c>
    </row>
    <row r="64" spans="1:13" s="26" customFormat="1" outlineLevel="2" x14ac:dyDescent="0.25">
      <c r="B64" s="25">
        <v>1</v>
      </c>
      <c r="C64" s="103" t="s">
        <v>104</v>
      </c>
      <c r="D64" s="10">
        <v>6056</v>
      </c>
      <c r="E64" s="10">
        <v>10</v>
      </c>
      <c r="F64" s="10">
        <v>14</v>
      </c>
      <c r="G64" s="25">
        <v>1</v>
      </c>
      <c r="H64" s="25">
        <v>1</v>
      </c>
      <c r="I64" s="25">
        <v>1</v>
      </c>
      <c r="J64" s="25">
        <v>1</v>
      </c>
      <c r="K64" s="25">
        <v>1</v>
      </c>
      <c r="L64" s="33" t="s">
        <v>46</v>
      </c>
      <c r="M64" s="24">
        <v>14</v>
      </c>
    </row>
    <row r="65" spans="1:13" s="26" customFormat="1" outlineLevel="2" x14ac:dyDescent="0.25">
      <c r="B65" s="25">
        <v>1</v>
      </c>
      <c r="C65" s="103" t="s">
        <v>122</v>
      </c>
      <c r="D65" s="10">
        <v>6000</v>
      </c>
      <c r="E65" s="10">
        <v>3</v>
      </c>
      <c r="F65" s="10">
        <v>6</v>
      </c>
      <c r="G65" s="25">
        <v>1</v>
      </c>
      <c r="H65" s="25">
        <v>1</v>
      </c>
      <c r="I65" s="25">
        <v>1</v>
      </c>
      <c r="J65" s="25">
        <v>1</v>
      </c>
      <c r="K65" s="25">
        <v>1</v>
      </c>
      <c r="L65" s="33" t="s">
        <v>46</v>
      </c>
      <c r="M65" s="24">
        <v>14</v>
      </c>
    </row>
    <row r="66" spans="1:13" s="26" customFormat="1" ht="14.25" x14ac:dyDescent="0.2"/>
    <row r="67" spans="1:13" s="26" customFormat="1" x14ac:dyDescent="0.25">
      <c r="A67" s="31" t="s">
        <v>109</v>
      </c>
      <c r="B67" s="25">
        <f>SUM(B68:B76)</f>
        <v>9</v>
      </c>
      <c r="C67" s="32" t="s">
        <v>58</v>
      </c>
      <c r="D67" s="32" t="s">
        <v>58</v>
      </c>
      <c r="E67" s="25">
        <f t="shared" ref="E67:K67" si="10">SUM(E68:E76)</f>
        <v>51</v>
      </c>
      <c r="F67" s="25">
        <f t="shared" si="10"/>
        <v>66</v>
      </c>
      <c r="G67" s="25">
        <f t="shared" si="10"/>
        <v>9</v>
      </c>
      <c r="H67" s="25">
        <f t="shared" si="10"/>
        <v>9</v>
      </c>
      <c r="I67" s="25">
        <f t="shared" si="10"/>
        <v>9</v>
      </c>
      <c r="J67" s="25">
        <f t="shared" si="10"/>
        <v>9</v>
      </c>
      <c r="K67" s="25">
        <f t="shared" si="10"/>
        <v>9</v>
      </c>
      <c r="L67" s="33" t="s">
        <v>46</v>
      </c>
      <c r="M67" s="32" t="s">
        <v>58</v>
      </c>
    </row>
    <row r="68" spans="1:13" s="26" customFormat="1" outlineLevel="2" x14ac:dyDescent="0.25">
      <c r="A68" s="34" t="s">
        <v>112</v>
      </c>
      <c r="B68" s="25">
        <v>1</v>
      </c>
      <c r="C68" s="103" t="s">
        <v>428</v>
      </c>
      <c r="D68" s="10">
        <v>6028</v>
      </c>
      <c r="E68" s="10">
        <v>10</v>
      </c>
      <c r="F68" s="10">
        <v>14</v>
      </c>
      <c r="G68" s="25">
        <v>1</v>
      </c>
      <c r="H68" s="25">
        <v>1</v>
      </c>
      <c r="I68" s="25">
        <v>1</v>
      </c>
      <c r="J68" s="25">
        <v>1</v>
      </c>
      <c r="K68" s="25">
        <v>1</v>
      </c>
      <c r="L68" s="33" t="s">
        <v>46</v>
      </c>
      <c r="M68" s="24">
        <v>14</v>
      </c>
    </row>
    <row r="69" spans="1:13" s="26" customFormat="1" outlineLevel="2" x14ac:dyDescent="0.25">
      <c r="B69" s="25">
        <v>1</v>
      </c>
      <c r="C69" s="103" t="s">
        <v>359</v>
      </c>
      <c r="D69" s="10">
        <v>6023</v>
      </c>
      <c r="E69" s="10">
        <v>6</v>
      </c>
      <c r="F69" s="10">
        <v>0</v>
      </c>
      <c r="G69" s="25">
        <v>1</v>
      </c>
      <c r="H69" s="25">
        <v>1</v>
      </c>
      <c r="I69" s="25">
        <v>1</v>
      </c>
      <c r="J69" s="25">
        <v>1</v>
      </c>
      <c r="K69" s="25">
        <v>1</v>
      </c>
      <c r="L69" s="33" t="s">
        <v>46</v>
      </c>
      <c r="M69" s="24">
        <v>14</v>
      </c>
    </row>
    <row r="70" spans="1:13" s="26" customFormat="1" outlineLevel="2" x14ac:dyDescent="0.25">
      <c r="B70" s="25">
        <v>1</v>
      </c>
      <c r="C70" s="103" t="s">
        <v>110</v>
      </c>
      <c r="D70" s="10">
        <v>6027</v>
      </c>
      <c r="E70" s="10">
        <v>11</v>
      </c>
      <c r="F70" s="10">
        <v>15</v>
      </c>
      <c r="G70" s="25">
        <v>1</v>
      </c>
      <c r="H70" s="25">
        <v>1</v>
      </c>
      <c r="I70" s="25">
        <v>1</v>
      </c>
      <c r="J70" s="25">
        <v>1</v>
      </c>
      <c r="K70" s="25">
        <v>1</v>
      </c>
      <c r="L70" s="33" t="s">
        <v>46</v>
      </c>
      <c r="M70" s="24">
        <v>14</v>
      </c>
    </row>
    <row r="71" spans="1:13" s="26" customFormat="1" outlineLevel="2" x14ac:dyDescent="0.25">
      <c r="B71" s="25">
        <v>1</v>
      </c>
      <c r="C71" s="103" t="s">
        <v>381</v>
      </c>
      <c r="D71" s="10">
        <v>6030</v>
      </c>
      <c r="E71" s="10">
        <v>3</v>
      </c>
      <c r="F71" s="10">
        <v>6</v>
      </c>
      <c r="G71" s="25">
        <v>1</v>
      </c>
      <c r="H71" s="25">
        <v>1</v>
      </c>
      <c r="I71" s="25">
        <v>1</v>
      </c>
      <c r="J71" s="25">
        <v>1</v>
      </c>
      <c r="K71" s="25">
        <v>1</v>
      </c>
      <c r="L71" s="33" t="s">
        <v>46</v>
      </c>
      <c r="M71" s="24">
        <v>14</v>
      </c>
    </row>
    <row r="72" spans="1:13" s="26" customFormat="1" outlineLevel="2" x14ac:dyDescent="0.25">
      <c r="B72" s="25">
        <v>1</v>
      </c>
      <c r="C72" s="103" t="s">
        <v>393</v>
      </c>
      <c r="D72" s="10">
        <v>6017</v>
      </c>
      <c r="E72" s="10">
        <v>3</v>
      </c>
      <c r="F72" s="10">
        <v>0</v>
      </c>
      <c r="G72" s="25">
        <v>1</v>
      </c>
      <c r="H72" s="25">
        <v>1</v>
      </c>
      <c r="I72" s="25">
        <v>1</v>
      </c>
      <c r="J72" s="25">
        <v>1</v>
      </c>
      <c r="K72" s="25">
        <v>1</v>
      </c>
      <c r="L72" s="33" t="s">
        <v>46</v>
      </c>
      <c r="M72" s="24">
        <v>14</v>
      </c>
    </row>
    <row r="73" spans="1:13" s="26" customFormat="1" outlineLevel="2" x14ac:dyDescent="0.25">
      <c r="B73" s="25">
        <v>1</v>
      </c>
      <c r="C73" s="103" t="s">
        <v>122</v>
      </c>
      <c r="D73" s="10">
        <v>6000</v>
      </c>
      <c r="E73" s="10">
        <v>3</v>
      </c>
      <c r="F73" s="10">
        <v>6</v>
      </c>
      <c r="G73" s="25">
        <v>1</v>
      </c>
      <c r="H73" s="25">
        <v>1</v>
      </c>
      <c r="I73" s="25">
        <v>1</v>
      </c>
      <c r="J73" s="25">
        <v>1</v>
      </c>
      <c r="K73" s="25">
        <v>1</v>
      </c>
      <c r="L73" s="33" t="s">
        <v>46</v>
      </c>
      <c r="M73" s="24">
        <v>14</v>
      </c>
    </row>
    <row r="74" spans="1:13" s="26" customFormat="1" outlineLevel="2" x14ac:dyDescent="0.25">
      <c r="A74" s="23"/>
      <c r="B74" s="25">
        <v>1</v>
      </c>
      <c r="C74" s="103" t="s">
        <v>425</v>
      </c>
      <c r="D74" s="10">
        <v>6065</v>
      </c>
      <c r="E74" s="10">
        <v>5</v>
      </c>
      <c r="F74" s="10">
        <v>8</v>
      </c>
      <c r="G74" s="25">
        <v>1</v>
      </c>
      <c r="H74" s="25">
        <v>1</v>
      </c>
      <c r="I74" s="25">
        <v>1</v>
      </c>
      <c r="J74" s="25">
        <v>1</v>
      </c>
      <c r="K74" s="25">
        <v>1</v>
      </c>
      <c r="L74" s="33" t="s">
        <v>46</v>
      </c>
      <c r="M74" s="24">
        <v>14</v>
      </c>
    </row>
    <row r="75" spans="1:13" s="26" customFormat="1" outlineLevel="2" x14ac:dyDescent="0.25">
      <c r="B75" s="25">
        <v>1</v>
      </c>
      <c r="C75" s="103" t="s">
        <v>62</v>
      </c>
      <c r="D75" s="10">
        <v>6065</v>
      </c>
      <c r="E75" s="10">
        <v>3</v>
      </c>
      <c r="F75" s="10">
        <v>6</v>
      </c>
      <c r="G75" s="25">
        <v>1</v>
      </c>
      <c r="H75" s="25">
        <v>1</v>
      </c>
      <c r="I75" s="25">
        <v>1</v>
      </c>
      <c r="J75" s="25">
        <v>1</v>
      </c>
      <c r="K75" s="25">
        <v>1</v>
      </c>
      <c r="L75" s="33" t="s">
        <v>46</v>
      </c>
      <c r="M75" s="24">
        <v>14</v>
      </c>
    </row>
    <row r="76" spans="1:13" s="26" customFormat="1" outlineLevel="2" x14ac:dyDescent="0.25">
      <c r="B76" s="25">
        <v>1</v>
      </c>
      <c r="C76" s="103" t="s">
        <v>426</v>
      </c>
      <c r="D76" s="10">
        <v>6024</v>
      </c>
      <c r="E76" s="10">
        <v>7</v>
      </c>
      <c r="F76" s="10">
        <v>11</v>
      </c>
      <c r="G76" s="25">
        <v>1</v>
      </c>
      <c r="H76" s="25">
        <v>1</v>
      </c>
      <c r="I76" s="25">
        <v>1</v>
      </c>
      <c r="J76" s="25">
        <v>1</v>
      </c>
      <c r="K76" s="25">
        <v>1</v>
      </c>
      <c r="L76" s="33" t="s">
        <v>46</v>
      </c>
      <c r="M76" s="24">
        <v>14</v>
      </c>
    </row>
    <row r="77" spans="1:13" s="26" customFormat="1" ht="14.25" x14ac:dyDescent="0.2"/>
    <row r="78" spans="1:13" s="26" customFormat="1" x14ac:dyDescent="0.25">
      <c r="A78" s="31" t="s">
        <v>113</v>
      </c>
      <c r="B78" s="25">
        <f>SUM(B79:B79)</f>
        <v>1</v>
      </c>
      <c r="C78" s="32" t="s">
        <v>58</v>
      </c>
      <c r="D78" s="32" t="s">
        <v>58</v>
      </c>
      <c r="E78" s="25">
        <f t="shared" ref="E78:K78" si="11">SUM(E79:E79)</f>
        <v>13</v>
      </c>
      <c r="F78" s="25">
        <f t="shared" si="11"/>
        <v>18</v>
      </c>
      <c r="G78" s="25">
        <f t="shared" si="11"/>
        <v>1</v>
      </c>
      <c r="H78" s="25">
        <f t="shared" si="11"/>
        <v>1</v>
      </c>
      <c r="I78" s="25">
        <f t="shared" si="11"/>
        <v>1</v>
      </c>
      <c r="J78" s="25">
        <f t="shared" si="11"/>
        <v>1</v>
      </c>
      <c r="K78" s="25">
        <f t="shared" si="11"/>
        <v>1</v>
      </c>
      <c r="L78" s="33" t="s">
        <v>138</v>
      </c>
      <c r="M78" s="32" t="s">
        <v>58</v>
      </c>
    </row>
    <row r="79" spans="1:13" s="26" customFormat="1" outlineLevel="1" x14ac:dyDescent="0.25">
      <c r="A79" s="34" t="s">
        <v>116</v>
      </c>
      <c r="B79" s="25">
        <v>1</v>
      </c>
      <c r="C79" s="103" t="s">
        <v>114</v>
      </c>
      <c r="D79" s="10">
        <v>6330</v>
      </c>
      <c r="E79" s="10">
        <v>13</v>
      </c>
      <c r="F79" s="10">
        <v>18</v>
      </c>
      <c r="G79" s="25">
        <v>1</v>
      </c>
      <c r="H79" s="25">
        <v>1</v>
      </c>
      <c r="I79" s="25">
        <v>1</v>
      </c>
      <c r="J79" s="25">
        <v>1</v>
      </c>
      <c r="K79" s="25">
        <v>1</v>
      </c>
      <c r="L79" s="33" t="s">
        <v>138</v>
      </c>
      <c r="M79" s="24">
        <v>14</v>
      </c>
    </row>
    <row r="80" spans="1:13" s="26" customFormat="1" ht="14.25" x14ac:dyDescent="0.2"/>
    <row r="81" spans="1:13" s="26" customFormat="1" x14ac:dyDescent="0.25">
      <c r="A81" s="31" t="s">
        <v>117</v>
      </c>
      <c r="B81" s="25">
        <f>SUM(B82:B89)</f>
        <v>8</v>
      </c>
      <c r="C81" s="32" t="s">
        <v>58</v>
      </c>
      <c r="D81" s="32" t="s">
        <v>58</v>
      </c>
      <c r="E81" s="25">
        <f t="shared" ref="E81:K81" si="12">SUM(E82:E89)</f>
        <v>55</v>
      </c>
      <c r="F81" s="25">
        <f t="shared" si="12"/>
        <v>84</v>
      </c>
      <c r="G81" s="25">
        <f t="shared" si="12"/>
        <v>8</v>
      </c>
      <c r="H81" s="25">
        <f t="shared" si="12"/>
        <v>8</v>
      </c>
      <c r="I81" s="25">
        <f t="shared" si="12"/>
        <v>8</v>
      </c>
      <c r="J81" s="25">
        <f t="shared" si="12"/>
        <v>8</v>
      </c>
      <c r="K81" s="25">
        <f t="shared" si="12"/>
        <v>8</v>
      </c>
      <c r="L81" s="33" t="s">
        <v>46</v>
      </c>
      <c r="M81" s="32" t="s">
        <v>58</v>
      </c>
    </row>
    <row r="82" spans="1:13" s="26" customFormat="1" outlineLevel="1" x14ac:dyDescent="0.25">
      <c r="A82" s="34" t="s">
        <v>121</v>
      </c>
      <c r="B82" s="25">
        <v>1</v>
      </c>
      <c r="C82" s="103" t="s">
        <v>428</v>
      </c>
      <c r="D82" s="10">
        <v>6028</v>
      </c>
      <c r="E82" s="10">
        <v>7</v>
      </c>
      <c r="F82" s="10">
        <v>10</v>
      </c>
      <c r="G82" s="25">
        <v>1</v>
      </c>
      <c r="H82" s="25">
        <v>1</v>
      </c>
      <c r="I82" s="25">
        <v>1</v>
      </c>
      <c r="J82" s="25">
        <v>1</v>
      </c>
      <c r="K82" s="25">
        <v>1</v>
      </c>
      <c r="L82" s="33" t="s">
        <v>46</v>
      </c>
      <c r="M82" s="24">
        <v>14</v>
      </c>
    </row>
    <row r="83" spans="1:13" s="26" customFormat="1" outlineLevel="1" x14ac:dyDescent="0.25">
      <c r="B83" s="25">
        <v>1</v>
      </c>
      <c r="C83" s="103" t="s">
        <v>429</v>
      </c>
      <c r="D83" s="10">
        <v>6036</v>
      </c>
      <c r="E83" s="10">
        <v>10</v>
      </c>
      <c r="F83" s="10">
        <v>15</v>
      </c>
      <c r="G83" s="25">
        <v>1</v>
      </c>
      <c r="H83" s="25">
        <v>1</v>
      </c>
      <c r="I83" s="25">
        <v>1</v>
      </c>
      <c r="J83" s="25">
        <v>1</v>
      </c>
      <c r="K83" s="25">
        <v>1</v>
      </c>
      <c r="L83" s="33" t="s">
        <v>46</v>
      </c>
      <c r="M83" s="24">
        <v>14</v>
      </c>
    </row>
    <row r="84" spans="1:13" s="26" customFormat="1" outlineLevel="1" x14ac:dyDescent="0.25">
      <c r="B84" s="25">
        <v>1</v>
      </c>
      <c r="C84" s="103" t="s">
        <v>110</v>
      </c>
      <c r="D84" s="10">
        <v>6027</v>
      </c>
      <c r="E84" s="10">
        <v>5</v>
      </c>
      <c r="F84" s="10">
        <v>8</v>
      </c>
      <c r="G84" s="25">
        <v>1</v>
      </c>
      <c r="H84" s="25">
        <v>1</v>
      </c>
      <c r="I84" s="25">
        <v>1</v>
      </c>
      <c r="J84" s="25">
        <v>1</v>
      </c>
      <c r="K84" s="25">
        <v>1</v>
      </c>
      <c r="L84" s="33" t="s">
        <v>46</v>
      </c>
      <c r="M84" s="24">
        <v>14</v>
      </c>
    </row>
    <row r="85" spans="1:13" s="26" customFormat="1" outlineLevel="1" x14ac:dyDescent="0.25">
      <c r="B85" s="25">
        <v>1</v>
      </c>
      <c r="C85" s="103" t="s">
        <v>381</v>
      </c>
      <c r="D85" s="10">
        <v>6030</v>
      </c>
      <c r="E85" s="10">
        <v>8</v>
      </c>
      <c r="F85" s="10">
        <v>12</v>
      </c>
      <c r="G85" s="25">
        <v>1</v>
      </c>
      <c r="H85" s="25">
        <v>1</v>
      </c>
      <c r="I85" s="25">
        <v>1</v>
      </c>
      <c r="J85" s="25">
        <v>1</v>
      </c>
      <c r="K85" s="25">
        <v>1</v>
      </c>
      <c r="L85" s="33" t="s">
        <v>46</v>
      </c>
      <c r="M85" s="24">
        <v>14</v>
      </c>
    </row>
    <row r="86" spans="1:13" s="26" customFormat="1" outlineLevel="1" x14ac:dyDescent="0.25">
      <c r="B86" s="25">
        <v>1</v>
      </c>
      <c r="C86" s="103" t="s">
        <v>122</v>
      </c>
      <c r="D86" s="10">
        <v>6000</v>
      </c>
      <c r="E86" s="10">
        <v>3</v>
      </c>
      <c r="F86" s="10">
        <v>6</v>
      </c>
      <c r="G86" s="25">
        <v>1</v>
      </c>
      <c r="H86" s="25">
        <v>1</v>
      </c>
      <c r="I86" s="25">
        <v>1</v>
      </c>
      <c r="J86" s="25">
        <v>1</v>
      </c>
      <c r="K86" s="25">
        <v>1</v>
      </c>
      <c r="L86" s="33" t="s">
        <v>46</v>
      </c>
      <c r="M86" s="24">
        <v>14</v>
      </c>
    </row>
    <row r="87" spans="1:13" s="26" customFormat="1" outlineLevel="1" x14ac:dyDescent="0.25">
      <c r="B87" s="25">
        <v>1</v>
      </c>
      <c r="C87" s="103" t="s">
        <v>430</v>
      </c>
      <c r="D87" s="10">
        <v>6037</v>
      </c>
      <c r="E87" s="10">
        <v>6</v>
      </c>
      <c r="F87" s="10">
        <v>9</v>
      </c>
      <c r="G87" s="25">
        <v>1</v>
      </c>
      <c r="H87" s="25">
        <v>1</v>
      </c>
      <c r="I87" s="25">
        <v>1</v>
      </c>
      <c r="J87" s="25">
        <v>1</v>
      </c>
      <c r="K87" s="25">
        <v>1</v>
      </c>
      <c r="L87" s="33" t="s">
        <v>46</v>
      </c>
      <c r="M87" s="24">
        <v>14</v>
      </c>
    </row>
    <row r="88" spans="1:13" s="26" customFormat="1" outlineLevel="1" x14ac:dyDescent="0.25">
      <c r="B88" s="25">
        <v>1</v>
      </c>
      <c r="C88" s="103" t="s">
        <v>425</v>
      </c>
      <c r="D88" s="10">
        <v>6065</v>
      </c>
      <c r="E88" s="10">
        <v>5</v>
      </c>
      <c r="F88" s="10">
        <v>8</v>
      </c>
      <c r="G88" s="25">
        <v>1</v>
      </c>
      <c r="H88" s="25">
        <v>1</v>
      </c>
      <c r="I88" s="25">
        <v>1</v>
      </c>
      <c r="J88" s="25">
        <v>1</v>
      </c>
      <c r="K88" s="25">
        <v>1</v>
      </c>
      <c r="L88" s="33" t="s">
        <v>46</v>
      </c>
      <c r="M88" s="24">
        <v>14</v>
      </c>
    </row>
    <row r="89" spans="1:13" s="26" customFormat="1" outlineLevel="1" x14ac:dyDescent="0.25">
      <c r="A89" s="23"/>
      <c r="B89" s="25">
        <v>1</v>
      </c>
      <c r="C89" s="103" t="s">
        <v>62</v>
      </c>
      <c r="D89" s="10">
        <v>6065</v>
      </c>
      <c r="E89" s="10">
        <v>11</v>
      </c>
      <c r="F89" s="10">
        <v>16</v>
      </c>
      <c r="G89" s="25">
        <v>1</v>
      </c>
      <c r="H89" s="25">
        <v>1</v>
      </c>
      <c r="I89" s="25">
        <v>1</v>
      </c>
      <c r="J89" s="25">
        <v>1</v>
      </c>
      <c r="K89" s="25">
        <v>1</v>
      </c>
      <c r="L89" s="33" t="s">
        <v>46</v>
      </c>
      <c r="M89" s="24">
        <v>14</v>
      </c>
    </row>
    <row r="90" spans="1:13" s="26" customFormat="1" ht="14.25" x14ac:dyDescent="0.2"/>
    <row r="91" spans="1:13" s="26" customFormat="1" x14ac:dyDescent="0.25">
      <c r="A91" s="31" t="s">
        <v>122</v>
      </c>
      <c r="B91" s="25">
        <f>SUM(B92:B95)</f>
        <v>4</v>
      </c>
      <c r="C91" s="32" t="s">
        <v>58</v>
      </c>
      <c r="D91" s="32" t="s">
        <v>58</v>
      </c>
      <c r="E91" s="25">
        <f t="shared" ref="E91:K91" si="13">SUM(E92:E95)</f>
        <v>26</v>
      </c>
      <c r="F91" s="25">
        <f t="shared" si="13"/>
        <v>29</v>
      </c>
      <c r="G91" s="25">
        <f t="shared" si="13"/>
        <v>4</v>
      </c>
      <c r="H91" s="25">
        <f t="shared" si="13"/>
        <v>4</v>
      </c>
      <c r="I91" s="25">
        <f t="shared" si="13"/>
        <v>4</v>
      </c>
      <c r="J91" s="25">
        <f t="shared" si="13"/>
        <v>4</v>
      </c>
      <c r="K91" s="25">
        <f t="shared" si="13"/>
        <v>4</v>
      </c>
      <c r="L91" s="33" t="s">
        <v>139</v>
      </c>
      <c r="M91" s="32" t="s">
        <v>58</v>
      </c>
    </row>
    <row r="92" spans="1:13" s="26" customFormat="1" outlineLevel="1" x14ac:dyDescent="0.25">
      <c r="A92" s="34" t="s">
        <v>179</v>
      </c>
      <c r="B92" s="25">
        <v>1</v>
      </c>
      <c r="C92" s="103" t="s">
        <v>393</v>
      </c>
      <c r="D92" s="10">
        <v>6017</v>
      </c>
      <c r="E92" s="10">
        <v>7</v>
      </c>
      <c r="F92" s="10">
        <v>0</v>
      </c>
      <c r="G92" s="25">
        <v>1</v>
      </c>
      <c r="H92" s="25">
        <v>1</v>
      </c>
      <c r="I92" s="25">
        <v>1</v>
      </c>
      <c r="J92" s="25">
        <v>1</v>
      </c>
      <c r="K92" s="25">
        <v>1</v>
      </c>
      <c r="L92" s="33" t="s">
        <v>139</v>
      </c>
      <c r="M92" s="24">
        <v>14</v>
      </c>
    </row>
    <row r="93" spans="1:13" s="26" customFormat="1" outlineLevel="1" x14ac:dyDescent="0.25">
      <c r="B93" s="25">
        <v>1</v>
      </c>
      <c r="C93" s="103" t="s">
        <v>122</v>
      </c>
      <c r="D93" s="10">
        <v>6000</v>
      </c>
      <c r="E93" s="10">
        <v>11</v>
      </c>
      <c r="F93" s="10">
        <v>15</v>
      </c>
      <c r="G93" s="25">
        <v>1</v>
      </c>
      <c r="H93" s="25">
        <v>1</v>
      </c>
      <c r="I93" s="25">
        <v>1</v>
      </c>
      <c r="J93" s="25">
        <v>1</v>
      </c>
      <c r="K93" s="25">
        <v>1</v>
      </c>
      <c r="L93" s="33" t="s">
        <v>139</v>
      </c>
      <c r="M93" s="24">
        <v>14</v>
      </c>
    </row>
    <row r="94" spans="1:13" s="26" customFormat="1" outlineLevel="1" x14ac:dyDescent="0.25">
      <c r="B94" s="25">
        <v>1</v>
      </c>
      <c r="C94" s="103" t="s">
        <v>76</v>
      </c>
      <c r="D94" s="10">
        <v>6008</v>
      </c>
      <c r="E94" s="10">
        <v>5</v>
      </c>
      <c r="F94" s="10">
        <v>8</v>
      </c>
      <c r="G94" s="25">
        <v>1</v>
      </c>
      <c r="H94" s="25">
        <v>1</v>
      </c>
      <c r="I94" s="25">
        <v>1</v>
      </c>
      <c r="J94" s="25">
        <v>1</v>
      </c>
      <c r="K94" s="25">
        <v>1</v>
      </c>
      <c r="L94" s="33" t="s">
        <v>139</v>
      </c>
      <c r="M94" s="24">
        <v>14</v>
      </c>
    </row>
    <row r="95" spans="1:13" s="26" customFormat="1" outlineLevel="1" x14ac:dyDescent="0.25">
      <c r="B95" s="25">
        <v>1</v>
      </c>
      <c r="C95" s="103" t="s">
        <v>426</v>
      </c>
      <c r="D95" s="10">
        <v>6024</v>
      </c>
      <c r="E95" s="10">
        <v>3</v>
      </c>
      <c r="F95" s="10">
        <v>6</v>
      </c>
      <c r="G95" s="25">
        <v>1</v>
      </c>
      <c r="H95" s="25">
        <v>1</v>
      </c>
      <c r="I95" s="25">
        <v>1</v>
      </c>
      <c r="J95" s="25">
        <v>1</v>
      </c>
      <c r="K95" s="25">
        <v>1</v>
      </c>
      <c r="L95" s="33" t="s">
        <v>139</v>
      </c>
      <c r="M95" s="24">
        <v>14</v>
      </c>
    </row>
    <row r="96" spans="1:13" s="26" customFormat="1" ht="14.25" x14ac:dyDescent="0.2"/>
    <row r="97" spans="1:13" s="26" customFormat="1" x14ac:dyDescent="0.25">
      <c r="A97" s="31" t="s">
        <v>129</v>
      </c>
      <c r="B97" s="25">
        <f>SUM(B98:B101)</f>
        <v>4</v>
      </c>
      <c r="C97" s="32" t="s">
        <v>58</v>
      </c>
      <c r="D97" s="32" t="s">
        <v>58</v>
      </c>
      <c r="E97" s="25">
        <f t="shared" ref="E97:K97" si="14">SUM(E98:E101)</f>
        <v>22</v>
      </c>
      <c r="F97" s="25">
        <f t="shared" si="14"/>
        <v>24</v>
      </c>
      <c r="G97" s="25">
        <f t="shared" si="14"/>
        <v>4</v>
      </c>
      <c r="H97" s="25">
        <f t="shared" si="14"/>
        <v>4</v>
      </c>
      <c r="I97" s="25">
        <f t="shared" si="14"/>
        <v>4</v>
      </c>
      <c r="J97" s="25">
        <f t="shared" si="14"/>
        <v>4</v>
      </c>
      <c r="K97" s="25">
        <f t="shared" si="14"/>
        <v>4</v>
      </c>
      <c r="L97" s="35" t="s">
        <v>139</v>
      </c>
      <c r="M97" s="32" t="s">
        <v>58</v>
      </c>
    </row>
    <row r="98" spans="1:13" s="26" customFormat="1" outlineLevel="1" x14ac:dyDescent="0.25">
      <c r="A98" s="34" t="s">
        <v>130</v>
      </c>
      <c r="B98" s="25">
        <v>1</v>
      </c>
      <c r="C98" s="103" t="s">
        <v>406</v>
      </c>
      <c r="D98" s="10">
        <v>6153</v>
      </c>
      <c r="E98" s="10">
        <v>6</v>
      </c>
      <c r="F98" s="10">
        <v>9</v>
      </c>
      <c r="G98" s="25">
        <v>1</v>
      </c>
      <c r="H98" s="25">
        <v>1</v>
      </c>
      <c r="I98" s="25">
        <v>1</v>
      </c>
      <c r="J98" s="25">
        <v>1</v>
      </c>
      <c r="K98" s="25">
        <v>1</v>
      </c>
      <c r="L98" s="35" t="s">
        <v>139</v>
      </c>
      <c r="M98" s="24">
        <v>14</v>
      </c>
    </row>
    <row r="99" spans="1:13" s="26" customFormat="1" outlineLevel="1" x14ac:dyDescent="0.25">
      <c r="B99" s="25">
        <v>1</v>
      </c>
      <c r="C99" s="103" t="s">
        <v>132</v>
      </c>
      <c r="D99" s="10">
        <v>6102</v>
      </c>
      <c r="E99" s="10">
        <v>4</v>
      </c>
      <c r="F99" s="10">
        <v>0</v>
      </c>
      <c r="G99" s="25">
        <v>1</v>
      </c>
      <c r="H99" s="25">
        <v>1</v>
      </c>
      <c r="I99" s="25">
        <v>1</v>
      </c>
      <c r="J99" s="25">
        <v>1</v>
      </c>
      <c r="K99" s="25">
        <v>1</v>
      </c>
      <c r="L99" s="35" t="s">
        <v>139</v>
      </c>
      <c r="M99" s="24">
        <v>14</v>
      </c>
    </row>
    <row r="100" spans="1:13" s="26" customFormat="1" outlineLevel="1" x14ac:dyDescent="0.25">
      <c r="B100" s="25">
        <v>1</v>
      </c>
      <c r="C100" s="103" t="s">
        <v>400</v>
      </c>
      <c r="D100" s="10">
        <v>6100</v>
      </c>
      <c r="E100" s="10">
        <v>8</v>
      </c>
      <c r="F100" s="10">
        <v>8</v>
      </c>
      <c r="G100" s="25">
        <v>1</v>
      </c>
      <c r="H100" s="25">
        <v>1</v>
      </c>
      <c r="I100" s="25">
        <v>1</v>
      </c>
      <c r="J100" s="25">
        <v>1</v>
      </c>
      <c r="K100" s="25">
        <v>1</v>
      </c>
      <c r="L100" s="35" t="s">
        <v>139</v>
      </c>
      <c r="M100" s="24">
        <v>14</v>
      </c>
    </row>
    <row r="101" spans="1:13" s="26" customFormat="1" outlineLevel="1" x14ac:dyDescent="0.25">
      <c r="B101" s="25">
        <v>1</v>
      </c>
      <c r="C101" s="103" t="s">
        <v>122</v>
      </c>
      <c r="D101" s="10">
        <v>6000</v>
      </c>
      <c r="E101" s="10">
        <v>4</v>
      </c>
      <c r="F101" s="10">
        <v>7</v>
      </c>
      <c r="G101" s="25">
        <v>1</v>
      </c>
      <c r="H101" s="25">
        <v>1</v>
      </c>
      <c r="I101" s="25">
        <v>1</v>
      </c>
      <c r="J101" s="25">
        <v>1</v>
      </c>
      <c r="K101" s="25">
        <v>1</v>
      </c>
      <c r="L101" s="35" t="s">
        <v>139</v>
      </c>
      <c r="M101" s="24">
        <v>14</v>
      </c>
    </row>
    <row r="102" spans="1:13" s="26" customFormat="1" ht="14.25" x14ac:dyDescent="0.2"/>
    <row r="103" spans="1:13" s="26" customFormat="1" x14ac:dyDescent="0.25">
      <c r="A103" s="31" t="s">
        <v>136</v>
      </c>
      <c r="B103" s="25">
        <f>SUM(B104:B108)</f>
        <v>5</v>
      </c>
      <c r="C103" s="32" t="s">
        <v>58</v>
      </c>
      <c r="D103" s="32" t="s">
        <v>58</v>
      </c>
      <c r="E103" s="25">
        <f t="shared" ref="E103:K103" si="15">SUM(E104:E108)</f>
        <v>28</v>
      </c>
      <c r="F103" s="25">
        <f t="shared" si="15"/>
        <v>45</v>
      </c>
      <c r="G103" s="25">
        <f t="shared" si="15"/>
        <v>5</v>
      </c>
      <c r="H103" s="25">
        <f t="shared" si="15"/>
        <v>5</v>
      </c>
      <c r="I103" s="25">
        <f t="shared" si="15"/>
        <v>5</v>
      </c>
      <c r="J103" s="25">
        <f t="shared" si="15"/>
        <v>5</v>
      </c>
      <c r="K103" s="25">
        <f t="shared" si="15"/>
        <v>5</v>
      </c>
      <c r="L103" s="33" t="s">
        <v>139</v>
      </c>
      <c r="M103" s="32" t="s">
        <v>58</v>
      </c>
    </row>
    <row r="104" spans="1:13" s="26" customFormat="1" outlineLevel="1" x14ac:dyDescent="0.25">
      <c r="A104" s="34" t="s">
        <v>137</v>
      </c>
      <c r="B104" s="25">
        <v>1</v>
      </c>
      <c r="C104" s="103" t="s">
        <v>406</v>
      </c>
      <c r="D104" s="10">
        <v>6153</v>
      </c>
      <c r="E104" s="10">
        <v>11</v>
      </c>
      <c r="F104" s="10">
        <v>16</v>
      </c>
      <c r="G104" s="25">
        <v>1</v>
      </c>
      <c r="H104" s="25">
        <v>1</v>
      </c>
      <c r="I104" s="25">
        <v>1</v>
      </c>
      <c r="J104" s="25">
        <v>1</v>
      </c>
      <c r="K104" s="25">
        <v>1</v>
      </c>
      <c r="L104" s="33" t="s">
        <v>139</v>
      </c>
      <c r="M104" s="24">
        <v>14</v>
      </c>
    </row>
    <row r="105" spans="1:13" s="26" customFormat="1" outlineLevel="1" x14ac:dyDescent="0.25">
      <c r="B105" s="25">
        <v>1</v>
      </c>
      <c r="C105" s="103" t="s">
        <v>92</v>
      </c>
      <c r="D105" s="10">
        <v>6160</v>
      </c>
      <c r="E105" s="10">
        <v>3</v>
      </c>
      <c r="F105" s="10">
        <v>6</v>
      </c>
      <c r="G105" s="25">
        <v>1</v>
      </c>
      <c r="H105" s="25">
        <v>1</v>
      </c>
      <c r="I105" s="25">
        <v>1</v>
      </c>
      <c r="J105" s="25">
        <v>1</v>
      </c>
      <c r="K105" s="25">
        <v>1</v>
      </c>
      <c r="L105" s="33" t="s">
        <v>139</v>
      </c>
      <c r="M105" s="24">
        <v>14</v>
      </c>
    </row>
    <row r="106" spans="1:13" s="26" customFormat="1" outlineLevel="1" x14ac:dyDescent="0.25">
      <c r="B106" s="25">
        <v>1</v>
      </c>
      <c r="C106" s="103" t="s">
        <v>122</v>
      </c>
      <c r="D106" s="10">
        <v>6000</v>
      </c>
      <c r="E106" s="10">
        <v>4</v>
      </c>
      <c r="F106" s="10">
        <v>7</v>
      </c>
      <c r="G106" s="25">
        <v>1</v>
      </c>
      <c r="H106" s="25">
        <v>1</v>
      </c>
      <c r="I106" s="25">
        <v>1</v>
      </c>
      <c r="J106" s="25">
        <v>1</v>
      </c>
      <c r="K106" s="25">
        <v>1</v>
      </c>
      <c r="L106" s="33" t="s">
        <v>139</v>
      </c>
      <c r="M106" s="24">
        <v>14</v>
      </c>
    </row>
    <row r="107" spans="1:13" s="26" customFormat="1" outlineLevel="1" x14ac:dyDescent="0.25">
      <c r="B107" s="25">
        <v>1</v>
      </c>
      <c r="C107" s="103" t="s">
        <v>50</v>
      </c>
      <c r="D107" s="10">
        <v>6110</v>
      </c>
      <c r="E107" s="10">
        <v>7</v>
      </c>
      <c r="F107" s="10">
        <v>10</v>
      </c>
      <c r="G107" s="25">
        <v>1</v>
      </c>
      <c r="H107" s="25">
        <v>1</v>
      </c>
      <c r="I107" s="25">
        <v>1</v>
      </c>
      <c r="J107" s="25">
        <v>1</v>
      </c>
      <c r="K107" s="25">
        <v>1</v>
      </c>
      <c r="L107" s="33" t="s">
        <v>139</v>
      </c>
      <c r="M107" s="24">
        <v>14</v>
      </c>
    </row>
    <row r="108" spans="1:13" s="26" customFormat="1" outlineLevel="1" x14ac:dyDescent="0.25">
      <c r="B108" s="25">
        <v>1</v>
      </c>
      <c r="C108" s="103" t="s">
        <v>94</v>
      </c>
      <c r="D108" s="10">
        <v>6164</v>
      </c>
      <c r="E108" s="10">
        <v>3</v>
      </c>
      <c r="F108" s="10">
        <v>6</v>
      </c>
      <c r="G108" s="25">
        <v>1</v>
      </c>
      <c r="H108" s="25">
        <v>1</v>
      </c>
      <c r="I108" s="25">
        <v>1</v>
      </c>
      <c r="J108" s="25">
        <v>1</v>
      </c>
      <c r="K108" s="25">
        <v>1</v>
      </c>
      <c r="L108" s="33" t="s">
        <v>139</v>
      </c>
      <c r="M108" s="24">
        <v>14</v>
      </c>
    </row>
    <row r="109" spans="1:13" s="26" customFormat="1" ht="14.25" x14ac:dyDescent="0.2"/>
  </sheetData>
  <mergeCells count="15">
    <mergeCell ref="G5:G6"/>
    <mergeCell ref="H5:H6"/>
    <mergeCell ref="A4:A6"/>
    <mergeCell ref="B4:D4"/>
    <mergeCell ref="E4:K4"/>
    <mergeCell ref="B5:B6"/>
    <mergeCell ref="C5:C6"/>
    <mergeCell ref="D5:D6"/>
    <mergeCell ref="F5:F6"/>
    <mergeCell ref="E5:E6"/>
    <mergeCell ref="L4:L6"/>
    <mergeCell ref="M4:M6"/>
    <mergeCell ref="I5:I6"/>
    <mergeCell ref="J5:J6"/>
    <mergeCell ref="K5:K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topLeftCell="A11" zoomScale="85" zoomScaleNormal="85" workbookViewId="0">
      <selection activeCell="C34" sqref="C34:I34"/>
    </sheetView>
  </sheetViews>
  <sheetFormatPr defaultColWidth="9.140625" defaultRowHeight="15" x14ac:dyDescent="0.25"/>
  <cols>
    <col min="1" max="1" width="32.7109375" style="13" bestFit="1" customWidth="1"/>
    <col min="2" max="2" width="21.7109375" style="13" customWidth="1"/>
    <col min="3" max="3" width="39" style="22" customWidth="1"/>
    <col min="4" max="4" width="18.42578125" style="13" customWidth="1"/>
    <col min="5" max="5" width="17.85546875" style="13" bestFit="1" customWidth="1"/>
    <col min="6" max="7" width="8.85546875" style="13" customWidth="1"/>
    <col min="8" max="9" width="9.140625" style="13"/>
    <col min="10" max="10" width="9.140625" style="13" customWidth="1"/>
    <col min="11" max="22" width="9.140625" style="13"/>
    <col min="23" max="23" width="16.85546875" style="13" customWidth="1"/>
    <col min="24" max="16384" width="9.140625" style="13"/>
  </cols>
  <sheetData>
    <row r="1" spans="1:21" ht="34.5" x14ac:dyDescent="0.25">
      <c r="A1" s="194" t="s">
        <v>35</v>
      </c>
      <c r="B1" s="194"/>
      <c r="C1" s="4" t="s">
        <v>184</v>
      </c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4" spans="1:21" ht="30" x14ac:dyDescent="0.25">
      <c r="A4" s="130" t="s">
        <v>181</v>
      </c>
      <c r="B4" s="130"/>
      <c r="C4" s="130"/>
      <c r="D4" s="130"/>
      <c r="E4" s="130"/>
      <c r="F4" s="130"/>
      <c r="G4" s="130"/>
      <c r="H4" s="130"/>
      <c r="I4" s="130"/>
    </row>
    <row r="6" spans="1:21" ht="30" customHeight="1" x14ac:dyDescent="0.25">
      <c r="F6" s="160" t="s">
        <v>172</v>
      </c>
      <c r="G6" s="162"/>
      <c r="H6" s="162"/>
      <c r="I6" s="161"/>
    </row>
    <row r="7" spans="1:21" s="19" customFormat="1" ht="49.5" customHeight="1" x14ac:dyDescent="0.25">
      <c r="A7" s="195" t="s">
        <v>183</v>
      </c>
      <c r="B7" s="196"/>
      <c r="C7" s="177" t="s">
        <v>170</v>
      </c>
      <c r="D7" s="177" t="s">
        <v>171</v>
      </c>
      <c r="E7" s="177" t="s">
        <v>173</v>
      </c>
      <c r="F7" s="177" t="s">
        <v>278</v>
      </c>
      <c r="G7" s="177" t="s">
        <v>262</v>
      </c>
      <c r="H7" s="177" t="s">
        <v>258</v>
      </c>
      <c r="I7" s="177" t="s">
        <v>259</v>
      </c>
      <c r="J7" s="87" t="s">
        <v>260</v>
      </c>
    </row>
    <row r="8" spans="1:21" s="19" customFormat="1" ht="19.5" customHeight="1" thickBot="1" x14ac:dyDescent="0.3">
      <c r="A8" s="197"/>
      <c r="B8" s="198"/>
      <c r="C8" s="199"/>
      <c r="D8" s="199"/>
      <c r="E8" s="199"/>
      <c r="F8" s="199"/>
      <c r="G8" s="199"/>
      <c r="H8" s="199"/>
      <c r="I8" s="199"/>
      <c r="J8" s="15"/>
    </row>
    <row r="9" spans="1:21" ht="18.75" customHeight="1" x14ac:dyDescent="0.25">
      <c r="A9" s="179" t="s">
        <v>279</v>
      </c>
      <c r="B9" s="180"/>
      <c r="C9" s="39" t="s">
        <v>163</v>
      </c>
      <c r="D9" s="40">
        <v>30</v>
      </c>
      <c r="E9" s="109">
        <v>102.5625</v>
      </c>
      <c r="F9" s="88">
        <v>0</v>
      </c>
      <c r="G9" s="88">
        <v>0</v>
      </c>
      <c r="H9" s="88">
        <v>103</v>
      </c>
      <c r="I9" s="89">
        <v>0</v>
      </c>
    </row>
    <row r="10" spans="1:21" ht="18.75" customHeight="1" x14ac:dyDescent="0.25">
      <c r="A10" s="181"/>
      <c r="B10" s="182"/>
      <c r="C10" s="90" t="s">
        <v>261</v>
      </c>
      <c r="D10" s="84">
        <v>30</v>
      </c>
      <c r="E10" s="110">
        <v>91.4375</v>
      </c>
      <c r="F10" s="91">
        <v>0</v>
      </c>
      <c r="G10" s="91">
        <v>0</v>
      </c>
      <c r="H10" s="91">
        <v>91</v>
      </c>
      <c r="I10" s="92">
        <v>0</v>
      </c>
    </row>
    <row r="11" spans="1:21" ht="18" customHeight="1" x14ac:dyDescent="0.25">
      <c r="A11" s="181"/>
      <c r="B11" s="182"/>
      <c r="C11" s="27" t="s">
        <v>150</v>
      </c>
      <c r="D11" s="36">
        <v>0</v>
      </c>
      <c r="E11" s="111">
        <v>-0.4375</v>
      </c>
      <c r="F11" s="93">
        <v>0</v>
      </c>
      <c r="G11" s="93">
        <v>0</v>
      </c>
      <c r="H11" s="93">
        <v>0</v>
      </c>
      <c r="I11" s="94">
        <v>0</v>
      </c>
    </row>
    <row r="12" spans="1:21" ht="18" customHeight="1" x14ac:dyDescent="0.25">
      <c r="A12" s="181"/>
      <c r="B12" s="182"/>
      <c r="C12" s="27" t="s">
        <v>151</v>
      </c>
      <c r="D12" s="36">
        <v>0</v>
      </c>
      <c r="E12" s="111">
        <v>-6.25E-2</v>
      </c>
      <c r="F12" s="93">
        <v>0</v>
      </c>
      <c r="G12" s="93">
        <v>0</v>
      </c>
      <c r="H12" s="93">
        <v>0</v>
      </c>
      <c r="I12" s="94">
        <v>0</v>
      </c>
    </row>
    <row r="13" spans="1:21" ht="18" customHeight="1" x14ac:dyDescent="0.25">
      <c r="A13" s="181"/>
      <c r="B13" s="182"/>
      <c r="C13" s="27" t="s">
        <v>165</v>
      </c>
      <c r="D13" s="36">
        <v>0</v>
      </c>
      <c r="E13" s="111">
        <v>6.25E-2</v>
      </c>
      <c r="F13" s="93">
        <v>0</v>
      </c>
      <c r="G13" s="93">
        <v>0</v>
      </c>
      <c r="H13" s="93">
        <v>0</v>
      </c>
      <c r="I13" s="94">
        <v>0</v>
      </c>
    </row>
    <row r="14" spans="1:21" ht="18" customHeight="1" x14ac:dyDescent="0.25">
      <c r="A14" s="181"/>
      <c r="B14" s="182"/>
      <c r="C14" s="27" t="s">
        <v>153</v>
      </c>
      <c r="D14" s="36">
        <v>62</v>
      </c>
      <c r="E14" s="111">
        <v>30</v>
      </c>
      <c r="F14" s="95">
        <v>30</v>
      </c>
      <c r="G14" s="95">
        <v>30</v>
      </c>
      <c r="H14" s="95">
        <v>30</v>
      </c>
      <c r="I14" s="96">
        <v>0</v>
      </c>
    </row>
    <row r="15" spans="1:21" ht="18" customHeight="1" x14ac:dyDescent="0.25">
      <c r="A15" s="181"/>
      <c r="B15" s="182"/>
      <c r="C15" s="27" t="s">
        <v>265</v>
      </c>
      <c r="D15" s="36">
        <v>62</v>
      </c>
      <c r="E15" s="111">
        <v>2</v>
      </c>
      <c r="F15" s="95">
        <v>2</v>
      </c>
      <c r="G15" s="95">
        <v>2</v>
      </c>
      <c r="H15" s="95">
        <v>2</v>
      </c>
      <c r="I15" s="96">
        <v>0</v>
      </c>
    </row>
    <row r="16" spans="1:21" ht="18" customHeight="1" thickBot="1" x14ac:dyDescent="0.3">
      <c r="A16" s="181"/>
      <c r="B16" s="182"/>
      <c r="C16" s="27" t="s">
        <v>166</v>
      </c>
      <c r="D16" s="36">
        <v>0</v>
      </c>
      <c r="E16" s="111">
        <v>0</v>
      </c>
      <c r="F16" s="93">
        <v>0</v>
      </c>
      <c r="G16" s="93">
        <v>0</v>
      </c>
      <c r="H16" s="93">
        <v>0</v>
      </c>
      <c r="I16" s="94">
        <v>0</v>
      </c>
    </row>
    <row r="17" spans="1:19" ht="28.5" customHeight="1" x14ac:dyDescent="0.25">
      <c r="A17" s="181"/>
      <c r="B17" s="182"/>
      <c r="C17" s="106" t="s">
        <v>432</v>
      </c>
      <c r="D17" s="36">
        <v>0</v>
      </c>
      <c r="E17" s="111">
        <v>0</v>
      </c>
      <c r="F17" s="107">
        <v>0</v>
      </c>
      <c r="G17" s="107">
        <v>0</v>
      </c>
      <c r="H17" s="107">
        <v>0</v>
      </c>
      <c r="I17" s="108">
        <v>0</v>
      </c>
      <c r="K17" s="185" t="s">
        <v>276</v>
      </c>
      <c r="L17" s="186"/>
      <c r="M17" s="186"/>
      <c r="N17" s="186"/>
      <c r="O17" s="186"/>
      <c r="P17" s="186"/>
      <c r="Q17" s="186"/>
      <c r="R17" s="187"/>
    </row>
    <row r="18" spans="1:19" ht="28.5" x14ac:dyDescent="0.25">
      <c r="A18" s="181"/>
      <c r="B18" s="182"/>
      <c r="C18" s="106" t="s">
        <v>431</v>
      </c>
      <c r="D18" s="36">
        <v>0</v>
      </c>
      <c r="E18" s="111">
        <v>0</v>
      </c>
      <c r="F18" s="107">
        <v>0</v>
      </c>
      <c r="G18" s="107">
        <v>0</v>
      </c>
      <c r="H18" s="107">
        <v>0</v>
      </c>
      <c r="I18" s="108">
        <v>0</v>
      </c>
      <c r="K18" s="188"/>
      <c r="L18" s="189"/>
      <c r="M18" s="189"/>
      <c r="N18" s="189"/>
      <c r="O18" s="189"/>
      <c r="P18" s="189"/>
      <c r="Q18" s="189"/>
      <c r="R18" s="190"/>
    </row>
    <row r="19" spans="1:19" ht="18" customHeight="1" x14ac:dyDescent="0.25">
      <c r="A19" s="181"/>
      <c r="B19" s="182"/>
      <c r="C19" s="27" t="s">
        <v>169</v>
      </c>
      <c r="D19" s="36">
        <v>62</v>
      </c>
      <c r="E19" s="111">
        <v>10</v>
      </c>
      <c r="F19" s="95">
        <v>10</v>
      </c>
      <c r="G19" s="95">
        <v>10</v>
      </c>
      <c r="H19" s="95">
        <v>10</v>
      </c>
      <c r="I19" s="96">
        <v>0</v>
      </c>
      <c r="K19" s="188"/>
      <c r="L19" s="189"/>
      <c r="M19" s="189"/>
      <c r="N19" s="189"/>
      <c r="O19" s="189"/>
      <c r="P19" s="189"/>
      <c r="Q19" s="189"/>
      <c r="R19" s="190"/>
    </row>
    <row r="20" spans="1:19" ht="18" customHeight="1" x14ac:dyDescent="0.25">
      <c r="A20" s="181"/>
      <c r="B20" s="182"/>
      <c r="C20" s="27" t="s">
        <v>145</v>
      </c>
      <c r="D20" s="36">
        <v>41</v>
      </c>
      <c r="E20" s="111">
        <v>5.5625</v>
      </c>
      <c r="F20" s="95">
        <v>0</v>
      </c>
      <c r="G20" s="95">
        <v>6</v>
      </c>
      <c r="H20" s="95">
        <v>6</v>
      </c>
      <c r="I20" s="96">
        <v>0</v>
      </c>
      <c r="K20" s="188"/>
      <c r="L20" s="189"/>
      <c r="M20" s="189"/>
      <c r="N20" s="189"/>
      <c r="O20" s="189"/>
      <c r="P20" s="189"/>
      <c r="Q20" s="189"/>
      <c r="R20" s="190"/>
    </row>
    <row r="21" spans="1:19" ht="18" customHeight="1" x14ac:dyDescent="0.25">
      <c r="A21" s="181"/>
      <c r="B21" s="182"/>
      <c r="C21" s="27" t="s">
        <v>154</v>
      </c>
      <c r="D21" s="36">
        <v>0</v>
      </c>
      <c r="E21" s="111">
        <v>-0.125</v>
      </c>
      <c r="F21" s="95">
        <v>0</v>
      </c>
      <c r="G21" s="95">
        <v>0</v>
      </c>
      <c r="H21" s="95">
        <v>0</v>
      </c>
      <c r="I21" s="96">
        <v>0</v>
      </c>
      <c r="K21" s="188"/>
      <c r="L21" s="189"/>
      <c r="M21" s="189"/>
      <c r="N21" s="189"/>
      <c r="O21" s="189"/>
      <c r="P21" s="189"/>
      <c r="Q21" s="189"/>
      <c r="R21" s="190"/>
    </row>
    <row r="22" spans="1:19" ht="18" customHeight="1" x14ac:dyDescent="0.25">
      <c r="A22" s="181"/>
      <c r="B22" s="182"/>
      <c r="C22" s="27" t="s">
        <v>155</v>
      </c>
      <c r="D22" s="36">
        <v>0</v>
      </c>
      <c r="E22" s="111">
        <v>-0.375</v>
      </c>
      <c r="F22" s="95">
        <v>0</v>
      </c>
      <c r="G22" s="95">
        <v>0</v>
      </c>
      <c r="H22" s="95">
        <v>0</v>
      </c>
      <c r="I22" s="96">
        <v>0</v>
      </c>
      <c r="K22" s="188"/>
      <c r="L22" s="189"/>
      <c r="M22" s="189"/>
      <c r="N22" s="189"/>
      <c r="O22" s="189"/>
      <c r="P22" s="189"/>
      <c r="Q22" s="189"/>
      <c r="R22" s="190"/>
    </row>
    <row r="23" spans="1:19" ht="18" customHeight="1" x14ac:dyDescent="0.25">
      <c r="A23" s="181"/>
      <c r="B23" s="182"/>
      <c r="C23" s="27" t="s">
        <v>156</v>
      </c>
      <c r="D23" s="36">
        <v>74</v>
      </c>
      <c r="E23" s="111">
        <v>1</v>
      </c>
      <c r="F23" s="95">
        <v>1</v>
      </c>
      <c r="G23" s="95">
        <v>1</v>
      </c>
      <c r="H23" s="95">
        <v>1</v>
      </c>
      <c r="I23" s="96">
        <v>1</v>
      </c>
      <c r="K23" s="188"/>
      <c r="L23" s="189"/>
      <c r="M23" s="189"/>
      <c r="N23" s="189"/>
      <c r="O23" s="189"/>
      <c r="P23" s="189"/>
      <c r="Q23" s="189"/>
      <c r="R23" s="190"/>
      <c r="S23" s="83"/>
    </row>
    <row r="24" spans="1:19" ht="18" customHeight="1" x14ac:dyDescent="0.25">
      <c r="A24" s="181"/>
      <c r="B24" s="182"/>
      <c r="C24" s="27" t="s">
        <v>157</v>
      </c>
      <c r="D24" s="36">
        <v>62</v>
      </c>
      <c r="E24" s="111">
        <v>1</v>
      </c>
      <c r="F24" s="95">
        <v>1</v>
      </c>
      <c r="G24" s="95">
        <v>1</v>
      </c>
      <c r="H24" s="95">
        <v>1</v>
      </c>
      <c r="I24" s="96">
        <v>0</v>
      </c>
      <c r="K24" s="188"/>
      <c r="L24" s="189"/>
      <c r="M24" s="189"/>
      <c r="N24" s="189"/>
      <c r="O24" s="189"/>
      <c r="P24" s="189"/>
      <c r="Q24" s="189"/>
      <c r="R24" s="190"/>
      <c r="S24" s="83"/>
    </row>
    <row r="25" spans="1:19" ht="18" customHeight="1" thickBot="1" x14ac:dyDescent="0.3">
      <c r="A25" s="181"/>
      <c r="B25" s="182"/>
      <c r="C25" s="27" t="s">
        <v>158</v>
      </c>
      <c r="D25" s="36">
        <v>62</v>
      </c>
      <c r="E25" s="111">
        <v>1</v>
      </c>
      <c r="F25" s="95">
        <v>1</v>
      </c>
      <c r="G25" s="95">
        <v>1</v>
      </c>
      <c r="H25" s="95">
        <v>1</v>
      </c>
      <c r="I25" s="96">
        <v>0</v>
      </c>
      <c r="K25" s="191"/>
      <c r="L25" s="192"/>
      <c r="M25" s="192"/>
      <c r="N25" s="192"/>
      <c r="O25" s="192"/>
      <c r="P25" s="192"/>
      <c r="Q25" s="192"/>
      <c r="R25" s="193"/>
    </row>
    <row r="26" spans="1:19" ht="18" customHeight="1" x14ac:dyDescent="0.25">
      <c r="A26" s="181"/>
      <c r="B26" s="182"/>
      <c r="C26" s="27" t="s">
        <v>143</v>
      </c>
      <c r="D26" s="36">
        <v>74</v>
      </c>
      <c r="E26" s="111">
        <v>1</v>
      </c>
      <c r="F26" s="95">
        <v>1</v>
      </c>
      <c r="G26" s="95">
        <v>1</v>
      </c>
      <c r="H26" s="95">
        <v>1</v>
      </c>
      <c r="I26" s="96">
        <v>1</v>
      </c>
    </row>
    <row r="27" spans="1:19" ht="18" customHeight="1" x14ac:dyDescent="0.25">
      <c r="A27" s="181"/>
      <c r="B27" s="182"/>
      <c r="C27" s="27" t="s">
        <v>159</v>
      </c>
      <c r="D27" s="36">
        <v>0</v>
      </c>
      <c r="E27" s="111">
        <v>0</v>
      </c>
      <c r="F27" s="95">
        <v>0</v>
      </c>
      <c r="G27" s="95">
        <v>0</v>
      </c>
      <c r="H27" s="95">
        <v>0</v>
      </c>
      <c r="I27" s="96">
        <v>0</v>
      </c>
    </row>
    <row r="28" spans="1:19" ht="18" customHeight="1" x14ac:dyDescent="0.25">
      <c r="A28" s="181"/>
      <c r="B28" s="182"/>
      <c r="C28" s="27" t="s">
        <v>160</v>
      </c>
      <c r="D28" s="36">
        <v>74</v>
      </c>
      <c r="E28" s="111">
        <v>1</v>
      </c>
      <c r="F28" s="95">
        <v>1</v>
      </c>
      <c r="G28" s="95">
        <v>1</v>
      </c>
      <c r="H28" s="95">
        <v>1</v>
      </c>
      <c r="I28" s="96">
        <v>1</v>
      </c>
    </row>
    <row r="29" spans="1:19" ht="18" customHeight="1" thickBot="1" x14ac:dyDescent="0.3">
      <c r="A29" s="183"/>
      <c r="B29" s="184"/>
      <c r="C29" s="42"/>
      <c r="D29" s="41"/>
      <c r="E29" s="112"/>
      <c r="F29" s="97"/>
      <c r="G29" s="97"/>
      <c r="H29" s="97"/>
      <c r="I29" s="98"/>
    </row>
    <row r="30" spans="1:19" ht="15.75" hidden="1" customHeight="1" thickBot="1" x14ac:dyDescent="0.3">
      <c r="C30" s="37"/>
      <c r="D30" s="26"/>
      <c r="E30" s="113"/>
      <c r="F30" s="23" t="e">
        <f>SUM(#REF!*#REF!)*#REF!</f>
        <v>#REF!</v>
      </c>
      <c r="G30" s="23"/>
      <c r="H30" s="23" t="e">
        <f>SUM(#REF!*#REF!)*#REF!</f>
        <v>#REF!</v>
      </c>
      <c r="I30" s="23" t="e">
        <f>SUM(#REF!*#REF!)*#REF!</f>
        <v>#REF!</v>
      </c>
    </row>
    <row r="31" spans="1:19" ht="15" customHeight="1" x14ac:dyDescent="0.25">
      <c r="A31" s="179" t="s">
        <v>280</v>
      </c>
      <c r="B31" s="180"/>
      <c r="C31" s="90" t="s">
        <v>266</v>
      </c>
      <c r="D31" s="84">
        <v>62</v>
      </c>
      <c r="E31" s="110">
        <v>10</v>
      </c>
      <c r="F31" s="91">
        <v>10</v>
      </c>
      <c r="G31" s="91">
        <v>10</v>
      </c>
      <c r="H31" s="91">
        <v>10</v>
      </c>
      <c r="I31" s="92">
        <v>0</v>
      </c>
    </row>
    <row r="32" spans="1:19" ht="15" customHeight="1" x14ac:dyDescent="0.25">
      <c r="A32" s="181"/>
      <c r="B32" s="182"/>
      <c r="C32" s="27" t="s">
        <v>152</v>
      </c>
      <c r="D32" s="36">
        <v>74</v>
      </c>
      <c r="E32" s="111">
        <v>15</v>
      </c>
      <c r="F32" s="93">
        <v>15</v>
      </c>
      <c r="G32" s="93">
        <v>15</v>
      </c>
      <c r="H32" s="93">
        <v>15</v>
      </c>
      <c r="I32" s="94">
        <v>15</v>
      </c>
    </row>
    <row r="33" spans="1:9" ht="15" customHeight="1" x14ac:dyDescent="0.25">
      <c r="A33" s="181"/>
      <c r="B33" s="182"/>
      <c r="C33" s="99" t="s">
        <v>161</v>
      </c>
      <c r="D33" s="100">
        <v>74</v>
      </c>
      <c r="E33" s="114">
        <v>1</v>
      </c>
      <c r="F33" s="101">
        <v>1</v>
      </c>
      <c r="G33" s="101">
        <v>1</v>
      </c>
      <c r="H33" s="101">
        <v>1</v>
      </c>
      <c r="I33" s="102">
        <v>1</v>
      </c>
    </row>
    <row r="34" spans="1:9" ht="15.75" customHeight="1" thickBot="1" x14ac:dyDescent="0.3">
      <c r="A34" s="183"/>
      <c r="B34" s="184"/>
      <c r="C34" s="115" t="s">
        <v>433</v>
      </c>
      <c r="D34" s="116">
        <v>35</v>
      </c>
      <c r="E34" s="116" t="s">
        <v>434</v>
      </c>
      <c r="F34" s="116">
        <v>0</v>
      </c>
      <c r="G34" s="116" t="s">
        <v>434</v>
      </c>
      <c r="H34" s="116" t="s">
        <v>434</v>
      </c>
      <c r="I34" s="117">
        <v>0</v>
      </c>
    </row>
    <row r="35" spans="1:9" x14ac:dyDescent="0.25">
      <c r="A35" s="22"/>
      <c r="C35" s="13"/>
    </row>
    <row r="36" spans="1:9" x14ac:dyDescent="0.25">
      <c r="A36" s="22"/>
      <c r="C36" s="13"/>
    </row>
    <row r="37" spans="1:9" x14ac:dyDescent="0.25">
      <c r="A37" s="22"/>
      <c r="C37" s="13"/>
    </row>
    <row r="38" spans="1:9" x14ac:dyDescent="0.25">
      <c r="A38" s="22"/>
      <c r="C38" s="13"/>
    </row>
    <row r="39" spans="1:9" x14ac:dyDescent="0.25">
      <c r="A39" s="22"/>
      <c r="C39" s="13"/>
    </row>
    <row r="40" spans="1:9" x14ac:dyDescent="0.25">
      <c r="A40" s="22"/>
      <c r="C40" s="13"/>
    </row>
    <row r="41" spans="1:9" x14ac:dyDescent="0.25">
      <c r="A41" s="22"/>
      <c r="C41" s="13"/>
    </row>
    <row r="42" spans="1:9" x14ac:dyDescent="0.25">
      <c r="A42" s="22"/>
      <c r="C42" s="13"/>
    </row>
    <row r="43" spans="1:9" x14ac:dyDescent="0.25">
      <c r="A43" s="22"/>
      <c r="C43" s="13"/>
    </row>
    <row r="44" spans="1:9" x14ac:dyDescent="0.25">
      <c r="A44" s="22"/>
      <c r="C44" s="13"/>
    </row>
    <row r="45" spans="1:9" x14ac:dyDescent="0.25">
      <c r="A45" s="22"/>
      <c r="C45" s="13"/>
    </row>
    <row r="46" spans="1:9" x14ac:dyDescent="0.25">
      <c r="A46" s="22"/>
      <c r="C46" s="13"/>
    </row>
    <row r="47" spans="1:9" x14ac:dyDescent="0.25">
      <c r="A47" s="22"/>
      <c r="C47" s="13"/>
    </row>
    <row r="69" spans="1:3" x14ac:dyDescent="0.25">
      <c r="A69" s="22"/>
      <c r="C69" s="13"/>
    </row>
    <row r="70" spans="1:3" x14ac:dyDescent="0.25">
      <c r="A70" s="22"/>
      <c r="C70" s="13"/>
    </row>
  </sheetData>
  <mergeCells count="14">
    <mergeCell ref="A9:B29"/>
    <mergeCell ref="K17:R25"/>
    <mergeCell ref="A31:B34"/>
    <mergeCell ref="A1:B1"/>
    <mergeCell ref="A4:I4"/>
    <mergeCell ref="A7:B8"/>
    <mergeCell ref="E7:E8"/>
    <mergeCell ref="D7:D8"/>
    <mergeCell ref="C7:C8"/>
    <mergeCell ref="F6:I6"/>
    <mergeCell ref="I7:I8"/>
    <mergeCell ref="H7:H8"/>
    <mergeCell ref="G7:G8"/>
    <mergeCell ref="F7:F8"/>
  </mergeCells>
  <pageMargins left="0.7" right="0.7" top="0.75" bottom="0.75" header="0.3" footer="0.3"/>
  <pageSetup paperSize="9" scale="33" orientation="landscape" r:id="rId1"/>
  <drawing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0B3863E18DF240919C16D6794A52FDA5" version="1.0.0">
  <systemFields>
    <field name="Objective-Id">
      <value order="0">A7824704</value>
    </field>
    <field name="Objective-Title">
      <value order="0">Request for Tender - SRC006427 - Annexure D - Pricing Schedule Template - Western Australia</value>
    </field>
    <field name="Objective-Description">
      <value order="0"/>
    </field>
    <field name="Objective-CreationStamp">
      <value order="0">2026-06-05T05:50:20Z</value>
    </field>
    <field name="Objective-IsApproved">
      <value order="0">false</value>
    </field>
    <field name="Objective-IsPublished">
      <value order="0">true</value>
    </field>
    <field name="Objective-DatePublished">
      <value order="0">2026-06-05T05:50:23Z</value>
    </field>
    <field name="Objective-ModificationStamp">
      <value order="0">2026-06-10T00:40:03Z</value>
    </field>
    <field name="Objective-Owner">
      <value order="0">Michael Pal</value>
    </field>
    <field name="Objective-Path">
      <value order="0"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alue>
    </field>
    <field name="Objective-Parent">
      <value order="0">Annexures</value>
    </field>
    <field name="Objective-State">
      <value order="0">Published</value>
    </field>
    <field name="Objective-VersionId">
      <value order="0">vA10202009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2026/3743</value>
    </field>
    <field name="Objective-Classification">
      <value order="0">OFFICIAL</value>
    </field>
    <field name="Objective-Caveats">
      <value order="0"/>
    </field>
  </systemFields>
  <catalogues>
    <catalogue name="Document Type Catalogue" type="type" ori="id:cA91">
      <field name="Objective-Next Review Date">
        <value order="0"/>
      </field>
      <field name="Objective-Document approver">
        <value order="0"/>
      </field>
      <field name="Objective-Approver role">
        <value order="0"/>
      </field>
      <field name="Objective-Date approved">
        <value order="0"/>
      </field>
      <field name="Objective-Version approved">
        <value order="0"/>
      </field>
      <field name="Objective-Approval history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Group 1 </vt:lpstr>
      <vt:lpstr>Contents</vt:lpstr>
      <vt:lpstr>1. Pricing Schedule</vt:lpstr>
      <vt:lpstr>2. Volume Discounts</vt:lpstr>
      <vt:lpstr>3. Additional Services</vt:lpstr>
      <vt:lpstr>4. Static Polling Places</vt:lpstr>
      <vt:lpstr>5. Pre-Polling Voting Centre</vt:lpstr>
      <vt:lpstr>6. Out-Posted Centre 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Carvalho</dc:creator>
  <cp:lastModifiedBy>Michael Pal</cp:lastModifiedBy>
  <cp:lastPrinted>2021-06-14T06:00:59Z</cp:lastPrinted>
  <dcterms:created xsi:type="dcterms:W3CDTF">2020-11-13T02:58:37Z</dcterms:created>
  <dcterms:modified xsi:type="dcterms:W3CDTF">2026-06-05T05:49:12Z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A7824704</vt:lpwstr>
  </property>
  <property fmtid="{D5CDD505-2E9C-101B-9397-08002B2CF9AE}" pid="4" name="Objective-Title">
    <vt:lpwstr>Request for Tender - SRC006427 - Annexure D - Pricing Schedule Template - Western Australia</vt:lpwstr>
  </property>
  <property fmtid="{D5CDD505-2E9C-101B-9397-08002B2CF9AE}" pid="5" name="Objective-Description">
    <vt:lpwstr/>
  </property>
  <property fmtid="{D5CDD505-2E9C-101B-9397-08002B2CF9AE}" pid="6" name="Objective-CreationStamp">
    <vt:filetime>2026-06-05T05:50:20Z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2026-06-05T05:50:23Z</vt:filetime>
  </property>
  <property fmtid="{D5CDD505-2E9C-101B-9397-08002B2CF9AE}" pid="10" name="Objective-ModificationStamp">
    <vt:filetime>2026-06-10T00:40:03Z</vt:filetime>
  </property>
  <property fmtid="{D5CDD505-2E9C-101B-9397-08002B2CF9AE}" pid="11" name="Objective-Owner">
    <vt:lpwstr>Michael Pal</vt:lpwstr>
  </property>
  <property fmtid="{D5CDD505-2E9C-101B-9397-08002B2CF9AE}" pid="12" name="Objective-Path">
    <vt:lpwstr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t:lpwstr>
  </property>
  <property fmtid="{D5CDD505-2E9C-101B-9397-08002B2CF9AE}" pid="13" name="Objective-Parent">
    <vt:lpwstr>Annexures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vA10202009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2026/3743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/>
  </property>
  <property fmtid="{D5CDD505-2E9C-101B-9397-08002B2CF9AE}" pid="22" name="Objective-Comment">
    <vt:lpwstr/>
  </property>
  <property fmtid="{D5CDD505-2E9C-101B-9397-08002B2CF9AE}" pid="23" name="MSIP_Label_cbfd5943-f87e-40ae-9ab7-ca0a2fbb12c2_Enabled">
    <vt:lpwstr>true</vt:lpwstr>
  </property>
  <property fmtid="{D5CDD505-2E9C-101B-9397-08002B2CF9AE}" pid="24" name="MSIP_Label_cbfd5943-f87e-40ae-9ab7-ca0a2fbb12c2_SetDate">
    <vt:lpwstr>2026-03-03T23:57:45Z</vt:lpwstr>
  </property>
  <property fmtid="{D5CDD505-2E9C-101B-9397-08002B2CF9AE}" pid="25" name="MSIP_Label_cbfd5943-f87e-40ae-9ab7-ca0a2fbb12c2_Method">
    <vt:lpwstr>Privileged</vt:lpwstr>
  </property>
  <property fmtid="{D5CDD505-2E9C-101B-9397-08002B2CF9AE}" pid="26" name="MSIP_Label_cbfd5943-f87e-40ae-9ab7-ca0a2fbb12c2_Name">
    <vt:lpwstr>OFFICIAL</vt:lpwstr>
  </property>
  <property fmtid="{D5CDD505-2E9C-101B-9397-08002B2CF9AE}" pid="27" name="MSIP_Label_cbfd5943-f87e-40ae-9ab7-ca0a2fbb12c2_SiteId">
    <vt:lpwstr>c1eefc4f-a78a-4616-a218-48ba01757af3</vt:lpwstr>
  </property>
  <property fmtid="{D5CDD505-2E9C-101B-9397-08002B2CF9AE}" pid="28" name="MSIP_Label_cbfd5943-f87e-40ae-9ab7-ca0a2fbb12c2_ActionId">
    <vt:lpwstr>a8d5e407-f36d-46a8-a163-17c2b18239ff</vt:lpwstr>
  </property>
  <property fmtid="{D5CDD505-2E9C-101B-9397-08002B2CF9AE}" pid="29" name="MSIP_Label_cbfd5943-f87e-40ae-9ab7-ca0a2fbb12c2_ContentBits">
    <vt:lpwstr>0</vt:lpwstr>
  </property>
  <property fmtid="{D5CDD505-2E9C-101B-9397-08002B2CF9AE}" pid="30" name="MSIP_Label_cbfd5943-f87e-40ae-9ab7-ca0a2fbb12c2_Tag">
    <vt:lpwstr>10, 0, 1, 1</vt:lpwstr>
  </property>
  <property fmtid="{D5CDD505-2E9C-101B-9397-08002B2CF9AE}" pid="31" name="Objective-Next Review Date">
    <vt:lpwstr/>
  </property>
  <property fmtid="{D5CDD505-2E9C-101B-9397-08002B2CF9AE}" pid="32" name="Objective-Document approver">
    <vt:lpwstr/>
  </property>
  <property fmtid="{D5CDD505-2E9C-101B-9397-08002B2CF9AE}" pid="33" name="Objective-Approver role">
    <vt:lpwstr/>
  </property>
  <property fmtid="{D5CDD505-2E9C-101B-9397-08002B2CF9AE}" pid="34" name="Objective-Date approved">
    <vt:lpwstr/>
  </property>
  <property fmtid="{D5CDD505-2E9C-101B-9397-08002B2CF9AE}" pid="35" name="Objective-Version approved">
    <vt:lpwstr/>
  </property>
  <property fmtid="{D5CDD505-2E9C-101B-9397-08002B2CF9AE}" pid="36" name="Objective-Approval history">
    <vt:lpwstr/>
  </property>
</Properties>
</file>