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pal\Music\"/>
    </mc:Choice>
  </mc:AlternateContent>
  <xr:revisionPtr revIDLastSave="0" documentId="8_{E59D7956-7958-4128-9EC5-C1D59C051995}" xr6:coauthVersionLast="47" xr6:coauthVersionMax="47" xr10:uidLastSave="{00000000-0000-0000-0000-000000000000}"/>
  <bookViews>
    <workbookView xWindow="28680" yWindow="-120" windowWidth="29040" windowHeight="15720" tabRatio="759" firstSheet="1" activeTab="1" xr2:uid="{00000000-000D-0000-FFFF-FFFF00000000}"/>
  </bookViews>
  <sheets>
    <sheet name="Product Group 1 " sheetId="1" state="hidden" r:id="rId1"/>
    <sheet name="Contents" sheetId="12" r:id="rId2"/>
    <sheet name="1. Pricing Schedule" sheetId="13" r:id="rId3"/>
    <sheet name="2. Volume Discounts" sheetId="14" r:id="rId4"/>
    <sheet name="3. Additional Services" sheetId="15" r:id="rId5"/>
    <sheet name="4. Static Polling Places" sheetId="9" r:id="rId6"/>
    <sheet name="5. Pre-Polling Voting Centre" sheetId="11" r:id="rId7"/>
    <sheet name="6. Out-Posted Centre 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05" i="9" l="1"/>
  <c r="E205" i="9"/>
  <c r="E175" i="9"/>
  <c r="K122" i="11"/>
  <c r="J122" i="11"/>
  <c r="I122" i="11"/>
  <c r="H122" i="11"/>
  <c r="G122" i="11"/>
  <c r="F122" i="11"/>
  <c r="E122" i="11"/>
  <c r="B122" i="11"/>
  <c r="K49" i="11"/>
  <c r="J49" i="11"/>
  <c r="I49" i="11"/>
  <c r="H49" i="11"/>
  <c r="G49" i="11"/>
  <c r="F49" i="11"/>
  <c r="E49" i="11"/>
  <c r="B49" i="11"/>
  <c r="K17" i="11"/>
  <c r="J17" i="11"/>
  <c r="I17" i="11"/>
  <c r="H17" i="11"/>
  <c r="G17" i="11"/>
  <c r="F17" i="11"/>
  <c r="E17" i="11"/>
  <c r="B17" i="11"/>
  <c r="K125" i="11"/>
  <c r="J125" i="11"/>
  <c r="I125" i="11"/>
  <c r="H125" i="11"/>
  <c r="G125" i="11"/>
  <c r="F125" i="11"/>
  <c r="E125" i="11"/>
  <c r="B125" i="11"/>
  <c r="K119" i="11"/>
  <c r="J119" i="11"/>
  <c r="I119" i="11"/>
  <c r="H119" i="11"/>
  <c r="G119" i="11"/>
  <c r="F119" i="11"/>
  <c r="E119" i="11"/>
  <c r="B119" i="11"/>
  <c r="K116" i="11"/>
  <c r="J116" i="11"/>
  <c r="I116" i="11"/>
  <c r="H116" i="11"/>
  <c r="G116" i="11"/>
  <c r="F116" i="11"/>
  <c r="E116" i="11"/>
  <c r="B116" i="11"/>
  <c r="K109" i="11"/>
  <c r="J109" i="11"/>
  <c r="I109" i="11"/>
  <c r="H109" i="11"/>
  <c r="G109" i="11"/>
  <c r="F109" i="11"/>
  <c r="E109" i="11"/>
  <c r="B109" i="11"/>
  <c r="K103" i="11"/>
  <c r="J103" i="11"/>
  <c r="I103" i="11"/>
  <c r="H103" i="11"/>
  <c r="G103" i="11"/>
  <c r="F103" i="11"/>
  <c r="E103" i="11"/>
  <c r="B103" i="11"/>
  <c r="K97" i="11"/>
  <c r="J97" i="11"/>
  <c r="I97" i="11"/>
  <c r="H97" i="11"/>
  <c r="G97" i="11"/>
  <c r="F97" i="11"/>
  <c r="E97" i="11"/>
  <c r="B97" i="11"/>
  <c r="K94" i="11"/>
  <c r="J94" i="11"/>
  <c r="I94" i="11"/>
  <c r="H94" i="11"/>
  <c r="G94" i="11"/>
  <c r="F94" i="11"/>
  <c r="E94" i="11"/>
  <c r="B94" i="11"/>
  <c r="K91" i="11"/>
  <c r="J91" i="11"/>
  <c r="I91" i="11"/>
  <c r="H91" i="11"/>
  <c r="G91" i="11"/>
  <c r="F91" i="11"/>
  <c r="E91" i="11"/>
  <c r="B91" i="11"/>
  <c r="K87" i="11"/>
  <c r="J87" i="11"/>
  <c r="I87" i="11"/>
  <c r="H87" i="11"/>
  <c r="G87" i="11"/>
  <c r="F87" i="11"/>
  <c r="E87" i="11"/>
  <c r="B87" i="11"/>
  <c r="K81" i="11"/>
  <c r="J81" i="11"/>
  <c r="I81" i="11"/>
  <c r="H81" i="11"/>
  <c r="G81" i="11"/>
  <c r="F81" i="11"/>
  <c r="E81" i="11"/>
  <c r="B81" i="11"/>
  <c r="K78" i="11"/>
  <c r="J78" i="11"/>
  <c r="I78" i="11"/>
  <c r="H78" i="11"/>
  <c r="G78" i="11"/>
  <c r="F78" i="11"/>
  <c r="E78" i="11"/>
  <c r="B78" i="11"/>
  <c r="K75" i="11"/>
  <c r="J75" i="11"/>
  <c r="I75" i="11"/>
  <c r="H75" i="11"/>
  <c r="G75" i="11"/>
  <c r="F75" i="11"/>
  <c r="E75" i="11"/>
  <c r="B75" i="11"/>
  <c r="K70" i="11"/>
  <c r="J70" i="11"/>
  <c r="I70" i="11"/>
  <c r="H70" i="11"/>
  <c r="G70" i="11"/>
  <c r="F70" i="11"/>
  <c r="E70" i="11"/>
  <c r="B70" i="11"/>
  <c r="K65" i="11"/>
  <c r="J65" i="11"/>
  <c r="I65" i="11"/>
  <c r="H65" i="11"/>
  <c r="G65" i="11"/>
  <c r="F65" i="11"/>
  <c r="E65" i="11"/>
  <c r="B65" i="11"/>
  <c r="K62" i="11"/>
  <c r="J62" i="11"/>
  <c r="I62" i="11"/>
  <c r="H62" i="11"/>
  <c r="G62" i="11"/>
  <c r="F62" i="11"/>
  <c r="E62" i="11"/>
  <c r="B62" i="11"/>
  <c r="K56" i="11"/>
  <c r="J56" i="11"/>
  <c r="I56" i="11"/>
  <c r="H56" i="11"/>
  <c r="G56" i="11"/>
  <c r="F56" i="11"/>
  <c r="E56" i="11"/>
  <c r="B56" i="11"/>
  <c r="K52" i="11"/>
  <c r="J52" i="11"/>
  <c r="I52" i="11"/>
  <c r="H52" i="11"/>
  <c r="G52" i="11"/>
  <c r="F52" i="11"/>
  <c r="E52" i="11"/>
  <c r="B52" i="11"/>
  <c r="K42" i="11"/>
  <c r="J42" i="11"/>
  <c r="I42" i="11"/>
  <c r="H42" i="11"/>
  <c r="G42" i="11"/>
  <c r="F42" i="11"/>
  <c r="E42" i="11"/>
  <c r="B42" i="11"/>
  <c r="K38" i="11"/>
  <c r="J38" i="11"/>
  <c r="I38" i="11"/>
  <c r="H38" i="11"/>
  <c r="G38" i="11"/>
  <c r="F38" i="11"/>
  <c r="E38" i="11"/>
  <c r="B38" i="11"/>
  <c r="K34" i="11"/>
  <c r="J34" i="11"/>
  <c r="I34" i="11"/>
  <c r="H34" i="11"/>
  <c r="G34" i="11"/>
  <c r="F34" i="11"/>
  <c r="E34" i="11"/>
  <c r="B34" i="11"/>
  <c r="K29" i="11"/>
  <c r="J29" i="11"/>
  <c r="I29" i="11"/>
  <c r="H29" i="11"/>
  <c r="G29" i="11"/>
  <c r="F29" i="11"/>
  <c r="E29" i="11"/>
  <c r="B29" i="11"/>
  <c r="K26" i="11"/>
  <c r="J26" i="11"/>
  <c r="I26" i="11"/>
  <c r="H26" i="11"/>
  <c r="G26" i="11"/>
  <c r="F26" i="11"/>
  <c r="E26" i="11"/>
  <c r="B26" i="11"/>
  <c r="K23" i="11"/>
  <c r="J23" i="11"/>
  <c r="I23" i="11"/>
  <c r="H23" i="11"/>
  <c r="G23" i="11"/>
  <c r="F23" i="11"/>
  <c r="E23" i="11"/>
  <c r="B23" i="11"/>
  <c r="B205" i="9"/>
  <c r="F201" i="9"/>
  <c r="E201" i="9"/>
  <c r="B201" i="9"/>
  <c r="F195" i="9"/>
  <c r="E195" i="9"/>
  <c r="B195" i="9"/>
  <c r="F188" i="9"/>
  <c r="E188" i="9"/>
  <c r="B188" i="9"/>
  <c r="F183" i="9"/>
  <c r="E183" i="9"/>
  <c r="B183" i="9"/>
  <c r="F175" i="9"/>
  <c r="B175" i="9"/>
  <c r="F170" i="9"/>
  <c r="E170" i="9"/>
  <c r="B170" i="9"/>
  <c r="F167" i="9"/>
  <c r="E167" i="9"/>
  <c r="B167" i="9"/>
  <c r="F164" i="9"/>
  <c r="E164" i="9"/>
  <c r="B164" i="9"/>
  <c r="B7" i="9"/>
  <c r="F147" i="9"/>
  <c r="E147" i="9"/>
  <c r="B147" i="9"/>
  <c r="F143" i="9"/>
  <c r="E143" i="9"/>
  <c r="B143" i="9"/>
  <c r="F138" i="9"/>
  <c r="E138" i="9"/>
  <c r="B138" i="9"/>
  <c r="F127" i="9"/>
  <c r="E127" i="9"/>
  <c r="B127" i="9"/>
  <c r="F115" i="9"/>
  <c r="E115" i="9"/>
  <c r="B115" i="9"/>
  <c r="F108" i="9"/>
  <c r="E108" i="9"/>
  <c r="B108" i="9"/>
  <c r="F98" i="9"/>
  <c r="E98" i="9"/>
  <c r="B98" i="9"/>
  <c r="F84" i="9"/>
  <c r="E84" i="9"/>
  <c r="B84" i="9"/>
  <c r="F78" i="9"/>
  <c r="E78" i="9"/>
  <c r="B78" i="9"/>
  <c r="F73" i="9"/>
  <c r="E73" i="9"/>
  <c r="B73" i="9"/>
  <c r="F58" i="9"/>
  <c r="E58" i="9"/>
  <c r="B58" i="9"/>
  <c r="F55" i="9"/>
  <c r="E55" i="9"/>
  <c r="B55" i="9"/>
  <c r="F52" i="9"/>
  <c r="E52" i="9"/>
  <c r="B52" i="9"/>
  <c r="F48" i="9"/>
  <c r="E48" i="9"/>
  <c r="B48" i="9"/>
  <c r="F43" i="9"/>
  <c r="E43" i="9"/>
  <c r="B43" i="9"/>
  <c r="F35" i="9"/>
  <c r="E35" i="9"/>
  <c r="B35" i="9"/>
  <c r="F26" i="9"/>
  <c r="E26" i="9"/>
  <c r="B26" i="9"/>
  <c r="F22" i="9"/>
  <c r="B22" i="9"/>
  <c r="I30" i="6"/>
  <c r="H30" i="6"/>
  <c r="F30" i="6"/>
  <c r="B15" i="9" l="1"/>
  <c r="E15" i="9"/>
  <c r="F15" i="9"/>
  <c r="K20" i="11"/>
  <c r="J20" i="11"/>
  <c r="I20" i="11"/>
  <c r="H20" i="11"/>
  <c r="G20" i="11"/>
  <c r="F20" i="11"/>
  <c r="E20" i="11"/>
  <c r="B20" i="11"/>
  <c r="K14" i="11"/>
  <c r="J14" i="11"/>
  <c r="I14" i="11"/>
  <c r="H14" i="11"/>
  <c r="G14" i="11"/>
  <c r="F14" i="11"/>
  <c r="E14" i="11"/>
  <c r="B14" i="11"/>
  <c r="B8" i="11"/>
  <c r="K8" i="11"/>
  <c r="J8" i="11"/>
  <c r="I8" i="11"/>
  <c r="H8" i="11"/>
  <c r="G8" i="11"/>
  <c r="F8" i="11"/>
  <c r="E8" i="11"/>
  <c r="E7" i="9" l="1"/>
  <c r="F7" i="9"/>
  <c r="D11" i="1" l="1"/>
  <c r="C11" i="1"/>
  <c r="B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 Carvalho</author>
  </authors>
  <commentList>
    <comment ref="F9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0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7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8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0" authorId="0" shapeId="0" xr:uid="{00000000-0006-0000-0200-000006000000}">
      <text/>
    </comment>
    <comment ref="F21" authorId="0" shapeId="0" xr:uid="{00000000-0006-0000-0200-000007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2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3" authorId="0" shapeId="0" xr:uid="{00000000-0006-0000-0200-000009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4" authorId="0" shapeId="0" xr:uid="{00000000-0006-0000-0200-00000A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5" authorId="0" shapeId="0" xr:uid="{00000000-0006-0000-0200-00000B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6" authorId="0" shapeId="0" xr:uid="{00000000-0006-0000-0200-00000C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7" authorId="0" shapeId="0" xr:uid="{00000000-0006-0000-0200-00000D000000}">
      <text/>
    </comment>
    <comment ref="F35" authorId="0" shapeId="0" xr:uid="{00000000-0006-0000-0200-00000E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6" authorId="0" shapeId="0" xr:uid="{00000000-0006-0000-0200-00000F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7" authorId="0" shapeId="0" xr:uid="{00000000-0006-0000-0200-000010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8" authorId="0" shapeId="0" xr:uid="{00000000-0006-0000-0200-000011000000}">
      <text/>
    </comment>
    <comment ref="F39" authorId="0" shapeId="0" xr:uid="{00000000-0006-0000-0200-000012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0" authorId="0" shapeId="0" xr:uid="{00000000-0006-0000-0200-000013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1" authorId="0" shapeId="0" xr:uid="{00000000-0006-0000-0200-000014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2" authorId="0" shapeId="0" xr:uid="{00000000-0006-0000-0200-00001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3" authorId="0" shapeId="0" xr:uid="{00000000-0006-0000-0200-000016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4" authorId="0" shapeId="0" xr:uid="{00000000-0006-0000-0200-000017000000}">
      <text/>
    </comment>
    <comment ref="F45" authorId="0" shapeId="0" xr:uid="{00000000-0006-0000-0200-000018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00000000-0006-0000-0200-000019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7" authorId="0" shapeId="0" xr:uid="{00000000-0006-0000-0200-00001A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8" authorId="0" shapeId="0" xr:uid="{00000000-0006-0000-0200-00001B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9" authorId="0" shapeId="0" xr:uid="{00000000-0006-0000-0200-00001C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0" authorId="0" shapeId="0" xr:uid="{00000000-0006-0000-0200-00001D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1" authorId="0" shapeId="0" xr:uid="{00000000-0006-0000-0200-00001E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2" authorId="0" shapeId="0" xr:uid="{00000000-0006-0000-0200-00001F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3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4" authorId="0" shapeId="0" xr:uid="{00000000-0006-0000-0200-00002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5" authorId="0" shapeId="0" xr:uid="{9F686014-4E5C-4EDA-9F30-FF54B29685CA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<sst xmlns="http://schemas.openxmlformats.org/spreadsheetml/2006/main" count="1013" uniqueCount="427">
  <si>
    <t xml:space="preserve">Division </t>
  </si>
  <si>
    <t xml:space="preserve">Trestle Tables </t>
  </si>
  <si>
    <t xml:space="preserve">Plastic Chairs </t>
  </si>
  <si>
    <t xml:space="preserve">Total Delivery  
Locations </t>
  </si>
  <si>
    <t>Hire Period 
(Days)</t>
  </si>
  <si>
    <t xml:space="preserve">Demographic  
Rating </t>
  </si>
  <si>
    <t>BRASSALL</t>
  </si>
  <si>
    <t>QLD</t>
  </si>
  <si>
    <t xml:space="preserve">Suburb </t>
  </si>
  <si>
    <t xml:space="preserve">Total Product Quantity Required </t>
  </si>
  <si>
    <t xml:space="preserve">Delivery </t>
  </si>
  <si>
    <t xml:space="preserve">BLAIR </t>
  </si>
  <si>
    <t xml:space="preserve">BLAIR DETAILS </t>
  </si>
  <si>
    <t xml:space="preserve">Postcode </t>
  </si>
  <si>
    <t>IPSWICH</t>
  </si>
  <si>
    <t>COLLINGWOOD PARK</t>
  </si>
  <si>
    <t>EAST IPSWICH</t>
  </si>
  <si>
    <t>RIPLEY</t>
  </si>
  <si>
    <t>GRANDCHESTER</t>
  </si>
  <si>
    <t>KARALEE</t>
  </si>
  <si>
    <t>LOWOOD</t>
  </si>
  <si>
    <t>NEWTOWN</t>
  </si>
  <si>
    <t>NORTH BOOVAL</t>
  </si>
  <si>
    <t>NORTH IPSWICH</t>
  </si>
  <si>
    <t>PINE MOUNTAIN</t>
  </si>
  <si>
    <t>RACEVIEW</t>
  </si>
  <si>
    <t>TARAMPA</t>
  </si>
  <si>
    <t>TIVOLI</t>
  </si>
  <si>
    <t>YAMANTO</t>
  </si>
  <si>
    <t>SPRINGFIELD</t>
  </si>
  <si>
    <t xml:space="preserve">Inner- Metro </t>
  </si>
  <si>
    <t>Total Divisional Delivery Price</t>
  </si>
  <si>
    <t xml:space="preserve">Total Divsional Product Supply Price </t>
  </si>
  <si>
    <t xml:space="preserve">Static Polling Places </t>
  </si>
  <si>
    <t>BONNER</t>
  </si>
  <si>
    <t>See below +</t>
  </si>
  <si>
    <t>Refrigerator</t>
  </si>
  <si>
    <t>Microwave Oven</t>
  </si>
  <si>
    <t>Large flatbed trolley</t>
  </si>
  <si>
    <t xml:space="preserve">Water Dispenser </t>
  </si>
  <si>
    <t xml:space="preserve">Hot Water Urn </t>
  </si>
  <si>
    <t>Flatbed Trolley</t>
  </si>
  <si>
    <t>Ergonomic Typist Chair</t>
  </si>
  <si>
    <t xml:space="preserve">Solid table </t>
  </si>
  <si>
    <t>Ergonomic typist chair</t>
  </si>
  <si>
    <t xml:space="preserve">Floor mat/carpet tile </t>
  </si>
  <si>
    <t xml:space="preserve">Fencing panel (black plastic)
L/M </t>
  </si>
  <si>
    <t>Upright trolley</t>
  </si>
  <si>
    <t xml:space="preserve">Pallet wrapping handle </t>
  </si>
  <si>
    <t>Pallet jack</t>
  </si>
  <si>
    <t>Data projector</t>
  </si>
  <si>
    <t xml:space="preserve">Projector screen </t>
  </si>
  <si>
    <t>Microwave oven</t>
  </si>
  <si>
    <t>Hot water urn</t>
  </si>
  <si>
    <t>Water dispenser with filter</t>
  </si>
  <si>
    <t>Pre-Polling Voting Centre</t>
  </si>
  <si>
    <t>Trestle Table</t>
  </si>
  <si>
    <t xml:space="preserve"> Plastic Chairs </t>
  </si>
  <si>
    <t>Whiteboard</t>
  </si>
  <si>
    <t>Bollards</t>
  </si>
  <si>
    <t xml:space="preserve">Shelving bays, large </t>
  </si>
  <si>
    <t xml:space="preserve">Shelving bays, small </t>
  </si>
  <si>
    <t>Lockers</t>
  </si>
  <si>
    <t xml:space="preserve">Items </t>
  </si>
  <si>
    <t xml:space="preserve">Estimated Total Days Required </t>
  </si>
  <si>
    <t>ELECTION PERIOD</t>
  </si>
  <si>
    <t>Estimated Maximum Quantity Required</t>
  </si>
  <si>
    <t>Classification</t>
  </si>
  <si>
    <t xml:space="preserve">QUANTITY REQUIREMENTS  </t>
  </si>
  <si>
    <t xml:space="preserve">Out-Posted Centre - Total Requirements </t>
  </si>
  <si>
    <t xml:space="preserve">Out-Posted Centre </t>
  </si>
  <si>
    <t xml:space="preserve">Contents </t>
  </si>
  <si>
    <t xml:space="preserve">Page </t>
  </si>
  <si>
    <t xml:space="preserve">Title </t>
  </si>
  <si>
    <t>Description</t>
  </si>
  <si>
    <t>Pricing Schedule</t>
  </si>
  <si>
    <t>Volume Discounts</t>
  </si>
  <si>
    <t xml:space="preserve">Additional Services </t>
  </si>
  <si>
    <t xml:space="preserve">A reference page providing quantities and locations for Static Polling Places. </t>
  </si>
  <si>
    <t xml:space="preserve">Pre-Poll Voting Centre </t>
  </si>
  <si>
    <t xml:space="preserve">A reference page providing quantities and locations for Pre-Poll Voting Centres. </t>
  </si>
  <si>
    <t>A reference page providing quantities and locations for Out-posted Centres.</t>
  </si>
  <si>
    <t xml:space="preserve">AEC Product Request </t>
  </si>
  <si>
    <t>Divisions are allocated a demographic classification as per below, for your reference.</t>
  </si>
  <si>
    <r>
      <t>Inner Metropolitan</t>
    </r>
    <r>
      <rPr>
        <sz val="11"/>
        <color theme="1"/>
        <rFont val="Arial"/>
        <family val="2"/>
      </rPr>
      <t> </t>
    </r>
  </si>
  <si>
    <t>Situated in capital cities and consisting of well-established built-up suburbs.</t>
  </si>
  <si>
    <r>
      <t>Outer Metropolitan</t>
    </r>
    <r>
      <rPr>
        <sz val="11"/>
        <color theme="1"/>
        <rFont val="Arial"/>
        <family val="2"/>
      </rPr>
      <t> </t>
    </r>
  </si>
  <si>
    <t>Situated in capital cities and containing large areas of recent suburban expansion.</t>
  </si>
  <si>
    <r>
      <t>Provincial</t>
    </r>
    <r>
      <rPr>
        <sz val="11"/>
        <color theme="1"/>
        <rFont val="Arial"/>
        <family val="2"/>
      </rPr>
      <t> </t>
    </r>
  </si>
  <si>
    <t>Outside capital cities, but with a majority of enrolment in major provincial cities.</t>
  </si>
  <si>
    <r>
      <t>Rural</t>
    </r>
    <r>
      <rPr>
        <sz val="11"/>
        <color theme="1"/>
        <rFont val="Arial"/>
        <family val="2"/>
      </rPr>
      <t> </t>
    </r>
  </si>
  <si>
    <t>Outside capital cities and without majority of enrolment in major provincial cities.</t>
  </si>
  <si>
    <t xml:space="preserve">Furniture &amp; Equipment Pricing Schedule </t>
  </si>
  <si>
    <t xml:space="preserve">PRODUCT SCOPE </t>
  </si>
  <si>
    <t>REQUESTED ITEM</t>
  </si>
  <si>
    <t>SUPPLIED ITEM</t>
  </si>
  <si>
    <t>RENTAL</t>
  </si>
  <si>
    <t>Assumptions/Caveats</t>
  </si>
  <si>
    <t xml:space="preserve">Product Group </t>
  </si>
  <si>
    <t xml:space="preserve">AEC Facility </t>
  </si>
  <si>
    <t>Expected Period of Requirement (Days)</t>
  </si>
  <si>
    <t xml:space="preserve">Product </t>
  </si>
  <si>
    <t>Product Description / Approximate Dimensions</t>
  </si>
  <si>
    <t xml:space="preserve">Reference Image </t>
  </si>
  <si>
    <r>
      <t xml:space="preserve">As per AEC Product </t>
    </r>
    <r>
      <rPr>
        <b/>
        <sz val="12"/>
        <color rgb="FFFF0000"/>
        <rFont val="HelveticaNeueLT Std Lt Cn"/>
        <family val="2"/>
      </rPr>
      <t>(Y/N)</t>
    </r>
    <r>
      <rPr>
        <sz val="12"/>
        <color theme="1"/>
        <rFont val="HelveticaNeueLT Std Lt Cn"/>
        <family val="2"/>
      </rPr>
      <t xml:space="preserve">
(If ‘N’ and an alternative product can be supplied, be complete adjacent field)</t>
    </r>
  </si>
  <si>
    <t>Alternate or Equivalent Product - Description /  Dimensions</t>
  </si>
  <si>
    <r>
      <t xml:space="preserve">Price per unit 
</t>
    </r>
    <r>
      <rPr>
        <b/>
        <sz val="12"/>
        <color rgb="FFFF0000"/>
        <rFont val="HelveticaNeueLT Std Lt Cn"/>
        <family val="2"/>
      </rPr>
      <t xml:space="preserve">(per day)
</t>
    </r>
    <r>
      <rPr>
        <sz val="12"/>
        <color theme="1"/>
        <rFont val="HelveticaNeueLT Std Lt Cn"/>
        <family val="2"/>
      </rPr>
      <t>(GST Inclusive)</t>
    </r>
  </si>
  <si>
    <r>
      <t xml:space="preserve">Rental period 
</t>
    </r>
    <r>
      <rPr>
        <b/>
        <sz val="12"/>
        <color rgb="FFFF0000"/>
        <rFont val="HelveticaNeueLT Std Lt Cn"/>
        <family val="2"/>
      </rPr>
      <t>(in days)</t>
    </r>
  </si>
  <si>
    <r>
      <t xml:space="preserve">Assumptions/Caveats
</t>
    </r>
    <r>
      <rPr>
        <b/>
        <i/>
        <sz val="11"/>
        <rFont val="Arial"/>
        <family val="2"/>
      </rPr>
      <t>Please describe any assumptions or caveats that apply</t>
    </r>
  </si>
  <si>
    <t xml:space="preserve"> Static Polling Places </t>
  </si>
  <si>
    <t>Moulded plastic 1800 x 900mm</t>
  </si>
  <si>
    <t>Stackable chairs, Plastic, Armless</t>
  </si>
  <si>
    <t>Delivery &amp; Collection</t>
  </si>
  <si>
    <t>Inner Metropolitan </t>
  </si>
  <si>
    <t>Outer Metropolitan </t>
  </si>
  <si>
    <t>Provincial </t>
  </si>
  <si>
    <t>Rural </t>
  </si>
  <si>
    <t xml:space="preserve">
 Pre-Polling Voting Centres </t>
  </si>
  <si>
    <t>1 - 21</t>
  </si>
  <si>
    <t>Acoustic screens</t>
  </si>
  <si>
    <t xml:space="preserve">1500 x 1800mm </t>
  </si>
  <si>
    <t xml:space="preserve">300L Max, Fridge / Freezer </t>
  </si>
  <si>
    <t xml:space="preserve">20-30L </t>
  </si>
  <si>
    <t>8-30L</t>
  </si>
  <si>
    <t xml:space="preserve">600 x 900mm,  150kg Capacity </t>
  </si>
  <si>
    <t>4 bay, standing unit</t>
  </si>
  <si>
    <t xml:space="preserve">1200 x 450, Light duty garage racking </t>
  </si>
  <si>
    <t xml:space="preserve">Fencing Cage </t>
  </si>
  <si>
    <t xml:space="preserve">Large lockable cabinet </t>
  </si>
  <si>
    <t xml:space="preserve">
Out-Posted Centre
</t>
  </si>
  <si>
    <t xml:space="preserve">Timber top table that has structural support (wont sag) </t>
  </si>
  <si>
    <t>1800 x 1200mm, mobile</t>
  </si>
  <si>
    <t xml:space="preserve">Orange bollards with weighted base </t>
  </si>
  <si>
    <t xml:space="preserve">2700 x 900mm, Heavy duty racking </t>
  </si>
  <si>
    <t xml:space="preserve">1200 x 900mm, 300kg Capacity </t>
  </si>
  <si>
    <t>Standard AU pallet size</t>
  </si>
  <si>
    <t xml:space="preserve">500L Fridge / Freezer </t>
  </si>
  <si>
    <t>CHARGES FOR ADDITIONAL SERVICES</t>
  </si>
  <si>
    <t>Any volume discounts the Service Provider is offering</t>
  </si>
  <si>
    <t>Pricing for equipment hire and/or purchase for the items the Service Provider is offering</t>
  </si>
  <si>
    <t>Any related additional services/products the Service Provider is offering</t>
  </si>
  <si>
    <t>Demographic Classification</t>
  </si>
  <si>
    <t xml:space="preserve"> Offer /  Response</t>
  </si>
  <si>
    <t>All Delivery and Collection charges are subject finalisation dependant on location and volume and will be agreed in a resultant work order</t>
  </si>
  <si>
    <t>Day 33-62</t>
  </si>
  <si>
    <t>Day 63-74</t>
  </si>
  <si>
    <t>74 days Total</t>
  </si>
  <si>
    <t>Plastic Chair</t>
  </si>
  <si>
    <t>Day 21-32</t>
  </si>
  <si>
    <t>Outline of Potential Surcharges (additional costs associated with weekend/public holiday or urgent deliveries)</t>
  </si>
  <si>
    <t>Additional Costs</t>
  </si>
  <si>
    <t>Fencing Gate</t>
  </si>
  <si>
    <t>Acoustic Screen</t>
  </si>
  <si>
    <t>Volume Discounts (OPTIONAL)</t>
  </si>
  <si>
    <t>Additional Services (OPTIONAL)</t>
  </si>
  <si>
    <t>Price per KM
(GST Inclusive)</t>
  </si>
  <si>
    <t>Price per delivery 
(GST Inclusive)</t>
  </si>
  <si>
    <t>Price per Hour
(GST Inclusive)</t>
  </si>
  <si>
    <t>Delivery Costs (Complete one or more options)</t>
  </si>
  <si>
    <t xml:space="preserve">The total items required per grouping in the election period section represents the total amount required for that group. (i.e. Do not add or subtract weeks to one another). </t>
  </si>
  <si>
    <t>14-74</t>
  </si>
  <si>
    <t>Day 1-20</t>
  </si>
  <si>
    <r>
      <t xml:space="preserve">OPC Requirements 
</t>
    </r>
    <r>
      <rPr>
        <b/>
        <sz val="16"/>
        <color rgb="FF7030A0"/>
        <rFont val="HelveticaNeueLT Std Lt Cn"/>
        <family val="2"/>
      </rPr>
      <t>CORE Items</t>
    </r>
    <r>
      <rPr>
        <b/>
        <sz val="16"/>
        <color theme="1"/>
        <rFont val="HelveticaNeueLT Std Lt Cn"/>
        <family val="2"/>
      </rPr>
      <t xml:space="preserve">
(Per Divison)</t>
    </r>
  </si>
  <si>
    <r>
      <t xml:space="preserve">OPC Requirements
</t>
    </r>
    <r>
      <rPr>
        <b/>
        <sz val="16"/>
        <color rgb="FF0070C0"/>
        <rFont val="HelveticaNeueLT Std Lt Cn"/>
        <family val="2"/>
      </rPr>
      <t>OPTIONAL Items</t>
    </r>
    <r>
      <rPr>
        <b/>
        <sz val="16"/>
        <color theme="1"/>
        <rFont val="HelveticaNeueLT Std Lt Cn"/>
        <family val="2"/>
      </rPr>
      <t xml:space="preserve">
(Per Divison)</t>
    </r>
  </si>
  <si>
    <t xml:space="preserve">DIVISION Details </t>
  </si>
  <si>
    <t>Shelving bays, large 
(H2400 x D1200x W2400)</t>
  </si>
  <si>
    <t>Shelving bays, small 
(H1800 x D600 x W1200)</t>
  </si>
  <si>
    <t>BLAIR</t>
  </si>
  <si>
    <t xml:space="preserve">BLAIR DIVISION Details </t>
  </si>
  <si>
    <t>SPRINGFIELD CENTRAL</t>
  </si>
  <si>
    <t>MARBURG</t>
  </si>
  <si>
    <t>BUNDAMBA</t>
  </si>
  <si>
    <t xml:space="preserve">BONNER DIVISION Details </t>
  </si>
  <si>
    <t>GUMDALE</t>
  </si>
  <si>
    <t>LOTA</t>
  </si>
  <si>
    <t>MANLY WEST</t>
  </si>
  <si>
    <t>MANSFIELD</t>
  </si>
  <si>
    <t>WISHART</t>
  </si>
  <si>
    <t>BOWMAN DIVISION</t>
  </si>
  <si>
    <t xml:space="preserve">BOWMAN DIVISION Details </t>
  </si>
  <si>
    <t>CLEVELAND</t>
  </si>
  <si>
    <t>RUSSELL ISLAND</t>
  </si>
  <si>
    <t>BRISBANE</t>
  </si>
  <si>
    <t xml:space="preserve">BRISBANE DIVISION Details </t>
  </si>
  <si>
    <t>ASCOT</t>
  </si>
  <si>
    <t>ENOGGERA</t>
  </si>
  <si>
    <t>GORDON PARK</t>
  </si>
  <si>
    <t>HENDRA</t>
  </si>
  <si>
    <t>NEW FARM</t>
  </si>
  <si>
    <t>NEWMARKET</t>
  </si>
  <si>
    <t>WOOLOOWIN</t>
  </si>
  <si>
    <t xml:space="preserve">CAPRICORNIA </t>
  </si>
  <si>
    <t xml:space="preserve">CAPRICORNIA DIVISION Details </t>
  </si>
  <si>
    <t>BAKERS CREEK</t>
  </si>
  <si>
    <t>DYSART</t>
  </si>
  <si>
    <t>FARNBOROUGH</t>
  </si>
  <si>
    <t>NEBO</t>
  </si>
  <si>
    <t>PARK AVENUE</t>
  </si>
  <si>
    <t>THE CAVES</t>
  </si>
  <si>
    <t>DAWSON</t>
  </si>
  <si>
    <t xml:space="preserve">DAWSON DIVISION Details </t>
  </si>
  <si>
    <t>BUCASIA</t>
  </si>
  <si>
    <t>CALEN</t>
  </si>
  <si>
    <t>HOME HILL</t>
  </si>
  <si>
    <t>DICKSON</t>
  </si>
  <si>
    <t xml:space="preserve">DICKSON DIVISION Details </t>
  </si>
  <si>
    <t>BRAY PARK</t>
  </si>
  <si>
    <t>DAYBORO</t>
  </si>
  <si>
    <t>FAIRFAX</t>
  </si>
  <si>
    <t xml:space="preserve">FAIRFAX DIVISION Details </t>
  </si>
  <si>
    <t>PACIFIC PARADISE</t>
  </si>
  <si>
    <t>FISHER</t>
  </si>
  <si>
    <t>GOLDEN BEACH</t>
  </si>
  <si>
    <t>FLYNN</t>
  </si>
  <si>
    <t xml:space="preserve">FLYNN DIVISION Details </t>
  </si>
  <si>
    <t>BARALABA</t>
  </si>
  <si>
    <t>BENARABY</t>
  </si>
  <si>
    <t>BILOELA</t>
  </si>
  <si>
    <t>BLUFF</t>
  </si>
  <si>
    <t>CALLIOPE</t>
  </si>
  <si>
    <t>EIDSVOLD</t>
  </si>
  <si>
    <t>EMERALD</t>
  </si>
  <si>
    <t>GLADSTONE CENTRAL</t>
  </si>
  <si>
    <t>JAMBIN</t>
  </si>
  <si>
    <t>MOUNT MORGAN</t>
  </si>
  <si>
    <t>MULGILDIE</t>
  </si>
  <si>
    <t>WEST GLADSTONE</t>
  </si>
  <si>
    <t>YANDARAN</t>
  </si>
  <si>
    <t>FORDE</t>
  </si>
  <si>
    <t xml:space="preserve">FORDE DIVISION Details </t>
  </si>
  <si>
    <t>BAHRS SCRUB</t>
  </si>
  <si>
    <t>CORNUBIA</t>
  </si>
  <si>
    <t>UPPER COOMERA</t>
  </si>
  <si>
    <t>GRIFFITH</t>
  </si>
  <si>
    <t xml:space="preserve">GRIFFITH DIVISION Details </t>
  </si>
  <si>
    <t>BULIMBA</t>
  </si>
  <si>
    <t>CARINA</t>
  </si>
  <si>
    <t>COORPAROO</t>
  </si>
  <si>
    <t>HOLLAND PARK</t>
  </si>
  <si>
    <t>GROOM</t>
  </si>
  <si>
    <t xml:space="preserve">GROOM DIVISION Details </t>
  </si>
  <si>
    <t>BOWENVILLE</t>
  </si>
  <si>
    <t>CAMBOOYA</t>
  </si>
  <si>
    <t>CENTENARY HEIGHTS</t>
  </si>
  <si>
    <t>EAST TOOWOOMBA</t>
  </si>
  <si>
    <t>GOOMBUNGEE</t>
  </si>
  <si>
    <t>HIGHFIELDS</t>
  </si>
  <si>
    <t>KINGSTHORPE</t>
  </si>
  <si>
    <t>MOUNT TYSON</t>
  </si>
  <si>
    <t>WELLCAMP</t>
  </si>
  <si>
    <t>WESTBROOK</t>
  </si>
  <si>
    <t>WILSONTON</t>
  </si>
  <si>
    <t>WYREEMA</t>
  </si>
  <si>
    <t>HERBERT</t>
  </si>
  <si>
    <t xml:space="preserve">HERBERT DIVISION Details </t>
  </si>
  <si>
    <t>BURDELL</t>
  </si>
  <si>
    <t>CONDON</t>
  </si>
  <si>
    <t>DOUGLAS</t>
  </si>
  <si>
    <t>HERMIT PARK</t>
  </si>
  <si>
    <t>HYDE PARK</t>
  </si>
  <si>
    <t>KIRWAN</t>
  </si>
  <si>
    <t>RAILWAY ESTATE</t>
  </si>
  <si>
    <t>SOUTH TOWNSVILLE</t>
  </si>
  <si>
    <t>HINKLER</t>
  </si>
  <si>
    <t xml:space="preserve">HINKLER DIVISION Details </t>
  </si>
  <si>
    <t>ALLOWAY</t>
  </si>
  <si>
    <t>BARGARA</t>
  </si>
  <si>
    <t>BUNDABERG SOUTH</t>
  </si>
  <si>
    <t>BUNDABERG WEST</t>
  </si>
  <si>
    <t>URANGAN</t>
  </si>
  <si>
    <t>KENNEDY</t>
  </si>
  <si>
    <t xml:space="preserve">KENNEDY DIVISION Details </t>
  </si>
  <si>
    <t>BIBOOHRA</t>
  </si>
  <si>
    <t>FLYING FISH POINT</t>
  </si>
  <si>
    <t>MALANDA</t>
  </si>
  <si>
    <t>MILLAA MILLAA</t>
  </si>
  <si>
    <t>MOUNT GARNET</t>
  </si>
  <si>
    <t>MUTCHILBA</t>
  </si>
  <si>
    <t>RAVENSHOE</t>
  </si>
  <si>
    <t>SOLDIERS HILL</t>
  </si>
  <si>
    <t>SUNSET</t>
  </si>
  <si>
    <t>YUNGABURRA</t>
  </si>
  <si>
    <t>CAIRNS NORTH</t>
  </si>
  <si>
    <t>HOLLOWAYS BEACH</t>
  </si>
  <si>
    <t>HORN ISLAND</t>
  </si>
  <si>
    <t>MOSSMAN</t>
  </si>
  <si>
    <t>PORMPURAAW</t>
  </si>
  <si>
    <t>REDLYNCH</t>
  </si>
  <si>
    <t>STRATFORD</t>
  </si>
  <si>
    <t>TRINITY BEACH</t>
  </si>
  <si>
    <t>WHITFIELD</t>
  </si>
  <si>
    <t>LILLEY</t>
  </si>
  <si>
    <t xml:space="preserve">LILLEY DIVISION Details </t>
  </si>
  <si>
    <t>BANYO</t>
  </si>
  <si>
    <t>BRIGHTON</t>
  </si>
  <si>
    <t>SHORNCLIFFE</t>
  </si>
  <si>
    <t>LONGMAN</t>
  </si>
  <si>
    <t xml:space="preserve">LONGMAN DIVISION Details </t>
  </si>
  <si>
    <t>DAKABIN</t>
  </si>
  <si>
    <t>NARANGBA</t>
  </si>
  <si>
    <t>MARANOA</t>
  </si>
  <si>
    <t xml:space="preserve">MARANOA DIVISION Details </t>
  </si>
  <si>
    <t>BLACKBUTT</t>
  </si>
  <si>
    <t>BROADWATER</t>
  </si>
  <si>
    <t>CHINCHILLA</t>
  </si>
  <si>
    <t>HADEN</t>
  </si>
  <si>
    <t>JANDOWAE</t>
  </si>
  <si>
    <t>KINGAROY</t>
  </si>
  <si>
    <t>LEYBURN</t>
  </si>
  <si>
    <t>MASSIE</t>
  </si>
  <si>
    <t>NANANGO</t>
  </si>
  <si>
    <t>NOBBY</t>
  </si>
  <si>
    <t>QUILPIE</t>
  </si>
  <si>
    <t>ST GEORGE</t>
  </si>
  <si>
    <t>THE SUMMIT</t>
  </si>
  <si>
    <t>WALLANGARRA</t>
  </si>
  <si>
    <t>WARWICK</t>
  </si>
  <si>
    <t>MCPHERSON</t>
  </si>
  <si>
    <t xml:space="preserve">MCPHERSON DIVISION Details </t>
  </si>
  <si>
    <t>VARSITY LAKES</t>
  </si>
  <si>
    <t>MONCRIEFF</t>
  </si>
  <si>
    <t xml:space="preserve">MONCRIEFF DIVISION Details </t>
  </si>
  <si>
    <t>SURFERS PARADISE</t>
  </si>
  <si>
    <t>MORETON</t>
  </si>
  <si>
    <t xml:space="preserve">MORETON DIVISION Details </t>
  </si>
  <si>
    <t>MOOROOKA</t>
  </si>
  <si>
    <t>SUNNYBANK</t>
  </si>
  <si>
    <t>YERONGA</t>
  </si>
  <si>
    <t>OXLEY</t>
  </si>
  <si>
    <t xml:space="preserve">OXLEY DIVISION Details </t>
  </si>
  <si>
    <t>INALA</t>
  </si>
  <si>
    <t>PETRIE</t>
  </si>
  <si>
    <t xml:space="preserve">PETRIE DIVISION Details </t>
  </si>
  <si>
    <t>BRACKEN RIDGE</t>
  </si>
  <si>
    <t>CLONTARF</t>
  </si>
  <si>
    <t>MANGO HILL</t>
  </si>
  <si>
    <t>RANKIN</t>
  </si>
  <si>
    <t xml:space="preserve">RANKIN DIVISION Details </t>
  </si>
  <si>
    <t>CALAMVALE</t>
  </si>
  <si>
    <t>MARSDEN</t>
  </si>
  <si>
    <t>REGENTS PARK</t>
  </si>
  <si>
    <t>ROCHEDALE SOUTH</t>
  </si>
  <si>
    <t>WOODRIDGE</t>
  </si>
  <si>
    <t>RYAN</t>
  </si>
  <si>
    <t xml:space="preserve">RYAN DIVISION Details </t>
  </si>
  <si>
    <t>INDOOROOPILLY</t>
  </si>
  <si>
    <t>MOGGILL</t>
  </si>
  <si>
    <t>ST LUCIA</t>
  </si>
  <si>
    <t>TOOWONG</t>
  </si>
  <si>
    <t>WIDE BAY</t>
  </si>
  <si>
    <t xml:space="preserve">WIDE BAY DIVISION Details </t>
  </si>
  <si>
    <t>PEREGIAN BEACH</t>
  </si>
  <si>
    <t>WIDGEE</t>
  </si>
  <si>
    <t xml:space="preserve">WRIGHT </t>
  </si>
  <si>
    <t xml:space="preserve">WRIGHT DIVISION Details </t>
  </si>
  <si>
    <t>CANUNGRA</t>
  </si>
  <si>
    <t>FOREST HILL</t>
  </si>
  <si>
    <t>GRANTHAM</t>
  </si>
  <si>
    <t>GREENBANK</t>
  </si>
  <si>
    <t>HARRISVILLE</t>
  </si>
  <si>
    <t>HELIDON</t>
  </si>
  <si>
    <t>JIMBOOMBA</t>
  </si>
  <si>
    <t>KALBAR</t>
  </si>
  <si>
    <t>LAKE CLARENDON</t>
  </si>
  <si>
    <t>RATHDOWNEY</t>
  </si>
  <si>
    <t>ROADVALE</t>
  </si>
  <si>
    <t>TAMBORINE MOUNTAIN</t>
  </si>
  <si>
    <t>ESK</t>
  </si>
  <si>
    <t>WEST END</t>
  </si>
  <si>
    <t>CAPRICORNIA</t>
  </si>
  <si>
    <t>WANDAL</t>
  </si>
  <si>
    <t>RURAL VIEW</t>
  </si>
  <si>
    <t>BUNYA</t>
  </si>
  <si>
    <t>NORTH LAKES</t>
  </si>
  <si>
    <t>STRATHPINE</t>
  </si>
  <si>
    <t xml:space="preserve"> FAIRAX DIVISION Details </t>
  </si>
  <si>
    <t>BUDERIM</t>
  </si>
  <si>
    <t>NAMBOUR</t>
  </si>
  <si>
    <t xml:space="preserve"> FISHER DIVISION Details </t>
  </si>
  <si>
    <t>CURRIMUNDI</t>
  </si>
  <si>
    <t>KENSINGTON</t>
  </si>
  <si>
    <t xml:space="preserve"> GRIFFITH DIVISION Details </t>
  </si>
  <si>
    <t>GLENVALE</t>
  </si>
  <si>
    <t>HARLAXTON</t>
  </si>
  <si>
    <t>HARRISTOWN</t>
  </si>
  <si>
    <t xml:space="preserve"> HERBERT DIVISION Details </t>
  </si>
  <si>
    <t xml:space="preserve"> HINKLER DIVISION Details </t>
  </si>
  <si>
    <t>CHILDERS</t>
  </si>
  <si>
    <t>PIALBA</t>
  </si>
  <si>
    <t>CAIRNS CITY</t>
  </si>
  <si>
    <t>CHARTERS TOWERS CITY</t>
  </si>
  <si>
    <t>MOUNT ISA CITY</t>
  </si>
  <si>
    <t>LEICHHARDT</t>
  </si>
  <si>
    <t xml:space="preserve"> LEICHHARDT DIVISION Details </t>
  </si>
  <si>
    <t>GEEBUNG</t>
  </si>
  <si>
    <t xml:space="preserve"> LONGMAN DIVISION Details </t>
  </si>
  <si>
    <t>BURPENGARY</t>
  </si>
  <si>
    <t>DECEPTION BAY</t>
  </si>
  <si>
    <t>MORAYFIELD</t>
  </si>
  <si>
    <t>DALBY</t>
  </si>
  <si>
    <t>BURLEIGH HEADS</t>
  </si>
  <si>
    <t xml:space="preserve">MORETON </t>
  </si>
  <si>
    <t xml:space="preserve"> PETRIE DIVISION Details </t>
  </si>
  <si>
    <t>REDCLIFFE</t>
  </si>
  <si>
    <t>WRIGHT</t>
  </si>
  <si>
    <t>BEAUDESERT</t>
  </si>
  <si>
    <t xml:space="preserve">LEICHHARDT DIVISION Details </t>
  </si>
  <si>
    <t>Provincial</t>
  </si>
  <si>
    <t>Outer Metropolitan</t>
  </si>
  <si>
    <t>BOWMAN</t>
  </si>
  <si>
    <t>Inner Metropolitan</t>
  </si>
  <si>
    <t>Rural</t>
  </si>
  <si>
    <t>Nil</t>
  </si>
  <si>
    <t xml:space="preserve">Nil </t>
  </si>
  <si>
    <t>Collingwood Park</t>
  </si>
  <si>
    <t>Darra</t>
  </si>
  <si>
    <t>Forest Lake</t>
  </si>
  <si>
    <t>Camira</t>
  </si>
  <si>
    <t>Redbank</t>
  </si>
  <si>
    <t>Richlands</t>
  </si>
  <si>
    <t>Greenbank South</t>
  </si>
  <si>
    <t>Laidley</t>
  </si>
  <si>
    <t>Logan Village</t>
  </si>
  <si>
    <t>Portable Toilets and associated servicing</t>
  </si>
  <si>
    <t>TBC</t>
  </si>
  <si>
    <t>Portable toilets and associated servicing</t>
  </si>
  <si>
    <t>Please specify type. If more than one form of unit available please add further rows and describe.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</si>
</sst>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HelveticaNeueLT Std Cn"/>
      <family val="2"/>
    </font>
    <font>
      <b/>
      <sz val="28"/>
      <color theme="1"/>
      <name val="HelveticaNeueLT Std Cn"/>
      <family val="2"/>
    </font>
    <font>
      <sz val="24"/>
      <color theme="0"/>
      <name val="HelveticaNeueLT Std Cn"/>
      <family val="2"/>
    </font>
    <font>
      <sz val="10"/>
      <name val="Arial"/>
      <family val="2"/>
    </font>
    <font>
      <sz val="11"/>
      <color theme="1"/>
      <name val="HelveticaNeueLT Std Lt Cn"/>
      <family val="2"/>
    </font>
    <font>
      <b/>
      <sz val="14"/>
      <color theme="1"/>
      <name val="HelveticaNeueLT Std Lt Cn"/>
      <family val="2"/>
    </font>
    <font>
      <sz val="24"/>
      <color theme="0"/>
      <name val="HelveticaNeueLT Std Lt Cn"/>
      <family val="2"/>
    </font>
    <font>
      <sz val="12"/>
      <color theme="1"/>
      <name val="HelveticaNeueLT Std Lt Cn"/>
      <family val="2"/>
    </font>
    <font>
      <b/>
      <sz val="16"/>
      <color theme="1"/>
      <name val="HelveticaNeueLT Std Lt Cn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HelveticaNeueLT Std Lt Cn"/>
      <family val="2"/>
    </font>
    <font>
      <b/>
      <i/>
      <sz val="11"/>
      <name val="Arial"/>
      <family val="2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12"/>
      <name val="HelveticaNeueLT Std Lt Cn"/>
      <family val="2"/>
    </font>
    <font>
      <sz val="8"/>
      <name val="Arial"/>
      <family val="2"/>
    </font>
    <font>
      <b/>
      <sz val="16"/>
      <color rgb="FF0070C0"/>
      <name val="HelveticaNeueLT Std Lt Cn"/>
      <family val="2"/>
    </font>
    <font>
      <b/>
      <sz val="16"/>
      <color rgb="FF7030A0"/>
      <name val="HelveticaNeueLT Std Lt Cn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E267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  <xf numFmtId="0" fontId="21" fillId="0" borderId="0"/>
    <xf numFmtId="164" fontId="1" fillId="0" borderId="0" applyFont="0" applyFill="0" applyBorder="0" applyAlignment="0" applyProtection="0"/>
  </cellStyleXfs>
  <cellXfs count="20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8" fillId="35" borderId="0" xfId="0" applyFont="1" applyFill="1"/>
    <xf numFmtId="0" fontId="20" fillId="33" borderId="0" xfId="0" applyFont="1" applyFill="1" applyAlignment="1">
      <alignment horizontal="left" vertical="center"/>
    </xf>
    <xf numFmtId="0" fontId="20" fillId="35" borderId="0" xfId="0" applyFont="1" applyFill="1" applyAlignment="1">
      <alignment horizontal="left"/>
    </xf>
    <xf numFmtId="0" fontId="19" fillId="34" borderId="0" xfId="0" applyFont="1" applyFill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2" xfId="0" applyBorder="1"/>
    <xf numFmtId="0" fontId="0" fillId="0" borderId="11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  <xf numFmtId="0" fontId="0" fillId="35" borderId="0" xfId="0" applyFill="1" applyAlignment="1">
      <alignment vertical="center" wrapText="1"/>
    </xf>
    <xf numFmtId="0" fontId="0" fillId="35" borderId="0" xfId="0" applyFill="1" applyAlignment="1">
      <alignment vertical="center"/>
    </xf>
    <xf numFmtId="0" fontId="0" fillId="35" borderId="0" xfId="0" applyFill="1" applyAlignment="1">
      <alignment horizontal="center" vertical="center" wrapText="1"/>
    </xf>
    <xf numFmtId="0" fontId="20" fillId="35" borderId="0" xfId="0" applyFont="1" applyFill="1" applyAlignment="1">
      <alignment horizontal="left" vertical="center"/>
    </xf>
    <xf numFmtId="0" fontId="0" fillId="35" borderId="0" xfId="0" applyFill="1" applyAlignment="1">
      <alignment wrapText="1"/>
    </xf>
    <xf numFmtId="0" fontId="22" fillId="35" borderId="0" xfId="0" applyFont="1" applyFill="1"/>
    <xf numFmtId="0" fontId="25" fillId="37" borderId="11" xfId="0" applyFont="1" applyFill="1" applyBorder="1" applyAlignment="1">
      <alignment horizontal="center" vertical="center" wrapText="1"/>
    </xf>
    <xf numFmtId="0" fontId="0" fillId="35" borderId="0" xfId="0" applyFill="1" applyAlignment="1">
      <alignment horizontal="left"/>
    </xf>
    <xf numFmtId="0" fontId="27" fillId="0" borderId="0" xfId="0" applyFont="1"/>
    <xf numFmtId="0" fontId="27" fillId="35" borderId="11" xfId="0" applyFont="1" applyFill="1" applyBorder="1"/>
    <xf numFmtId="0" fontId="27" fillId="0" borderId="11" xfId="0" applyFont="1" applyBorder="1"/>
    <xf numFmtId="0" fontId="27" fillId="35" borderId="0" xfId="0" applyFont="1" applyFill="1"/>
    <xf numFmtId="0" fontId="27" fillId="0" borderId="11" xfId="0" applyFont="1" applyBorder="1" applyAlignment="1">
      <alignment horizontal="left" vertical="center"/>
    </xf>
    <xf numFmtId="0" fontId="27" fillId="34" borderId="20" xfId="0" applyFont="1" applyFill="1" applyBorder="1"/>
    <xf numFmtId="0" fontId="27" fillId="34" borderId="0" xfId="0" applyFont="1" applyFill="1"/>
    <xf numFmtId="0" fontId="27" fillId="0" borderId="11" xfId="0" applyFont="1" applyBorder="1" applyAlignment="1">
      <alignment vertical="center"/>
    </xf>
    <xf numFmtId="0" fontId="28" fillId="0" borderId="11" xfId="0" applyFont="1" applyBorder="1"/>
    <xf numFmtId="0" fontId="29" fillId="0" borderId="11" xfId="0" applyFont="1" applyBorder="1"/>
    <xf numFmtId="0" fontId="30" fillId="0" borderId="10" xfId="0" applyFont="1" applyBorder="1"/>
    <xf numFmtId="0" fontId="27" fillId="0" borderId="11" xfId="0" applyFont="1" applyBorder="1" applyAlignment="1">
      <alignment horizontal="center" vertical="center"/>
    </xf>
    <xf numFmtId="0" fontId="27" fillId="35" borderId="0" xfId="0" applyFont="1" applyFill="1" applyAlignment="1">
      <alignment horizontal="left"/>
    </xf>
    <xf numFmtId="0" fontId="27" fillId="35" borderId="0" xfId="0" applyFont="1" applyFill="1" applyAlignment="1">
      <alignment horizontal="left" vertical="center"/>
    </xf>
    <xf numFmtId="0" fontId="27" fillId="0" borderId="24" xfId="0" applyFont="1" applyBorder="1" applyAlignment="1">
      <alignment horizontal="left" vertical="center"/>
    </xf>
    <xf numFmtId="0" fontId="27" fillId="0" borderId="24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1" xfId="0" applyFont="1" applyBorder="1" applyAlignment="1">
      <alignment horizontal="left" vertical="center"/>
    </xf>
    <xf numFmtId="0" fontId="27" fillId="34" borderId="34" xfId="0" applyFont="1" applyFill="1" applyBorder="1"/>
    <xf numFmtId="0" fontId="27" fillId="34" borderId="35" xfId="0" applyFont="1" applyFill="1" applyBorder="1"/>
    <xf numFmtId="0" fontId="19" fillId="35" borderId="0" xfId="0" applyFont="1" applyFill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32" fillId="35" borderId="11" xfId="0" applyFont="1" applyFill="1" applyBorder="1" applyAlignment="1">
      <alignment horizontal="center" vertical="center"/>
    </xf>
    <xf numFmtId="0" fontId="28" fillId="37" borderId="11" xfId="0" applyFont="1" applyFill="1" applyBorder="1" applyAlignment="1">
      <alignment horizontal="left" vertical="center" wrapText="1"/>
    </xf>
    <xf numFmtId="0" fontId="25" fillId="35" borderId="0" xfId="0" applyFont="1" applyFill="1" applyAlignment="1">
      <alignment horizontal="center" vertical="center" wrapText="1"/>
    </xf>
    <xf numFmtId="0" fontId="35" fillId="35" borderId="0" xfId="0" applyFont="1" applyFill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27" fillId="41" borderId="11" xfId="0" applyFont="1" applyFill="1" applyBorder="1"/>
    <xf numFmtId="0" fontId="27" fillId="41" borderId="15" xfId="0" applyFont="1" applyFill="1" applyBorder="1"/>
    <xf numFmtId="0" fontId="36" fillId="35" borderId="0" xfId="0" applyFont="1" applyFill="1"/>
    <xf numFmtId="0" fontId="27" fillId="34" borderId="21" xfId="0" applyFont="1" applyFill="1" applyBorder="1"/>
    <xf numFmtId="0" fontId="27" fillId="34" borderId="17" xfId="0" applyFont="1" applyFill="1" applyBorder="1"/>
    <xf numFmtId="0" fontId="37" fillId="35" borderId="0" xfId="0" applyFont="1" applyFill="1" applyAlignment="1">
      <alignment horizontal="center" vertical="center" wrapText="1"/>
    </xf>
    <xf numFmtId="0" fontId="37" fillId="35" borderId="0" xfId="0" applyFont="1" applyFill="1" applyAlignment="1">
      <alignment vertical="center"/>
    </xf>
    <xf numFmtId="0" fontId="28" fillId="0" borderId="15" xfId="0" applyFont="1" applyBorder="1" applyAlignment="1">
      <alignment horizontal="center" vertical="center"/>
    </xf>
    <xf numFmtId="0" fontId="37" fillId="35" borderId="0" xfId="0" applyFont="1" applyFill="1" applyAlignment="1">
      <alignment vertical="center" wrapText="1"/>
    </xf>
    <xf numFmtId="0" fontId="27" fillId="35" borderId="0" xfId="0" applyFont="1" applyFill="1" applyAlignment="1">
      <alignment vertical="center" wrapText="1"/>
    </xf>
    <xf numFmtId="0" fontId="27" fillId="41" borderId="11" xfId="0" applyFont="1" applyFill="1" applyBorder="1" applyAlignment="1">
      <alignment vertical="center"/>
    </xf>
    <xf numFmtId="0" fontId="27" fillId="34" borderId="15" xfId="0" applyFont="1" applyFill="1" applyBorder="1" applyAlignment="1">
      <alignment vertical="center"/>
    </xf>
    <xf numFmtId="0" fontId="27" fillId="34" borderId="13" xfId="0" applyFont="1" applyFill="1" applyBorder="1" applyAlignment="1">
      <alignment vertical="center"/>
    </xf>
    <xf numFmtId="0" fontId="27" fillId="34" borderId="13" xfId="0" applyFont="1" applyFill="1" applyBorder="1"/>
    <xf numFmtId="0" fontId="27" fillId="41" borderId="12" xfId="0" applyFont="1" applyFill="1" applyBorder="1"/>
    <xf numFmtId="0" fontId="40" fillId="35" borderId="0" xfId="0" applyFont="1" applyFill="1" applyAlignment="1">
      <alignment horizontal="center"/>
    </xf>
    <xf numFmtId="0" fontId="42" fillId="0" borderId="0" xfId="0" applyFont="1" applyAlignment="1">
      <alignment horizontal="left" vertic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2" fillId="35" borderId="0" xfId="0" applyFont="1" applyFill="1" applyAlignment="1">
      <alignment horizontal="left" vertical="center"/>
    </xf>
    <xf numFmtId="0" fontId="40" fillId="35" borderId="0" xfId="0" applyFont="1" applyFill="1"/>
    <xf numFmtId="0" fontId="23" fillId="38" borderId="10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left" vertical="center" wrapText="1"/>
    </xf>
    <xf numFmtId="0" fontId="20" fillId="35" borderId="0" xfId="0" applyFont="1" applyFill="1" applyAlignment="1">
      <alignment horizontal="left" vertical="center" wrapText="1"/>
    </xf>
    <xf numFmtId="0" fontId="27" fillId="41" borderId="11" xfId="0" applyFont="1" applyFill="1" applyBorder="1" applyAlignment="1">
      <alignment wrapText="1"/>
    </xf>
    <xf numFmtId="0" fontId="27" fillId="35" borderId="0" xfId="0" applyFont="1" applyFill="1" applyAlignment="1">
      <alignment wrapText="1"/>
    </xf>
    <xf numFmtId="0" fontId="27" fillId="41" borderId="14" xfId="0" applyFont="1" applyFill="1" applyBorder="1" applyAlignment="1">
      <alignment wrapText="1"/>
    </xf>
    <xf numFmtId="0" fontId="23" fillId="38" borderId="14" xfId="0" applyFont="1" applyFill="1" applyBorder="1" applyAlignment="1">
      <alignment horizontal="center" vertical="center"/>
    </xf>
    <xf numFmtId="0" fontId="27" fillId="34" borderId="35" xfId="0" applyFont="1" applyFill="1" applyBorder="1" applyAlignment="1">
      <alignment horizontal="center"/>
    </xf>
    <xf numFmtId="0" fontId="27" fillId="34" borderId="17" xfId="0" applyFont="1" applyFill="1" applyBorder="1" applyAlignment="1">
      <alignment horizontal="center"/>
    </xf>
    <xf numFmtId="0" fontId="0" fillId="35" borderId="0" xfId="0" applyFill="1" applyAlignment="1">
      <alignment horizontal="center" wrapText="1"/>
    </xf>
    <xf numFmtId="0" fontId="27" fillId="0" borderId="12" xfId="0" applyFont="1" applyBorder="1" applyAlignment="1">
      <alignment horizontal="center" vertical="center"/>
    </xf>
    <xf numFmtId="0" fontId="27" fillId="34" borderId="35" xfId="0" applyFont="1" applyFill="1" applyBorder="1" applyAlignment="1">
      <alignment vertical="center"/>
    </xf>
    <xf numFmtId="0" fontId="27" fillId="34" borderId="20" xfId="0" applyFont="1" applyFill="1" applyBorder="1" applyAlignment="1">
      <alignment vertical="center"/>
    </xf>
    <xf numFmtId="0" fontId="0" fillId="37" borderId="14" xfId="0" applyFill="1" applyBorder="1" applyAlignment="1">
      <alignment horizontal="center" vertical="center" wrapText="1"/>
    </xf>
    <xf numFmtId="0" fontId="27" fillId="0" borderId="24" xfId="0" applyFont="1" applyBorder="1" applyAlignment="1">
      <alignment horizontal="center" wrapText="1"/>
    </xf>
    <xf numFmtId="0" fontId="27" fillId="0" borderId="37" xfId="0" applyFont="1" applyBorder="1" applyAlignment="1">
      <alignment horizontal="center" wrapText="1"/>
    </xf>
    <xf numFmtId="0" fontId="27" fillId="0" borderId="12" xfId="0" applyFont="1" applyBorder="1" applyAlignment="1">
      <alignment horizontal="left" vertical="center"/>
    </xf>
    <xf numFmtId="0" fontId="27" fillId="0" borderId="12" xfId="0" applyFont="1" applyBorder="1" applyAlignment="1">
      <alignment horizontal="center" wrapText="1"/>
    </xf>
    <xf numFmtId="0" fontId="27" fillId="0" borderId="40" xfId="0" applyFont="1" applyBorder="1" applyAlignment="1">
      <alignment horizontal="center" wrapText="1"/>
    </xf>
    <xf numFmtId="0" fontId="27" fillId="0" borderId="11" xfId="0" applyFont="1" applyBorder="1" applyAlignment="1">
      <alignment horizontal="center" wrapText="1"/>
    </xf>
    <xf numFmtId="0" fontId="27" fillId="0" borderId="38" xfId="0" applyFont="1" applyBorder="1" applyAlignment="1">
      <alignment horizontal="center" wrapText="1"/>
    </xf>
    <xf numFmtId="0" fontId="30" fillId="0" borderId="11" xfId="0" applyFont="1" applyBorder="1" applyAlignment="1">
      <alignment horizontal="center" wrapText="1"/>
    </xf>
    <xf numFmtId="0" fontId="30" fillId="0" borderId="38" xfId="0" applyFont="1" applyBorder="1" applyAlignment="1">
      <alignment horizontal="center" wrapText="1"/>
    </xf>
    <xf numFmtId="0" fontId="30" fillId="0" borderId="31" xfId="0" applyFont="1" applyBorder="1" applyAlignment="1">
      <alignment horizontal="center" wrapText="1"/>
    </xf>
    <xf numFmtId="0" fontId="30" fillId="0" borderId="39" xfId="0" applyFont="1" applyBorder="1" applyAlignment="1">
      <alignment horizontal="center" wrapText="1"/>
    </xf>
    <xf numFmtId="0" fontId="27" fillId="0" borderId="15" xfId="0" applyFont="1" applyBorder="1" applyAlignment="1">
      <alignment horizontal="left" vertical="center"/>
    </xf>
    <xf numFmtId="0" fontId="27" fillId="0" borderId="1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wrapText="1"/>
    </xf>
    <xf numFmtId="0" fontId="30" fillId="0" borderId="42" xfId="0" applyFont="1" applyBorder="1" applyAlignment="1">
      <alignment horizontal="center" wrapText="1"/>
    </xf>
    <xf numFmtId="0" fontId="27" fillId="0" borderId="11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10" xfId="0" applyFont="1" applyBorder="1"/>
    <xf numFmtId="0" fontId="0" fillId="0" borderId="11" xfId="0" applyBorder="1" applyAlignment="1">
      <alignment horizontal="left" indent="2"/>
    </xf>
    <xf numFmtId="0" fontId="0" fillId="35" borderId="11" xfId="0" applyFill="1" applyBorder="1"/>
    <xf numFmtId="1" fontId="27" fillId="0" borderId="12" xfId="0" applyNumberFormat="1" applyFont="1" applyBorder="1" applyAlignment="1">
      <alignment horizontal="center" vertical="center"/>
    </xf>
    <xf numFmtId="1" fontId="27" fillId="0" borderId="11" xfId="0" applyNumberFormat="1" applyFont="1" applyBorder="1" applyAlignment="1">
      <alignment horizontal="center" vertical="center"/>
    </xf>
    <xf numFmtId="1" fontId="27" fillId="0" borderId="31" xfId="0" applyNumberFormat="1" applyFont="1" applyBorder="1" applyAlignment="1">
      <alignment horizontal="center" vertical="center"/>
    </xf>
    <xf numFmtId="1" fontId="27" fillId="35" borderId="0" xfId="0" applyNumberFormat="1" applyFont="1" applyFill="1"/>
    <xf numFmtId="1" fontId="27" fillId="0" borderId="15" xfId="0" applyNumberFormat="1" applyFont="1" applyBorder="1" applyAlignment="1">
      <alignment horizontal="center" vertical="center"/>
    </xf>
    <xf numFmtId="1" fontId="27" fillId="35" borderId="24" xfId="0" applyNumberFormat="1" applyFont="1" applyFill="1" applyBorder="1" applyAlignment="1">
      <alignment horizontal="center" vertical="center"/>
    </xf>
    <xf numFmtId="1" fontId="27" fillId="35" borderId="12" xfId="0" applyNumberFormat="1" applyFont="1" applyFill="1" applyBorder="1" applyAlignment="1">
      <alignment horizontal="center" vertical="center"/>
    </xf>
    <xf numFmtId="1" fontId="27" fillId="35" borderId="11" xfId="0" applyNumberFormat="1" applyFont="1" applyFill="1" applyBorder="1" applyAlignment="1">
      <alignment horizontal="center" vertical="center"/>
    </xf>
    <xf numFmtId="0" fontId="27" fillId="35" borderId="31" xfId="0" applyFont="1" applyFill="1" applyBorder="1" applyAlignment="1">
      <alignment horizontal="left" vertical="center"/>
    </xf>
    <xf numFmtId="0" fontId="27" fillId="35" borderId="31" xfId="0" applyFont="1" applyFill="1" applyBorder="1" applyAlignment="1">
      <alignment horizontal="center" vertical="center"/>
    </xf>
    <xf numFmtId="0" fontId="27" fillId="35" borderId="39" xfId="0" applyFont="1" applyFill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0" fontId="27" fillId="35" borderId="11" xfId="0" applyFont="1" applyFill="1" applyBorder="1" applyAlignment="1">
      <alignment horizontal="left"/>
    </xf>
    <xf numFmtId="0" fontId="24" fillId="36" borderId="0" xfId="0" applyFont="1" applyFill="1" applyAlignment="1">
      <alignment horizontal="left" vertical="center"/>
    </xf>
    <xf numFmtId="0" fontId="23" fillId="34" borderId="11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left" vertical="center" wrapText="1"/>
    </xf>
    <xf numFmtId="0" fontId="28" fillId="35" borderId="10" xfId="0" applyFont="1" applyFill="1" applyBorder="1" applyAlignment="1">
      <alignment horizontal="left"/>
    </xf>
    <xf numFmtId="0" fontId="28" fillId="35" borderId="16" xfId="0" applyFont="1" applyFill="1" applyBorder="1" applyAlignment="1">
      <alignment horizontal="left"/>
    </xf>
    <xf numFmtId="0" fontId="28" fillId="35" borderId="14" xfId="0" applyFont="1" applyFill="1" applyBorder="1" applyAlignment="1">
      <alignment horizontal="left"/>
    </xf>
    <xf numFmtId="0" fontId="28" fillId="0" borderId="10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7" fillId="0" borderId="10" xfId="0" applyFont="1" applyBorder="1" applyAlignment="1">
      <alignment horizontal="left"/>
    </xf>
    <xf numFmtId="0" fontId="27" fillId="0" borderId="16" xfId="0" applyFont="1" applyBorder="1" applyAlignment="1">
      <alignment horizontal="left"/>
    </xf>
    <xf numFmtId="0" fontId="27" fillId="0" borderId="14" xfId="0" applyFont="1" applyBorder="1" applyAlignment="1">
      <alignment horizontal="left"/>
    </xf>
    <xf numFmtId="0" fontId="28" fillId="0" borderId="1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35" borderId="0" xfId="0" applyFill="1" applyAlignment="1">
      <alignment horizontal="center"/>
    </xf>
    <xf numFmtId="0" fontId="24" fillId="36" borderId="0" xfId="0" applyFont="1" applyFill="1" applyAlignment="1">
      <alignment horizontal="center" vertical="center"/>
    </xf>
    <xf numFmtId="0" fontId="23" fillId="38" borderId="10" xfId="0" applyFont="1" applyFill="1" applyBorder="1" applyAlignment="1">
      <alignment horizontal="center" vertical="center" wrapText="1"/>
    </xf>
    <xf numFmtId="0" fontId="23" fillId="38" borderId="16" xfId="0" applyFont="1" applyFill="1" applyBorder="1" applyAlignment="1">
      <alignment horizontal="center" vertical="center" wrapText="1"/>
    </xf>
    <xf numFmtId="0" fontId="23" fillId="38" borderId="14" xfId="0" applyFont="1" applyFill="1" applyBorder="1" applyAlignment="1">
      <alignment horizontal="center" vertical="center" wrapText="1"/>
    </xf>
    <xf numFmtId="0" fontId="23" fillId="38" borderId="11" xfId="0" applyFont="1" applyFill="1" applyBorder="1" applyAlignment="1">
      <alignment horizontal="center" vertical="center"/>
    </xf>
    <xf numFmtId="0" fontId="23" fillId="38" borderId="10" xfId="0" applyFont="1" applyFill="1" applyBorder="1" applyAlignment="1">
      <alignment horizontal="center" vertical="center"/>
    </xf>
    <xf numFmtId="0" fontId="23" fillId="38" borderId="14" xfId="0" applyFont="1" applyFill="1" applyBorder="1" applyAlignment="1">
      <alignment horizontal="center" vertical="center"/>
    </xf>
    <xf numFmtId="0" fontId="23" fillId="38" borderId="16" xfId="0" applyFont="1" applyFill="1" applyBorder="1" applyAlignment="1">
      <alignment horizontal="center" vertical="center"/>
    </xf>
    <xf numFmtId="0" fontId="27" fillId="34" borderId="18" xfId="0" applyFont="1" applyFill="1" applyBorder="1" applyAlignment="1">
      <alignment horizontal="left" vertical="center" wrapText="1"/>
    </xf>
    <xf numFmtId="0" fontId="27" fillId="34" borderId="34" xfId="0" applyFont="1" applyFill="1" applyBorder="1" applyAlignment="1">
      <alignment horizontal="left" vertical="center" wrapText="1"/>
    </xf>
    <xf numFmtId="0" fontId="27" fillId="34" borderId="19" xfId="0" applyFont="1" applyFill="1" applyBorder="1" applyAlignment="1">
      <alignment horizontal="left" vertical="center" wrapText="1"/>
    </xf>
    <xf numFmtId="0" fontId="27" fillId="34" borderId="0" xfId="0" applyFont="1" applyFill="1" applyAlignment="1">
      <alignment horizontal="left" vertical="center" wrapText="1"/>
    </xf>
    <xf numFmtId="0" fontId="27" fillId="34" borderId="36" xfId="0" applyFont="1" applyFill="1" applyBorder="1" applyAlignment="1">
      <alignment horizontal="left" vertical="center" wrapText="1"/>
    </xf>
    <xf numFmtId="0" fontId="27" fillId="34" borderId="21" xfId="0" applyFont="1" applyFill="1" applyBorder="1" applyAlignment="1">
      <alignment horizontal="left" vertical="center" wrapText="1"/>
    </xf>
    <xf numFmtId="0" fontId="26" fillId="39" borderId="11" xfId="0" applyFont="1" applyFill="1" applyBorder="1" applyAlignment="1">
      <alignment horizontal="center" vertical="center" wrapText="1"/>
    </xf>
    <xf numFmtId="0" fontId="27" fillId="39" borderId="11" xfId="0" applyFont="1" applyFill="1" applyBorder="1" applyAlignment="1">
      <alignment horizontal="center" vertical="center" wrapText="1"/>
    </xf>
    <xf numFmtId="0" fontId="27" fillId="34" borderId="35" xfId="0" applyFont="1" applyFill="1" applyBorder="1" applyAlignment="1">
      <alignment horizontal="center"/>
    </xf>
    <xf numFmtId="0" fontId="27" fillId="34" borderId="17" xfId="0" applyFont="1" applyFill="1" applyBorder="1" applyAlignment="1">
      <alignment horizontal="center"/>
    </xf>
    <xf numFmtId="0" fontId="27" fillId="0" borderId="11" xfId="0" applyFont="1" applyBorder="1" applyAlignment="1">
      <alignment horizontal="left" vertical="center"/>
    </xf>
    <xf numFmtId="0" fontId="27" fillId="42" borderId="15" xfId="0" applyFont="1" applyFill="1" applyBorder="1" applyAlignment="1">
      <alignment horizontal="center"/>
    </xf>
    <xf numFmtId="0" fontId="27" fillId="42" borderId="13" xfId="0" applyFont="1" applyFill="1" applyBorder="1" applyAlignment="1">
      <alignment horizontal="center"/>
    </xf>
    <xf numFmtId="0" fontId="27" fillId="42" borderId="12" xfId="0" applyFont="1" applyFill="1" applyBorder="1" applyAlignment="1">
      <alignment horizontal="center"/>
    </xf>
    <xf numFmtId="49" fontId="27" fillId="39" borderId="11" xfId="0" applyNumberFormat="1" applyFont="1" applyFill="1" applyBorder="1" applyAlignment="1">
      <alignment horizontal="center" vertical="center" wrapText="1"/>
    </xf>
    <xf numFmtId="0" fontId="26" fillId="39" borderId="15" xfId="0" applyFont="1" applyFill="1" applyBorder="1" applyAlignment="1">
      <alignment horizontal="center" vertical="center" wrapText="1"/>
    </xf>
    <xf numFmtId="0" fontId="26" fillId="39" borderId="13" xfId="0" applyFont="1" applyFill="1" applyBorder="1" applyAlignment="1">
      <alignment horizontal="center" vertical="center" wrapText="1"/>
    </xf>
    <xf numFmtId="0" fontId="27" fillId="39" borderId="15" xfId="0" applyFont="1" applyFill="1" applyBorder="1" applyAlignment="1">
      <alignment horizontal="center" vertical="center"/>
    </xf>
    <xf numFmtId="0" fontId="27" fillId="39" borderId="13" xfId="0" applyFont="1" applyFill="1" applyBorder="1" applyAlignment="1">
      <alignment horizontal="center" vertical="center"/>
    </xf>
    <xf numFmtId="0" fontId="27" fillId="39" borderId="12" xfId="0" applyFont="1" applyFill="1" applyBorder="1" applyAlignment="1">
      <alignment horizontal="center" vertical="center"/>
    </xf>
    <xf numFmtId="0" fontId="23" fillId="38" borderId="18" xfId="0" applyFont="1" applyFill="1" applyBorder="1" applyAlignment="1">
      <alignment horizontal="left" vertical="center" wrapText="1"/>
    </xf>
    <xf numFmtId="0" fontId="23" fillId="38" borderId="34" xfId="0" applyFont="1" applyFill="1" applyBorder="1" applyAlignment="1">
      <alignment horizontal="left" vertical="center" wrapText="1"/>
    </xf>
    <xf numFmtId="0" fontId="23" fillId="38" borderId="35" xfId="0" applyFont="1" applyFill="1" applyBorder="1" applyAlignment="1">
      <alignment horizontal="left" vertical="center" wrapText="1"/>
    </xf>
    <xf numFmtId="0" fontId="41" fillId="41" borderId="10" xfId="0" applyFont="1" applyFill="1" applyBorder="1" applyAlignment="1">
      <alignment horizontal="left" vertical="center"/>
    </xf>
    <xf numFmtId="0" fontId="41" fillId="41" borderId="16" xfId="0" applyFont="1" applyFill="1" applyBorder="1" applyAlignment="1">
      <alignment horizontal="left" vertical="center"/>
    </xf>
    <xf numFmtId="0" fontId="41" fillId="41" borderId="14" xfId="0" applyFont="1" applyFill="1" applyBorder="1" applyAlignment="1">
      <alignment horizontal="left" vertical="center"/>
    </xf>
    <xf numFmtId="0" fontId="23" fillId="38" borderId="11" xfId="0" applyFont="1" applyFill="1" applyBorder="1" applyAlignment="1">
      <alignment horizontal="left" vertical="center" wrapText="1"/>
    </xf>
    <xf numFmtId="0" fontId="41" fillId="41" borderId="11" xfId="0" applyFont="1" applyFill="1" applyBorder="1" applyAlignment="1">
      <alignment horizontal="left" vertical="center"/>
    </xf>
    <xf numFmtId="0" fontId="23" fillId="38" borderId="15" xfId="0" applyFont="1" applyFill="1" applyBorder="1" applyAlignment="1">
      <alignment horizontal="center" vertical="center"/>
    </xf>
    <xf numFmtId="0" fontId="23" fillId="38" borderId="12" xfId="0" applyFont="1" applyFill="1" applyBorder="1" applyAlignment="1">
      <alignment horizontal="center" vertical="center"/>
    </xf>
    <xf numFmtId="0" fontId="23" fillId="38" borderId="15" xfId="0" applyFont="1" applyFill="1" applyBorder="1" applyAlignment="1">
      <alignment horizontal="center" vertical="center" wrapText="1"/>
    </xf>
    <xf numFmtId="0" fontId="25" fillId="37" borderId="11" xfId="0" applyFont="1" applyFill="1" applyBorder="1" applyAlignment="1">
      <alignment horizontal="center" vertical="center" wrapText="1"/>
    </xf>
    <xf numFmtId="0" fontId="23" fillId="38" borderId="13" xfId="0" applyFont="1" applyFill="1" applyBorder="1" applyAlignment="1">
      <alignment horizontal="center" vertical="center"/>
    </xf>
    <xf numFmtId="0" fontId="25" fillId="37" borderId="15" xfId="0" applyFont="1" applyFill="1" applyBorder="1" applyAlignment="1">
      <alignment horizontal="center" vertical="center" wrapText="1"/>
    </xf>
    <xf numFmtId="0" fontId="25" fillId="37" borderId="12" xfId="0" applyFont="1" applyFill="1" applyBorder="1" applyAlignment="1">
      <alignment horizontal="center" vertical="center" wrapText="1"/>
    </xf>
    <xf numFmtId="0" fontId="23" fillId="38" borderId="11" xfId="0" applyFont="1" applyFill="1" applyBorder="1" applyAlignment="1">
      <alignment horizontal="center" vertical="center" wrapText="1"/>
    </xf>
    <xf numFmtId="0" fontId="26" fillId="40" borderId="22" xfId="0" applyFont="1" applyFill="1" applyBorder="1" applyAlignment="1">
      <alignment horizontal="center" vertical="center" wrapText="1"/>
    </xf>
    <xf numFmtId="0" fontId="26" fillId="40" borderId="23" xfId="0" applyFont="1" applyFill="1" applyBorder="1" applyAlignment="1">
      <alignment horizontal="center" vertical="center" wrapText="1"/>
    </xf>
    <xf numFmtId="0" fontId="26" fillId="40" borderId="27" xfId="0" applyFont="1" applyFill="1" applyBorder="1" applyAlignment="1">
      <alignment horizontal="center" vertical="center" wrapText="1"/>
    </xf>
    <xf numFmtId="0" fontId="26" fillId="40" borderId="20" xfId="0" applyFont="1" applyFill="1" applyBorder="1" applyAlignment="1">
      <alignment horizontal="center" vertical="center" wrapText="1"/>
    </xf>
    <xf numFmtId="0" fontId="26" fillId="40" borderId="29" xfId="0" applyFont="1" applyFill="1" applyBorder="1" applyAlignment="1">
      <alignment horizontal="center" vertical="center" wrapText="1"/>
    </xf>
    <xf numFmtId="0" fontId="26" fillId="40" borderId="30" xfId="0" applyFont="1" applyFill="1" applyBorder="1" applyAlignment="1">
      <alignment horizontal="center" vertical="center" wrapText="1"/>
    </xf>
    <xf numFmtId="0" fontId="31" fillId="35" borderId="22" xfId="0" applyFont="1" applyFill="1" applyBorder="1" applyAlignment="1">
      <alignment horizontal="center" vertical="center" wrapText="1"/>
    </xf>
    <xf numFmtId="0" fontId="31" fillId="35" borderId="25" xfId="0" applyFont="1" applyFill="1" applyBorder="1" applyAlignment="1">
      <alignment horizontal="center" vertical="center" wrapText="1"/>
    </xf>
    <xf numFmtId="0" fontId="31" fillId="35" borderId="26" xfId="0" applyFont="1" applyFill="1" applyBorder="1" applyAlignment="1">
      <alignment horizontal="center" vertical="center" wrapText="1"/>
    </xf>
    <xf numFmtId="0" fontId="31" fillId="35" borderId="27" xfId="0" applyFont="1" applyFill="1" applyBorder="1" applyAlignment="1">
      <alignment horizontal="center" vertical="center" wrapText="1"/>
    </xf>
    <xf numFmtId="0" fontId="31" fillId="35" borderId="0" xfId="0" applyFont="1" applyFill="1" applyAlignment="1">
      <alignment horizontal="center" vertical="center" wrapText="1"/>
    </xf>
    <xf numFmtId="0" fontId="31" fillId="35" borderId="28" xfId="0" applyFont="1" applyFill="1" applyBorder="1" applyAlignment="1">
      <alignment horizontal="center" vertical="center" wrapText="1"/>
    </xf>
    <xf numFmtId="0" fontId="31" fillId="35" borderId="29" xfId="0" applyFont="1" applyFill="1" applyBorder="1" applyAlignment="1">
      <alignment horizontal="center" vertical="center" wrapText="1"/>
    </xf>
    <xf numFmtId="0" fontId="31" fillId="35" borderId="32" xfId="0" applyFont="1" applyFill="1" applyBorder="1" applyAlignment="1">
      <alignment horizontal="center" vertical="center" wrapText="1"/>
    </xf>
    <xf numFmtId="0" fontId="31" fillId="35" borderId="33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23" fillId="38" borderId="18" xfId="0" applyFont="1" applyFill="1" applyBorder="1" applyAlignment="1">
      <alignment horizontal="center" vertical="center"/>
    </xf>
    <xf numFmtId="0" fontId="23" fillId="38" borderId="35" xfId="0" applyFont="1" applyFill="1" applyBorder="1" applyAlignment="1">
      <alignment horizontal="center" vertical="center"/>
    </xf>
    <xf numFmtId="0" fontId="23" fillId="38" borderId="43" xfId="0" applyFont="1" applyFill="1" applyBorder="1" applyAlignment="1">
      <alignment horizontal="center" vertical="center"/>
    </xf>
    <xf numFmtId="0" fontId="23" fillId="38" borderId="30" xfId="0" applyFont="1" applyFill="1" applyBorder="1" applyAlignment="1">
      <alignment horizontal="center" vertical="center"/>
    </xf>
    <xf numFmtId="0" fontId="25" fillId="37" borderId="41" xfId="0" applyFont="1" applyFill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2" xfId="44" xr:uid="{00000000-0005-0000-0000-00001C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2" xr:uid="{00000000-0005-0000-0000-000027000000}"/>
    <cellStyle name="Normal 8" xfId="43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calcChain" Target="calcChain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Relationship Type="http://schemas.openxmlformats.org/officeDocument/2006/relationships/customXml" Target="/customXML/item2.xml" Id="Rbf331d5a19a5435d" 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87442</xdr:colOff>
      <xdr:row>17</xdr:row>
      <xdr:rowOff>174996</xdr:rowOff>
    </xdr:from>
    <xdr:to>
      <xdr:col>9</xdr:col>
      <xdr:colOff>544936</xdr:colOff>
      <xdr:row>22</xdr:row>
      <xdr:rowOff>206013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7A59DB66-C8B0-408E-975D-447C463157F1}"/>
            </a:ext>
          </a:extLst>
        </xdr:cNvPr>
        <xdr:cNvSpPr/>
      </xdr:nvSpPr>
      <xdr:spPr>
        <a:xfrm rot="16200000">
          <a:off x="10320980" y="5457683"/>
          <a:ext cx="1307367" cy="457494"/>
        </a:xfrm>
        <a:prstGeom prst="triangl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2"/>
  <sheetViews>
    <sheetView workbookViewId="0">
      <selection activeCell="N14" sqref="N14"/>
    </sheetView>
  </sheetViews>
  <sheetFormatPr defaultRowHeight="15" outlineLevelRow="1" x14ac:dyDescent="0.25"/>
  <cols>
    <col min="1" max="1" width="23" bestFit="1" customWidth="1"/>
    <col min="2" max="2" width="13.85546875" bestFit="1" customWidth="1"/>
    <col min="3" max="3" width="16.42578125" customWidth="1"/>
    <col min="4" max="4" width="14.140625" customWidth="1"/>
    <col min="5" max="5" width="20.85546875" bestFit="1" customWidth="1"/>
    <col min="7" max="7" width="13.42578125" customWidth="1"/>
    <col min="9" max="9" width="14.5703125" customWidth="1"/>
    <col min="10" max="10" width="20.7109375" customWidth="1"/>
  </cols>
  <sheetData>
    <row r="1" spans="1:45" ht="34.5" x14ac:dyDescent="0.4">
      <c r="A1" s="6" t="s">
        <v>7</v>
      </c>
      <c r="B1" s="4" t="s">
        <v>33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8" spans="1:45" x14ac:dyDescent="0.25">
      <c r="A8" s="133" t="s">
        <v>0</v>
      </c>
      <c r="B8" s="133" t="s">
        <v>9</v>
      </c>
      <c r="C8" s="133"/>
      <c r="D8" s="132" t="s">
        <v>10</v>
      </c>
      <c r="E8" s="132"/>
      <c r="F8" s="132"/>
      <c r="G8" s="132" t="s">
        <v>5</v>
      </c>
      <c r="H8" s="132" t="s">
        <v>4</v>
      </c>
      <c r="I8" s="132" t="s">
        <v>31</v>
      </c>
      <c r="J8" s="132" t="s">
        <v>32</v>
      </c>
    </row>
    <row r="9" spans="1:45" ht="30" x14ac:dyDescent="0.25">
      <c r="A9" s="133"/>
      <c r="B9" s="7" t="s">
        <v>1</v>
      </c>
      <c r="C9" s="7" t="s">
        <v>2</v>
      </c>
      <c r="D9" s="8" t="s">
        <v>3</v>
      </c>
      <c r="E9" s="8" t="s">
        <v>8</v>
      </c>
      <c r="F9" s="8" t="s">
        <v>13</v>
      </c>
      <c r="G9" s="132"/>
      <c r="H9" s="132"/>
      <c r="I9" s="132"/>
      <c r="J9" s="132"/>
    </row>
    <row r="10" spans="1:45" x14ac:dyDescent="0.25">
      <c r="A10" s="12"/>
      <c r="B10" s="2"/>
      <c r="C10" s="2"/>
      <c r="D10" s="11"/>
      <c r="E10" s="11"/>
      <c r="F10" s="11"/>
      <c r="G10" s="1"/>
      <c r="H10" s="1"/>
      <c r="I10" s="1"/>
      <c r="J10" s="1"/>
    </row>
    <row r="11" spans="1:45" x14ac:dyDescent="0.25">
      <c r="A11" s="10" t="s">
        <v>11</v>
      </c>
      <c r="B11" s="10">
        <f>SUM(B12:B30)</f>
        <v>83</v>
      </c>
      <c r="C11" s="10">
        <f>SUM(C12:C30)</f>
        <v>41</v>
      </c>
      <c r="D11" s="10">
        <f>SUM(D12:D30)</f>
        <v>19</v>
      </c>
      <c r="E11" s="10"/>
      <c r="F11" s="10"/>
      <c r="G11" s="10" t="s">
        <v>30</v>
      </c>
      <c r="H11" s="10">
        <v>1</v>
      </c>
      <c r="I11" s="10"/>
      <c r="J11" s="10"/>
    </row>
    <row r="12" spans="1:45" outlineLevel="1" x14ac:dyDescent="0.25">
      <c r="A12" t="s">
        <v>12</v>
      </c>
      <c r="B12" s="9">
        <v>3</v>
      </c>
      <c r="C12" s="9">
        <v>0</v>
      </c>
      <c r="D12" s="9">
        <v>1</v>
      </c>
      <c r="E12" s="9" t="s">
        <v>6</v>
      </c>
      <c r="F12" s="9">
        <v>4305</v>
      </c>
    </row>
    <row r="13" spans="1:45" outlineLevel="1" x14ac:dyDescent="0.25">
      <c r="B13" s="10">
        <v>2</v>
      </c>
      <c r="C13" s="10">
        <v>1</v>
      </c>
      <c r="D13" s="10">
        <v>1</v>
      </c>
      <c r="E13" s="10" t="s">
        <v>15</v>
      </c>
      <c r="F13" s="10">
        <v>4301</v>
      </c>
    </row>
    <row r="14" spans="1:45" outlineLevel="1" x14ac:dyDescent="0.25">
      <c r="B14" s="10">
        <v>3</v>
      </c>
      <c r="C14" s="10">
        <v>0</v>
      </c>
      <c r="D14" s="10">
        <v>1</v>
      </c>
      <c r="E14" s="10" t="s">
        <v>16</v>
      </c>
      <c r="F14" s="10">
        <v>4305</v>
      </c>
    </row>
    <row r="15" spans="1:45" outlineLevel="1" x14ac:dyDescent="0.25">
      <c r="B15" s="10">
        <v>2</v>
      </c>
      <c r="C15" s="10">
        <v>3</v>
      </c>
      <c r="D15" s="10">
        <v>1</v>
      </c>
      <c r="E15" s="10" t="s">
        <v>17</v>
      </c>
      <c r="F15" s="10">
        <v>4306</v>
      </c>
    </row>
    <row r="16" spans="1:45" outlineLevel="1" x14ac:dyDescent="0.25">
      <c r="B16" s="10">
        <v>4</v>
      </c>
      <c r="C16" s="10">
        <v>0</v>
      </c>
      <c r="D16" s="10">
        <v>1</v>
      </c>
      <c r="E16" s="10" t="s">
        <v>18</v>
      </c>
      <c r="F16" s="10">
        <v>4340</v>
      </c>
    </row>
    <row r="17" spans="1:6" outlineLevel="1" x14ac:dyDescent="0.25">
      <c r="B17" s="10">
        <v>2</v>
      </c>
      <c r="C17" s="10">
        <v>1</v>
      </c>
      <c r="D17" s="10">
        <v>1</v>
      </c>
      <c r="E17" s="10" t="s">
        <v>19</v>
      </c>
      <c r="F17" s="10">
        <v>4306</v>
      </c>
    </row>
    <row r="18" spans="1:6" outlineLevel="1" x14ac:dyDescent="0.25">
      <c r="B18" s="10">
        <v>9</v>
      </c>
      <c r="C18" s="10">
        <v>0</v>
      </c>
      <c r="D18" s="10">
        <v>1</v>
      </c>
      <c r="E18" s="10" t="s">
        <v>20</v>
      </c>
      <c r="F18" s="10">
        <v>4311</v>
      </c>
    </row>
    <row r="19" spans="1:6" outlineLevel="1" x14ac:dyDescent="0.25">
      <c r="B19" s="10">
        <v>10</v>
      </c>
      <c r="C19" s="10">
        <v>0</v>
      </c>
      <c r="D19" s="10">
        <v>1</v>
      </c>
      <c r="E19" s="10" t="s">
        <v>21</v>
      </c>
      <c r="F19" s="10">
        <v>4305</v>
      </c>
    </row>
    <row r="20" spans="1:6" outlineLevel="1" x14ac:dyDescent="0.25">
      <c r="B20" s="10">
        <v>2</v>
      </c>
      <c r="C20" s="10">
        <v>0</v>
      </c>
      <c r="D20" s="10">
        <v>1</v>
      </c>
      <c r="E20" s="10" t="s">
        <v>22</v>
      </c>
      <c r="F20" s="10">
        <v>4304</v>
      </c>
    </row>
    <row r="21" spans="1:6" outlineLevel="1" x14ac:dyDescent="0.25">
      <c r="B21" s="10">
        <v>2</v>
      </c>
      <c r="C21" s="10">
        <v>0</v>
      </c>
      <c r="D21" s="10">
        <v>1</v>
      </c>
      <c r="E21" s="10" t="s">
        <v>23</v>
      </c>
      <c r="F21" s="10">
        <v>4305</v>
      </c>
    </row>
    <row r="22" spans="1:6" outlineLevel="1" x14ac:dyDescent="0.25">
      <c r="B22" s="10">
        <v>6</v>
      </c>
      <c r="C22" s="10">
        <v>1</v>
      </c>
      <c r="D22" s="10">
        <v>1</v>
      </c>
      <c r="E22" s="10" t="s">
        <v>24</v>
      </c>
      <c r="F22" s="10">
        <v>4306</v>
      </c>
    </row>
    <row r="23" spans="1:6" outlineLevel="1" x14ac:dyDescent="0.25">
      <c r="B23" s="10">
        <v>1</v>
      </c>
      <c r="C23" s="10">
        <v>0</v>
      </c>
      <c r="D23" s="10">
        <v>1</v>
      </c>
      <c r="E23" s="10" t="s">
        <v>25</v>
      </c>
      <c r="F23" s="10">
        <v>4305</v>
      </c>
    </row>
    <row r="24" spans="1:6" outlineLevel="1" x14ac:dyDescent="0.25">
      <c r="B24" s="10">
        <v>3</v>
      </c>
      <c r="C24" s="10">
        <v>0</v>
      </c>
      <c r="D24" s="10">
        <v>1</v>
      </c>
      <c r="E24" s="10" t="s">
        <v>26</v>
      </c>
      <c r="F24" s="10">
        <v>4311</v>
      </c>
    </row>
    <row r="25" spans="1:6" outlineLevel="1" x14ac:dyDescent="0.25">
      <c r="B25" s="10">
        <v>5</v>
      </c>
      <c r="C25" s="10">
        <v>0</v>
      </c>
      <c r="D25" s="10">
        <v>1</v>
      </c>
      <c r="E25" s="10" t="s">
        <v>27</v>
      </c>
      <c r="F25" s="10">
        <v>4305</v>
      </c>
    </row>
    <row r="26" spans="1:6" outlineLevel="1" x14ac:dyDescent="0.25">
      <c r="B26" s="10">
        <v>2</v>
      </c>
      <c r="C26" s="10">
        <v>4</v>
      </c>
      <c r="D26" s="10">
        <v>1</v>
      </c>
      <c r="E26" s="10" t="s">
        <v>23</v>
      </c>
      <c r="F26" s="10">
        <v>4305</v>
      </c>
    </row>
    <row r="27" spans="1:6" outlineLevel="1" x14ac:dyDescent="0.25">
      <c r="B27" s="10">
        <v>10</v>
      </c>
      <c r="C27" s="10">
        <v>14</v>
      </c>
      <c r="D27" s="10">
        <v>1</v>
      </c>
      <c r="E27" s="10" t="s">
        <v>6</v>
      </c>
      <c r="F27" s="10">
        <v>4305</v>
      </c>
    </row>
    <row r="28" spans="1:6" outlineLevel="1" x14ac:dyDescent="0.25">
      <c r="B28" s="10">
        <v>11</v>
      </c>
      <c r="C28" s="10">
        <v>16</v>
      </c>
      <c r="D28" s="10">
        <v>1</v>
      </c>
      <c r="E28" s="10" t="s">
        <v>14</v>
      </c>
      <c r="F28" s="10">
        <v>4305</v>
      </c>
    </row>
    <row r="29" spans="1:6" outlineLevel="1" x14ac:dyDescent="0.25">
      <c r="B29" s="10">
        <v>3</v>
      </c>
      <c r="C29" s="10">
        <v>1</v>
      </c>
      <c r="D29" s="10">
        <v>1</v>
      </c>
      <c r="E29" s="10" t="s">
        <v>28</v>
      </c>
      <c r="F29" s="10">
        <v>4305</v>
      </c>
    </row>
    <row r="30" spans="1:6" outlineLevel="1" x14ac:dyDescent="0.25">
      <c r="B30" s="10">
        <v>3</v>
      </c>
      <c r="C30" s="10">
        <v>0</v>
      </c>
      <c r="D30" s="10">
        <v>1</v>
      </c>
      <c r="E30" s="10" t="s">
        <v>29</v>
      </c>
      <c r="F30" s="10">
        <v>4300</v>
      </c>
    </row>
    <row r="32" spans="1:6" x14ac:dyDescent="0.25">
      <c r="A32" t="s">
        <v>34</v>
      </c>
    </row>
  </sheetData>
  <mergeCells count="7">
    <mergeCell ref="D8:F8"/>
    <mergeCell ref="J8:J9"/>
    <mergeCell ref="I8:I9"/>
    <mergeCell ref="B8:C8"/>
    <mergeCell ref="A8:A9"/>
    <mergeCell ref="G8:G9"/>
    <mergeCell ref="H8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8"/>
  <sheetViews>
    <sheetView showGridLines="0" tabSelected="1" zoomScale="90" zoomScaleNormal="90" workbookViewId="0">
      <selection activeCell="B22" sqref="B22"/>
    </sheetView>
  </sheetViews>
  <sheetFormatPr defaultColWidth="9.140625" defaultRowHeight="15" x14ac:dyDescent="0.25"/>
  <cols>
    <col min="1" max="1" width="8.85546875" style="14" bestFit="1" customWidth="1"/>
    <col min="2" max="2" width="34.42578125" style="13" customWidth="1"/>
    <col min="3" max="3" width="23.7109375" style="13" customWidth="1"/>
    <col min="4" max="4" width="35.28515625" style="13" customWidth="1"/>
    <col min="5" max="5" width="26.5703125" style="13" customWidth="1"/>
    <col min="6" max="6" width="13" style="13" customWidth="1"/>
    <col min="7" max="7" width="9.140625" style="13"/>
    <col min="8" max="8" width="72.85546875" style="13" customWidth="1"/>
    <col min="9" max="9" width="4.7109375" style="13" customWidth="1"/>
    <col min="10" max="13" width="9.140625" style="13"/>
    <col min="14" max="14" width="122.7109375" style="13" customWidth="1"/>
    <col min="15" max="16384" width="9.140625" style="13"/>
  </cols>
  <sheetData>
    <row r="2" spans="1:8" ht="36" customHeight="1" x14ac:dyDescent="0.25">
      <c r="A2" s="120" t="s">
        <v>71</v>
      </c>
      <c r="B2" s="120"/>
      <c r="C2" s="120"/>
      <c r="D2" s="120"/>
      <c r="E2" s="120"/>
      <c r="F2" s="120"/>
      <c r="G2" s="120"/>
      <c r="H2" s="120"/>
    </row>
    <row r="4" spans="1:8" ht="18" x14ac:dyDescent="0.25">
      <c r="A4" s="44" t="s">
        <v>72</v>
      </c>
      <c r="B4" s="45" t="s">
        <v>73</v>
      </c>
      <c r="C4" s="121" t="s">
        <v>74</v>
      </c>
      <c r="D4" s="121"/>
      <c r="E4" s="121"/>
      <c r="F4" s="121"/>
      <c r="G4" s="121"/>
      <c r="H4" s="121"/>
    </row>
    <row r="5" spans="1:8" ht="15.75" x14ac:dyDescent="0.25">
      <c r="A5" s="46">
        <v>1</v>
      </c>
      <c r="B5" s="47" t="s">
        <v>75</v>
      </c>
      <c r="C5" s="119" t="s">
        <v>139</v>
      </c>
      <c r="D5" s="119"/>
      <c r="E5" s="119"/>
      <c r="F5" s="119"/>
      <c r="G5" s="119"/>
      <c r="H5" s="119"/>
    </row>
    <row r="6" spans="1:8" ht="15.75" x14ac:dyDescent="0.25">
      <c r="A6" s="46">
        <v>2</v>
      </c>
      <c r="B6" s="47" t="s">
        <v>76</v>
      </c>
      <c r="C6" s="119" t="s">
        <v>138</v>
      </c>
      <c r="D6" s="119"/>
      <c r="E6" s="119"/>
      <c r="F6" s="119"/>
      <c r="G6" s="119"/>
      <c r="H6" s="119"/>
    </row>
    <row r="7" spans="1:8" ht="15.75" x14ac:dyDescent="0.25">
      <c r="A7" s="46">
        <v>3</v>
      </c>
      <c r="B7" s="47" t="s">
        <v>77</v>
      </c>
      <c r="C7" s="119" t="s">
        <v>140</v>
      </c>
      <c r="D7" s="119"/>
      <c r="E7" s="119"/>
      <c r="F7" s="119"/>
      <c r="G7" s="119"/>
      <c r="H7" s="119"/>
    </row>
    <row r="8" spans="1:8" ht="15.75" x14ac:dyDescent="0.25">
      <c r="A8" s="46">
        <v>4</v>
      </c>
      <c r="B8" s="47" t="s">
        <v>33</v>
      </c>
      <c r="C8" s="119" t="s">
        <v>78</v>
      </c>
      <c r="D8" s="119"/>
      <c r="E8" s="119"/>
      <c r="F8" s="119"/>
      <c r="G8" s="119"/>
      <c r="H8" s="119"/>
    </row>
    <row r="9" spans="1:8" ht="15.75" x14ac:dyDescent="0.25">
      <c r="A9" s="46">
        <v>5</v>
      </c>
      <c r="B9" s="47" t="s">
        <v>79</v>
      </c>
      <c r="C9" s="119" t="s">
        <v>80</v>
      </c>
      <c r="D9" s="119"/>
      <c r="E9" s="119"/>
      <c r="F9" s="119"/>
      <c r="G9" s="119"/>
      <c r="H9" s="119"/>
    </row>
    <row r="10" spans="1:8" ht="15.75" x14ac:dyDescent="0.25">
      <c r="A10" s="46">
        <v>6</v>
      </c>
      <c r="B10" s="47" t="s">
        <v>70</v>
      </c>
      <c r="C10" s="119" t="s">
        <v>81</v>
      </c>
      <c r="D10" s="119"/>
      <c r="E10" s="119"/>
      <c r="F10" s="119"/>
      <c r="G10" s="119"/>
      <c r="H10" s="119"/>
    </row>
    <row r="13" spans="1:8" ht="18" x14ac:dyDescent="0.25">
      <c r="A13" s="122" t="s">
        <v>141</v>
      </c>
      <c r="B13" s="122"/>
      <c r="C13" s="122"/>
      <c r="D13" s="122"/>
      <c r="E13" s="122"/>
      <c r="F13" s="122"/>
      <c r="G13" s="122"/>
      <c r="H13" s="122"/>
    </row>
    <row r="14" spans="1:8" x14ac:dyDescent="0.25">
      <c r="A14" s="123" t="s">
        <v>83</v>
      </c>
      <c r="B14" s="124"/>
      <c r="C14" s="124"/>
      <c r="D14" s="124"/>
      <c r="E14" s="124"/>
      <c r="F14" s="124"/>
      <c r="G14" s="124"/>
      <c r="H14" s="125"/>
    </row>
    <row r="15" spans="1:8" x14ac:dyDescent="0.25">
      <c r="A15" s="126" t="s">
        <v>84</v>
      </c>
      <c r="B15" s="127"/>
      <c r="C15" s="128" t="s">
        <v>85</v>
      </c>
      <c r="D15" s="129"/>
      <c r="E15" s="129"/>
      <c r="F15" s="129"/>
      <c r="G15" s="129"/>
      <c r="H15" s="130"/>
    </row>
    <row r="16" spans="1:8" x14ac:dyDescent="0.25">
      <c r="A16" s="126" t="s">
        <v>86</v>
      </c>
      <c r="B16" s="127"/>
      <c r="C16" s="128" t="s">
        <v>87</v>
      </c>
      <c r="D16" s="129"/>
      <c r="E16" s="129"/>
      <c r="F16" s="129"/>
      <c r="G16" s="129"/>
      <c r="H16" s="130"/>
    </row>
    <row r="17" spans="1:8" x14ac:dyDescent="0.25">
      <c r="A17" s="126" t="s">
        <v>88</v>
      </c>
      <c r="B17" s="127"/>
      <c r="C17" s="128" t="s">
        <v>89</v>
      </c>
      <c r="D17" s="129"/>
      <c r="E17" s="129"/>
      <c r="F17" s="129"/>
      <c r="G17" s="129"/>
      <c r="H17" s="130"/>
    </row>
    <row r="18" spans="1:8" x14ac:dyDescent="0.25">
      <c r="A18" s="126" t="s">
        <v>90</v>
      </c>
      <c r="B18" s="131"/>
      <c r="C18" s="128" t="s">
        <v>91</v>
      </c>
      <c r="D18" s="129"/>
      <c r="E18" s="129"/>
      <c r="F18" s="129"/>
      <c r="G18" s="129"/>
      <c r="H18" s="130"/>
    </row>
  </sheetData>
  <mergeCells count="18">
    <mergeCell ref="A18:B18"/>
    <mergeCell ref="A17:B17"/>
    <mergeCell ref="A16:B16"/>
    <mergeCell ref="C18:H18"/>
    <mergeCell ref="C17:H17"/>
    <mergeCell ref="C16:H16"/>
    <mergeCell ref="C9:H9"/>
    <mergeCell ref="C10:H10"/>
    <mergeCell ref="A13:H13"/>
    <mergeCell ref="A14:H14"/>
    <mergeCell ref="A15:B15"/>
    <mergeCell ref="C15:H15"/>
    <mergeCell ref="C8:H8"/>
    <mergeCell ref="A2:H2"/>
    <mergeCell ref="C4:H4"/>
    <mergeCell ref="C5:H5"/>
    <mergeCell ref="C6:H6"/>
    <mergeCell ref="C7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0"/>
  <sheetViews>
    <sheetView showGridLines="0" topLeftCell="A26" zoomScale="80" zoomScaleNormal="80" workbookViewId="0">
      <selection activeCell="D56" sqref="D56:F56"/>
    </sheetView>
  </sheetViews>
  <sheetFormatPr defaultColWidth="9.140625" defaultRowHeight="15" x14ac:dyDescent="0.25"/>
  <cols>
    <col min="1" max="1" width="12.28515625" style="14" customWidth="1"/>
    <col min="2" max="2" width="22.42578125" style="13" customWidth="1"/>
    <col min="3" max="3" width="18.85546875" style="13" customWidth="1"/>
    <col min="4" max="4" width="42.140625" style="13" customWidth="1"/>
    <col min="5" max="5" width="55.42578125" style="13" bestFit="1" customWidth="1"/>
    <col min="6" max="6" width="13" style="13" customWidth="1"/>
    <col min="7" max="7" width="3.42578125" style="13" customWidth="1"/>
    <col min="8" max="8" width="41.85546875" style="13" customWidth="1"/>
    <col min="9" max="9" width="35" style="13" customWidth="1"/>
    <col min="10" max="10" width="22.85546875" style="13" customWidth="1"/>
    <col min="11" max="11" width="27" style="13" customWidth="1"/>
    <col min="12" max="14" width="32.140625" style="13" customWidth="1"/>
    <col min="15" max="15" width="45.42578125" style="13" customWidth="1"/>
    <col min="16" max="16" width="79.5703125" style="19" customWidth="1"/>
    <col min="17" max="16384" width="9.140625" style="13"/>
  </cols>
  <sheetData>
    <row r="1" spans="1:27" ht="34.5" x14ac:dyDescent="0.25">
      <c r="A1" s="6" t="s">
        <v>7</v>
      </c>
      <c r="B1" s="4" t="s">
        <v>92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3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" customHeight="1" x14ac:dyDescent="0.25">
      <c r="A2" s="43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74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x14ac:dyDescent="0.25">
      <c r="J3" s="134"/>
      <c r="K3" s="134"/>
    </row>
    <row r="4" spans="1:27" ht="36" customHeight="1" x14ac:dyDescent="0.25">
      <c r="A4" s="135" t="s">
        <v>82</v>
      </c>
      <c r="B4" s="135"/>
      <c r="C4" s="135"/>
      <c r="D4" s="135"/>
      <c r="E4" s="135"/>
      <c r="F4" s="135"/>
      <c r="G4" s="14"/>
      <c r="H4" s="135" t="s">
        <v>142</v>
      </c>
      <c r="I4" s="135"/>
      <c r="J4" s="135"/>
      <c r="K4" s="135"/>
      <c r="L4" s="135"/>
      <c r="M4" s="135"/>
      <c r="N4" s="135"/>
      <c r="O4" s="135"/>
      <c r="P4" s="135"/>
    </row>
    <row r="6" spans="1:27" ht="18" x14ac:dyDescent="0.25">
      <c r="A6" s="136" t="s">
        <v>93</v>
      </c>
      <c r="B6" s="137"/>
      <c r="C6" s="138"/>
      <c r="D6" s="139" t="s">
        <v>94</v>
      </c>
      <c r="E6" s="139"/>
      <c r="F6" s="139"/>
      <c r="G6" s="20"/>
      <c r="H6" s="140" t="s">
        <v>95</v>
      </c>
      <c r="I6" s="141"/>
      <c r="J6" s="140" t="s">
        <v>96</v>
      </c>
      <c r="K6" s="142"/>
      <c r="L6" s="140" t="s">
        <v>158</v>
      </c>
      <c r="M6" s="142"/>
      <c r="N6" s="142"/>
      <c r="O6" s="78" t="s">
        <v>150</v>
      </c>
      <c r="P6" s="72" t="s">
        <v>97</v>
      </c>
    </row>
    <row r="7" spans="1:27" s="49" customFormat="1" ht="74.25" customHeight="1" x14ac:dyDescent="0.25">
      <c r="A7" s="21" t="s">
        <v>98</v>
      </c>
      <c r="B7" s="21" t="s">
        <v>99</v>
      </c>
      <c r="C7" s="21" t="s">
        <v>100</v>
      </c>
      <c r="D7" s="21" t="s">
        <v>101</v>
      </c>
      <c r="E7" s="21" t="s">
        <v>102</v>
      </c>
      <c r="F7" s="21" t="s">
        <v>103</v>
      </c>
      <c r="G7" s="48"/>
      <c r="H7" s="21" t="s">
        <v>104</v>
      </c>
      <c r="I7" s="21" t="s">
        <v>105</v>
      </c>
      <c r="J7" s="21" t="s">
        <v>106</v>
      </c>
      <c r="K7" s="21" t="s">
        <v>107</v>
      </c>
      <c r="L7" s="21" t="s">
        <v>156</v>
      </c>
      <c r="M7" s="21" t="s">
        <v>155</v>
      </c>
      <c r="N7" s="21" t="s">
        <v>157</v>
      </c>
      <c r="O7" s="21" t="s">
        <v>149</v>
      </c>
      <c r="P7" s="21" t="s">
        <v>108</v>
      </c>
    </row>
    <row r="9" spans="1:27" ht="15" customHeight="1" x14ac:dyDescent="0.25">
      <c r="A9" s="149">
        <v>1</v>
      </c>
      <c r="B9" s="149" t="s">
        <v>109</v>
      </c>
      <c r="C9" s="150">
        <v>1</v>
      </c>
      <c r="D9" s="25" t="s">
        <v>56</v>
      </c>
      <c r="E9" s="25" t="s">
        <v>110</v>
      </c>
      <c r="F9" s="50"/>
      <c r="G9" s="26"/>
      <c r="H9" s="51"/>
      <c r="I9" s="51"/>
      <c r="J9" s="51"/>
      <c r="K9" s="51"/>
      <c r="L9" s="151"/>
      <c r="M9" s="79"/>
      <c r="N9" s="79"/>
      <c r="O9" s="79"/>
      <c r="P9" s="75"/>
    </row>
    <row r="10" spans="1:27" ht="20.25" customHeight="1" x14ac:dyDescent="0.25">
      <c r="A10" s="149"/>
      <c r="B10" s="149"/>
      <c r="C10" s="150"/>
      <c r="D10" s="25" t="s">
        <v>57</v>
      </c>
      <c r="E10" s="25" t="s">
        <v>111</v>
      </c>
      <c r="F10" s="27"/>
      <c r="G10" s="26"/>
      <c r="H10" s="52"/>
      <c r="I10" s="52"/>
      <c r="J10" s="52"/>
      <c r="K10" s="52"/>
      <c r="L10" s="152"/>
      <c r="M10" s="80"/>
      <c r="N10" s="80"/>
      <c r="O10" s="80"/>
      <c r="P10" s="75"/>
    </row>
    <row r="11" spans="1:27" ht="15" customHeight="1" x14ac:dyDescent="0.35">
      <c r="A11" s="53"/>
      <c r="B11" s="53"/>
      <c r="C11" s="26"/>
      <c r="D11" s="153" t="s">
        <v>112</v>
      </c>
      <c r="E11" s="25" t="s">
        <v>113</v>
      </c>
      <c r="F11" s="154"/>
      <c r="G11" s="26"/>
      <c r="H11" s="143" t="s">
        <v>143</v>
      </c>
      <c r="I11" s="144"/>
      <c r="J11" s="144"/>
      <c r="K11" s="41"/>
      <c r="L11" s="51"/>
      <c r="M11" s="51"/>
      <c r="N11" s="51"/>
      <c r="O11" s="51"/>
      <c r="P11" s="77"/>
    </row>
    <row r="12" spans="1:27" ht="15" customHeight="1" x14ac:dyDescent="0.35">
      <c r="A12" s="53"/>
      <c r="B12" s="53"/>
      <c r="C12" s="26"/>
      <c r="D12" s="153"/>
      <c r="E12" s="25" t="s">
        <v>114</v>
      </c>
      <c r="F12" s="155"/>
      <c r="G12" s="26"/>
      <c r="H12" s="145"/>
      <c r="I12" s="146"/>
      <c r="J12" s="146"/>
      <c r="K12" s="29"/>
      <c r="L12" s="51"/>
      <c r="M12" s="51"/>
      <c r="N12" s="51"/>
      <c r="O12" s="51"/>
      <c r="P12" s="77"/>
    </row>
    <row r="13" spans="1:27" ht="15" customHeight="1" x14ac:dyDescent="0.35">
      <c r="A13" s="53"/>
      <c r="B13" s="53"/>
      <c r="C13" s="26"/>
      <c r="D13" s="153"/>
      <c r="E13" s="25" t="s">
        <v>115</v>
      </c>
      <c r="F13" s="155"/>
      <c r="G13" s="26"/>
      <c r="H13" s="145"/>
      <c r="I13" s="146"/>
      <c r="J13" s="146"/>
      <c r="K13" s="29"/>
      <c r="L13" s="51"/>
      <c r="M13" s="51"/>
      <c r="N13" s="51"/>
      <c r="O13" s="51"/>
      <c r="P13" s="77"/>
    </row>
    <row r="14" spans="1:27" ht="15" customHeight="1" x14ac:dyDescent="0.35">
      <c r="A14" s="53"/>
      <c r="B14" s="53"/>
      <c r="C14" s="26"/>
      <c r="D14" s="153"/>
      <c r="E14" s="25" t="s">
        <v>116</v>
      </c>
      <c r="F14" s="156"/>
      <c r="G14" s="26"/>
      <c r="H14" s="147"/>
      <c r="I14" s="148"/>
      <c r="J14" s="148"/>
      <c r="K14" s="54"/>
      <c r="L14" s="51"/>
      <c r="M14" s="51"/>
      <c r="N14" s="51"/>
      <c r="O14" s="51"/>
      <c r="P14" s="77"/>
    </row>
    <row r="15" spans="1:27" ht="15" customHeight="1" x14ac:dyDescent="0.35">
      <c r="A15" s="53"/>
      <c r="B15" s="53"/>
      <c r="C15" s="26"/>
      <c r="D15" s="3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76"/>
    </row>
    <row r="16" spans="1:27" ht="15.75" customHeight="1" x14ac:dyDescent="0.25">
      <c r="A16" s="56"/>
      <c r="B16" s="57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76"/>
    </row>
    <row r="17" spans="1:16" ht="15" customHeight="1" x14ac:dyDescent="0.25">
      <c r="A17" s="149">
        <v>2</v>
      </c>
      <c r="B17" s="149" t="s">
        <v>117</v>
      </c>
      <c r="C17" s="157" t="s">
        <v>118</v>
      </c>
      <c r="D17" s="25" t="s">
        <v>56</v>
      </c>
      <c r="E17" s="25" t="s">
        <v>110</v>
      </c>
      <c r="F17" s="50"/>
      <c r="G17" s="26"/>
      <c r="H17" s="51"/>
      <c r="I17" s="51"/>
      <c r="J17" s="51"/>
      <c r="K17" s="51"/>
      <c r="L17" s="42"/>
      <c r="M17" s="42"/>
      <c r="N17" s="42"/>
      <c r="O17" s="42"/>
      <c r="P17" s="77"/>
    </row>
    <row r="18" spans="1:16" ht="15" customHeight="1" x14ac:dyDescent="0.25">
      <c r="A18" s="149"/>
      <c r="B18" s="149"/>
      <c r="C18" s="157"/>
      <c r="D18" s="25" t="s">
        <v>57</v>
      </c>
      <c r="E18" s="25" t="s">
        <v>111</v>
      </c>
      <c r="F18" s="27"/>
      <c r="G18" s="26"/>
      <c r="H18" s="51"/>
      <c r="I18" s="51"/>
      <c r="J18" s="51"/>
      <c r="K18" s="51"/>
      <c r="L18" s="28"/>
      <c r="M18" s="28"/>
      <c r="N18" s="28"/>
      <c r="O18" s="28"/>
      <c r="P18" s="77"/>
    </row>
    <row r="19" spans="1:16" ht="15" customHeight="1" x14ac:dyDescent="0.25">
      <c r="A19" s="149"/>
      <c r="B19" s="149"/>
      <c r="C19" s="157"/>
      <c r="D19" s="30" t="s">
        <v>119</v>
      </c>
      <c r="E19" s="25" t="s">
        <v>120</v>
      </c>
      <c r="F19" s="25"/>
      <c r="G19" s="26"/>
      <c r="H19" s="51"/>
      <c r="I19" s="51"/>
      <c r="J19" s="51"/>
      <c r="K19" s="51"/>
      <c r="L19" s="28"/>
      <c r="M19" s="28"/>
      <c r="N19" s="28"/>
      <c r="O19" s="28"/>
      <c r="P19" s="77"/>
    </row>
    <row r="20" spans="1:16" ht="15" customHeight="1" x14ac:dyDescent="0.25">
      <c r="A20" s="149"/>
      <c r="B20" s="149"/>
      <c r="C20" s="157"/>
      <c r="D20" s="30" t="s">
        <v>42</v>
      </c>
      <c r="E20" s="25"/>
      <c r="F20" s="30"/>
      <c r="G20" s="26"/>
      <c r="H20" s="51"/>
      <c r="I20" s="51"/>
      <c r="J20" s="51"/>
      <c r="K20" s="51"/>
      <c r="L20" s="28"/>
      <c r="M20" s="28"/>
      <c r="N20" s="28"/>
      <c r="O20" s="28"/>
      <c r="P20" s="77"/>
    </row>
    <row r="21" spans="1:16" ht="15" customHeight="1" x14ac:dyDescent="0.25">
      <c r="A21" s="149"/>
      <c r="B21" s="149"/>
      <c r="C21" s="157"/>
      <c r="D21" s="30" t="s">
        <v>36</v>
      </c>
      <c r="E21" s="25" t="s">
        <v>121</v>
      </c>
      <c r="F21" s="50"/>
      <c r="G21" s="26"/>
      <c r="H21" s="51"/>
      <c r="I21" s="51"/>
      <c r="J21" s="51"/>
      <c r="K21" s="51"/>
      <c r="L21" s="28"/>
      <c r="M21" s="28"/>
      <c r="N21" s="28"/>
      <c r="O21" s="28"/>
      <c r="P21" s="77"/>
    </row>
    <row r="22" spans="1:16" ht="15" customHeight="1" x14ac:dyDescent="0.25">
      <c r="A22" s="149"/>
      <c r="B22" s="149"/>
      <c r="C22" s="157"/>
      <c r="D22" s="30" t="s">
        <v>37</v>
      </c>
      <c r="E22" s="25" t="s">
        <v>122</v>
      </c>
      <c r="F22" s="50"/>
      <c r="G22" s="26"/>
      <c r="H22" s="51"/>
      <c r="I22" s="51"/>
      <c r="J22" s="51"/>
      <c r="K22" s="51"/>
      <c r="L22" s="28"/>
      <c r="M22" s="28"/>
      <c r="N22" s="28"/>
      <c r="O22" s="28"/>
      <c r="P22" s="77"/>
    </row>
    <row r="23" spans="1:16" ht="15" customHeight="1" x14ac:dyDescent="0.25">
      <c r="A23" s="149"/>
      <c r="B23" s="149"/>
      <c r="C23" s="157"/>
      <c r="D23" s="30" t="s">
        <v>39</v>
      </c>
      <c r="E23" s="25"/>
      <c r="F23" s="50"/>
      <c r="G23" s="26"/>
      <c r="H23" s="51"/>
      <c r="I23" s="51"/>
      <c r="J23" s="51"/>
      <c r="K23" s="51"/>
      <c r="L23" s="28"/>
      <c r="M23" s="28"/>
      <c r="N23" s="28"/>
      <c r="O23" s="28"/>
      <c r="P23" s="77"/>
    </row>
    <row r="24" spans="1:16" ht="15" customHeight="1" x14ac:dyDescent="0.25">
      <c r="A24" s="149"/>
      <c r="B24" s="149"/>
      <c r="C24" s="157"/>
      <c r="D24" s="30" t="s">
        <v>40</v>
      </c>
      <c r="E24" s="24" t="s">
        <v>123</v>
      </c>
      <c r="F24" s="50"/>
      <c r="G24" s="26"/>
      <c r="H24" s="51"/>
      <c r="I24" s="51"/>
      <c r="J24" s="51"/>
      <c r="K24" s="51"/>
      <c r="L24" s="28"/>
      <c r="M24" s="28"/>
      <c r="N24" s="28"/>
      <c r="O24" s="28"/>
      <c r="P24" s="77"/>
    </row>
    <row r="25" spans="1:16" ht="15" customHeight="1" x14ac:dyDescent="0.25">
      <c r="A25" s="149"/>
      <c r="B25" s="149"/>
      <c r="C25" s="157"/>
      <c r="D25" s="30" t="s">
        <v>41</v>
      </c>
      <c r="E25" s="25" t="s">
        <v>124</v>
      </c>
      <c r="F25" s="50"/>
      <c r="G25" s="26"/>
      <c r="H25" s="52"/>
      <c r="I25" s="52"/>
      <c r="J25" s="52"/>
      <c r="K25" s="51"/>
      <c r="L25" s="28"/>
      <c r="M25" s="28"/>
      <c r="N25" s="28"/>
      <c r="O25" s="28"/>
      <c r="P25" s="77"/>
    </row>
    <row r="26" spans="1:16" ht="15" customHeight="1" x14ac:dyDescent="0.25">
      <c r="A26" s="149"/>
      <c r="B26" s="149"/>
      <c r="C26" s="157"/>
      <c r="D26" s="30" t="s">
        <v>62</v>
      </c>
      <c r="E26" s="30" t="s">
        <v>125</v>
      </c>
      <c r="F26" s="50"/>
      <c r="G26" s="26"/>
      <c r="H26" s="52"/>
      <c r="I26" s="52"/>
      <c r="J26" s="52"/>
      <c r="K26" s="51"/>
      <c r="L26" s="28"/>
      <c r="M26" s="28"/>
      <c r="N26" s="28"/>
      <c r="O26" s="28"/>
      <c r="P26" s="77"/>
    </row>
    <row r="27" spans="1:16" ht="15" customHeight="1" x14ac:dyDescent="0.25">
      <c r="A27" s="149"/>
      <c r="B27" s="149"/>
      <c r="C27" s="157"/>
      <c r="D27" s="30" t="s">
        <v>61</v>
      </c>
      <c r="E27" s="30" t="s">
        <v>126</v>
      </c>
      <c r="F27" s="50"/>
      <c r="G27" s="26"/>
      <c r="H27" s="52"/>
      <c r="I27" s="52"/>
      <c r="J27" s="52"/>
      <c r="K27" s="51"/>
      <c r="L27" s="28"/>
      <c r="M27" s="28"/>
      <c r="N27" s="28"/>
      <c r="O27" s="28"/>
      <c r="P27" s="77"/>
    </row>
    <row r="28" spans="1:16" ht="15" customHeight="1" x14ac:dyDescent="0.25">
      <c r="A28" s="149"/>
      <c r="B28" s="149"/>
      <c r="C28" s="157"/>
      <c r="D28" s="30" t="s">
        <v>127</v>
      </c>
      <c r="E28" s="25" t="s">
        <v>128</v>
      </c>
      <c r="F28" s="58"/>
      <c r="G28" s="26"/>
      <c r="H28" s="51"/>
      <c r="I28" s="51"/>
      <c r="J28" s="51"/>
      <c r="K28" s="51"/>
      <c r="L28" s="55"/>
      <c r="M28" s="55"/>
      <c r="N28" s="55"/>
      <c r="O28" s="55"/>
      <c r="P28" s="77"/>
    </row>
    <row r="29" spans="1:16" ht="15" customHeight="1" x14ac:dyDescent="0.25">
      <c r="A29" s="59"/>
      <c r="B29" s="59"/>
      <c r="C29" s="26"/>
      <c r="D29" s="153" t="s">
        <v>112</v>
      </c>
      <c r="E29" s="25" t="s">
        <v>113</v>
      </c>
      <c r="F29" s="154"/>
      <c r="G29" s="26"/>
      <c r="H29" s="143" t="s">
        <v>143</v>
      </c>
      <c r="I29" s="144"/>
      <c r="J29" s="144"/>
      <c r="K29" s="29"/>
      <c r="L29" s="51"/>
      <c r="M29" s="51"/>
      <c r="N29" s="51"/>
      <c r="O29" s="51"/>
      <c r="P29" s="77"/>
    </row>
    <row r="30" spans="1:16" ht="15" customHeight="1" x14ac:dyDescent="0.25">
      <c r="A30" s="59"/>
      <c r="B30" s="59"/>
      <c r="C30" s="26"/>
      <c r="D30" s="153"/>
      <c r="E30" s="25" t="s">
        <v>114</v>
      </c>
      <c r="F30" s="155"/>
      <c r="G30" s="26"/>
      <c r="H30" s="145"/>
      <c r="I30" s="146"/>
      <c r="J30" s="146"/>
      <c r="K30" s="29"/>
      <c r="L30" s="51"/>
      <c r="M30" s="51"/>
      <c r="N30" s="51"/>
      <c r="O30" s="51"/>
      <c r="P30" s="77"/>
    </row>
    <row r="31" spans="1:16" ht="21" x14ac:dyDescent="0.25">
      <c r="A31" s="59"/>
      <c r="B31" s="59"/>
      <c r="C31" s="26"/>
      <c r="D31" s="153"/>
      <c r="E31" s="25" t="s">
        <v>115</v>
      </c>
      <c r="F31" s="155"/>
      <c r="G31" s="26"/>
      <c r="H31" s="145"/>
      <c r="I31" s="146"/>
      <c r="J31" s="146"/>
      <c r="K31" s="29"/>
      <c r="L31" s="51"/>
      <c r="M31" s="51"/>
      <c r="N31" s="51"/>
      <c r="O31" s="51"/>
      <c r="P31" s="77"/>
    </row>
    <row r="32" spans="1:16" ht="15" customHeight="1" x14ac:dyDescent="0.25">
      <c r="A32" s="59"/>
      <c r="B32" s="59"/>
      <c r="C32" s="26"/>
      <c r="D32" s="153"/>
      <c r="E32" s="25" t="s">
        <v>116</v>
      </c>
      <c r="F32" s="156"/>
      <c r="G32" s="26"/>
      <c r="H32" s="147"/>
      <c r="I32" s="148"/>
      <c r="J32" s="148"/>
      <c r="K32" s="54"/>
      <c r="L32" s="51"/>
      <c r="M32" s="51"/>
      <c r="N32" s="51"/>
      <c r="O32" s="51"/>
      <c r="P32" s="77"/>
    </row>
    <row r="33" spans="1:16" ht="15" customHeight="1" x14ac:dyDescent="0.25">
      <c r="A33" s="59"/>
      <c r="B33" s="59"/>
      <c r="C33" s="60"/>
      <c r="D33" s="3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76"/>
    </row>
    <row r="34" spans="1:16" ht="19.5" customHeight="1" thickBot="1" x14ac:dyDescent="0.3">
      <c r="A34" s="56"/>
      <c r="B34" s="57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76"/>
    </row>
    <row r="35" spans="1:16" ht="15" customHeight="1" x14ac:dyDescent="0.25">
      <c r="A35" s="149">
        <v>3</v>
      </c>
      <c r="B35" s="158" t="s">
        <v>129</v>
      </c>
      <c r="C35" s="160" t="s">
        <v>160</v>
      </c>
      <c r="D35" s="37" t="s">
        <v>56</v>
      </c>
      <c r="E35" s="25" t="s">
        <v>110</v>
      </c>
      <c r="F35" s="50"/>
      <c r="G35" s="26"/>
      <c r="H35" s="61"/>
      <c r="I35" s="61"/>
      <c r="J35" s="51"/>
      <c r="K35" s="51"/>
      <c r="L35" s="62"/>
      <c r="M35" s="83"/>
      <c r="N35" s="83"/>
      <c r="O35" s="83"/>
      <c r="P35" s="77"/>
    </row>
    <row r="36" spans="1:16" ht="15" customHeight="1" x14ac:dyDescent="0.25">
      <c r="A36" s="149"/>
      <c r="B36" s="159"/>
      <c r="C36" s="161"/>
      <c r="D36" s="88" t="s">
        <v>147</v>
      </c>
      <c r="E36" s="25" t="s">
        <v>111</v>
      </c>
      <c r="F36" s="27"/>
      <c r="G36" s="26"/>
      <c r="H36" s="61"/>
      <c r="I36" s="61"/>
      <c r="J36" s="51"/>
      <c r="K36" s="51"/>
      <c r="L36" s="63"/>
      <c r="M36" s="84"/>
      <c r="N36" s="84"/>
      <c r="O36" s="84"/>
      <c r="P36" s="77"/>
    </row>
    <row r="37" spans="1:16" ht="15" customHeight="1" x14ac:dyDescent="0.25">
      <c r="A37" s="149"/>
      <c r="B37" s="159"/>
      <c r="C37" s="161"/>
      <c r="D37" s="27" t="s">
        <v>43</v>
      </c>
      <c r="E37" s="30" t="s">
        <v>130</v>
      </c>
      <c r="F37" s="27"/>
      <c r="G37" s="26"/>
      <c r="H37" s="61"/>
      <c r="I37" s="61"/>
      <c r="J37" s="51"/>
      <c r="K37" s="51"/>
      <c r="L37" s="63"/>
      <c r="M37" s="84"/>
      <c r="N37" s="84"/>
      <c r="O37" s="84"/>
      <c r="P37" s="77"/>
    </row>
    <row r="38" spans="1:16" ht="15" customHeight="1" x14ac:dyDescent="0.25">
      <c r="A38" s="149"/>
      <c r="B38" s="159"/>
      <c r="C38" s="161"/>
      <c r="D38" s="27" t="s">
        <v>44</v>
      </c>
      <c r="E38" s="30"/>
      <c r="F38" s="30"/>
      <c r="G38" s="26"/>
      <c r="H38" s="61"/>
      <c r="I38" s="61"/>
      <c r="J38" s="51"/>
      <c r="K38" s="51"/>
      <c r="L38" s="63"/>
      <c r="M38" s="84"/>
      <c r="N38" s="84"/>
      <c r="O38" s="84"/>
      <c r="P38" s="77"/>
    </row>
    <row r="39" spans="1:16" ht="15" customHeight="1" x14ac:dyDescent="0.25">
      <c r="A39" s="149"/>
      <c r="B39" s="159"/>
      <c r="C39" s="161"/>
      <c r="D39" s="27" t="s">
        <v>58</v>
      </c>
      <c r="E39" s="30" t="s">
        <v>131</v>
      </c>
      <c r="F39" s="50"/>
      <c r="G39" s="26"/>
      <c r="H39" s="61"/>
      <c r="I39" s="61"/>
      <c r="J39" s="51"/>
      <c r="K39" s="51"/>
      <c r="L39" s="63"/>
      <c r="M39" s="84"/>
      <c r="N39" s="84"/>
      <c r="O39" s="84"/>
      <c r="P39" s="77"/>
    </row>
    <row r="40" spans="1:16" ht="15" customHeight="1" x14ac:dyDescent="0.25">
      <c r="A40" s="149"/>
      <c r="B40" s="159"/>
      <c r="C40" s="161"/>
      <c r="D40" s="27" t="s">
        <v>45</v>
      </c>
      <c r="E40" s="30"/>
      <c r="F40" s="50"/>
      <c r="G40" s="26"/>
      <c r="H40" s="61"/>
      <c r="I40" s="61"/>
      <c r="J40" s="51"/>
      <c r="K40" s="51"/>
      <c r="L40" s="63"/>
      <c r="M40" s="84"/>
      <c r="N40" s="84"/>
      <c r="O40" s="84"/>
      <c r="P40" s="77"/>
    </row>
    <row r="41" spans="1:16" ht="15" customHeight="1" x14ac:dyDescent="0.25">
      <c r="A41" s="149"/>
      <c r="B41" s="159"/>
      <c r="C41" s="161"/>
      <c r="D41" s="27" t="s">
        <v>46</v>
      </c>
      <c r="E41" s="30"/>
      <c r="F41" s="50"/>
      <c r="G41" s="26"/>
      <c r="H41" s="61"/>
      <c r="I41" s="61"/>
      <c r="J41" s="51"/>
      <c r="K41" s="51"/>
      <c r="L41" s="63"/>
      <c r="M41" s="84"/>
      <c r="N41" s="84"/>
      <c r="O41" s="84"/>
      <c r="P41" s="77"/>
    </row>
    <row r="42" spans="1:16" ht="15" customHeight="1" x14ac:dyDescent="0.25">
      <c r="A42" s="149"/>
      <c r="B42" s="159"/>
      <c r="C42" s="161"/>
      <c r="D42" s="27" t="s">
        <v>59</v>
      </c>
      <c r="E42" s="30" t="s">
        <v>132</v>
      </c>
      <c r="F42" s="50"/>
      <c r="G42" s="26"/>
      <c r="H42" s="61"/>
      <c r="I42" s="61"/>
      <c r="J42" s="51"/>
      <c r="K42" s="51"/>
      <c r="L42" s="63"/>
      <c r="M42" s="84"/>
      <c r="N42" s="84"/>
      <c r="O42" s="84"/>
      <c r="P42" s="77"/>
    </row>
    <row r="43" spans="1:16" ht="15" customHeight="1" x14ac:dyDescent="0.25">
      <c r="A43" s="149"/>
      <c r="B43" s="159"/>
      <c r="C43" s="161"/>
      <c r="D43" s="27" t="s">
        <v>60</v>
      </c>
      <c r="E43" s="30" t="s">
        <v>133</v>
      </c>
      <c r="F43" s="27"/>
      <c r="G43" s="26"/>
      <c r="H43" s="61"/>
      <c r="I43" s="61"/>
      <c r="J43" s="51"/>
      <c r="K43" s="51"/>
      <c r="L43" s="63"/>
      <c r="M43" s="84"/>
      <c r="N43" s="84"/>
      <c r="O43" s="84"/>
      <c r="P43" s="77"/>
    </row>
    <row r="44" spans="1:16" ht="15" customHeight="1" x14ac:dyDescent="0.25">
      <c r="A44" s="149"/>
      <c r="B44" s="159"/>
      <c r="C44" s="161"/>
      <c r="D44" s="27" t="s">
        <v>61</v>
      </c>
      <c r="E44" s="30" t="s">
        <v>126</v>
      </c>
      <c r="F44" s="50"/>
      <c r="G44" s="26"/>
      <c r="H44" s="61"/>
      <c r="I44" s="61"/>
      <c r="J44" s="51"/>
      <c r="K44" s="51"/>
      <c r="L44" s="63"/>
      <c r="M44" s="84"/>
      <c r="N44" s="84"/>
      <c r="O44" s="84"/>
      <c r="P44" s="77"/>
    </row>
    <row r="45" spans="1:16" ht="15" customHeight="1" x14ac:dyDescent="0.25">
      <c r="A45" s="149"/>
      <c r="B45" s="159"/>
      <c r="C45" s="161"/>
      <c r="D45" s="27" t="s">
        <v>62</v>
      </c>
      <c r="E45" s="30" t="s">
        <v>125</v>
      </c>
      <c r="F45" s="50"/>
      <c r="G45" s="26"/>
      <c r="H45" s="61"/>
      <c r="I45" s="61"/>
      <c r="J45" s="51"/>
      <c r="K45" s="51"/>
      <c r="L45" s="63"/>
      <c r="M45" s="84"/>
      <c r="N45" s="84"/>
      <c r="O45" s="84"/>
      <c r="P45" s="77"/>
    </row>
    <row r="46" spans="1:16" ht="15" customHeight="1" x14ac:dyDescent="0.25">
      <c r="A46" s="149"/>
      <c r="B46" s="159"/>
      <c r="C46" s="161"/>
      <c r="D46" s="27" t="s">
        <v>38</v>
      </c>
      <c r="E46" s="30" t="s">
        <v>134</v>
      </c>
      <c r="F46" s="50"/>
      <c r="G46" s="26"/>
      <c r="H46" s="61"/>
      <c r="I46" s="61"/>
      <c r="J46" s="51"/>
      <c r="K46" s="51"/>
      <c r="L46" s="63"/>
      <c r="M46" s="84"/>
      <c r="N46" s="84"/>
      <c r="O46" s="84"/>
      <c r="P46" s="77"/>
    </row>
    <row r="47" spans="1:16" ht="15" customHeight="1" x14ac:dyDescent="0.25">
      <c r="A47" s="149"/>
      <c r="B47" s="159"/>
      <c r="C47" s="161"/>
      <c r="D47" s="27" t="s">
        <v>47</v>
      </c>
      <c r="E47" s="30"/>
      <c r="F47" s="50"/>
      <c r="G47" s="26"/>
      <c r="H47" s="61"/>
      <c r="I47" s="61"/>
      <c r="J47" s="51"/>
      <c r="K47" s="51"/>
      <c r="L47" s="63"/>
      <c r="M47" s="84"/>
      <c r="N47" s="84"/>
      <c r="O47" s="84"/>
      <c r="P47" s="77"/>
    </row>
    <row r="48" spans="1:16" ht="15" customHeight="1" x14ac:dyDescent="0.25">
      <c r="A48" s="149"/>
      <c r="B48" s="159"/>
      <c r="C48" s="161"/>
      <c r="D48" s="27" t="s">
        <v>48</v>
      </c>
      <c r="E48" s="30"/>
      <c r="F48" s="50"/>
      <c r="G48" s="26"/>
      <c r="H48" s="61"/>
      <c r="I48" s="61"/>
      <c r="J48" s="51"/>
      <c r="K48" s="51"/>
      <c r="L48" s="63"/>
      <c r="M48" s="84"/>
      <c r="N48" s="84"/>
      <c r="O48" s="84"/>
      <c r="P48" s="77"/>
    </row>
    <row r="49" spans="1:16" ht="15" customHeight="1" x14ac:dyDescent="0.25">
      <c r="A49" s="149"/>
      <c r="B49" s="159"/>
      <c r="C49" s="161"/>
      <c r="D49" s="27" t="s">
        <v>49</v>
      </c>
      <c r="E49" s="30" t="s">
        <v>135</v>
      </c>
      <c r="F49" s="50"/>
      <c r="G49" s="26"/>
      <c r="H49" s="61"/>
      <c r="I49" s="61"/>
      <c r="J49" s="51"/>
      <c r="K49" s="51"/>
      <c r="L49" s="63"/>
      <c r="M49" s="84"/>
      <c r="N49" s="84"/>
      <c r="O49" s="84"/>
      <c r="P49" s="77"/>
    </row>
    <row r="50" spans="1:16" ht="15" customHeight="1" x14ac:dyDescent="0.25">
      <c r="A50" s="149"/>
      <c r="B50" s="159"/>
      <c r="C50" s="161"/>
      <c r="D50" s="27" t="s">
        <v>50</v>
      </c>
      <c r="E50" s="25"/>
      <c r="F50" s="50"/>
      <c r="G50" s="26"/>
      <c r="H50" s="51"/>
      <c r="I50" s="51"/>
      <c r="J50" s="51"/>
      <c r="K50" s="51"/>
      <c r="L50" s="64"/>
      <c r="M50" s="28"/>
      <c r="N50" s="28"/>
      <c r="O50" s="28"/>
      <c r="P50" s="77"/>
    </row>
    <row r="51" spans="1:16" ht="15" customHeight="1" x14ac:dyDescent="0.25">
      <c r="A51" s="149"/>
      <c r="B51" s="159"/>
      <c r="C51" s="161"/>
      <c r="D51" s="27" t="s">
        <v>51</v>
      </c>
      <c r="E51" s="25"/>
      <c r="F51" s="30"/>
      <c r="G51" s="26"/>
      <c r="H51" s="51"/>
      <c r="I51" s="51"/>
      <c r="J51" s="51"/>
      <c r="K51" s="51"/>
      <c r="L51" s="64"/>
      <c r="M51" s="28"/>
      <c r="N51" s="28"/>
      <c r="O51" s="28"/>
      <c r="P51" s="77"/>
    </row>
    <row r="52" spans="1:16" ht="15" customHeight="1" x14ac:dyDescent="0.25">
      <c r="A52" s="149"/>
      <c r="B52" s="159"/>
      <c r="C52" s="161"/>
      <c r="D52" s="27" t="s">
        <v>36</v>
      </c>
      <c r="E52" s="25" t="s">
        <v>136</v>
      </c>
      <c r="F52" s="50"/>
      <c r="G52" s="26"/>
      <c r="H52" s="51"/>
      <c r="I52" s="51"/>
      <c r="J52" s="51"/>
      <c r="K52" s="51"/>
      <c r="L52" s="64"/>
      <c r="M52" s="28"/>
      <c r="N52" s="28"/>
      <c r="O52" s="28"/>
      <c r="P52" s="77"/>
    </row>
    <row r="53" spans="1:16" ht="15" customHeight="1" x14ac:dyDescent="0.25">
      <c r="A53" s="149"/>
      <c r="B53" s="159"/>
      <c r="C53" s="161"/>
      <c r="D53" s="27" t="s">
        <v>52</v>
      </c>
      <c r="E53" s="25" t="s">
        <v>122</v>
      </c>
      <c r="F53" s="50"/>
      <c r="G53" s="26"/>
      <c r="H53" s="51"/>
      <c r="I53" s="51"/>
      <c r="J53" s="51"/>
      <c r="K53" s="51"/>
      <c r="L53" s="64"/>
      <c r="M53" s="28"/>
      <c r="N53" s="28"/>
      <c r="O53" s="28"/>
      <c r="P53" s="77"/>
    </row>
    <row r="54" spans="1:16" ht="15" customHeight="1" x14ac:dyDescent="0.25">
      <c r="A54" s="149"/>
      <c r="B54" s="159"/>
      <c r="C54" s="161"/>
      <c r="D54" s="27" t="s">
        <v>53</v>
      </c>
      <c r="E54" s="25"/>
      <c r="F54" s="50"/>
      <c r="G54" s="26"/>
      <c r="H54" s="61"/>
      <c r="I54" s="61"/>
      <c r="J54" s="51"/>
      <c r="K54" s="51"/>
      <c r="L54" s="63"/>
      <c r="M54" s="84"/>
      <c r="N54" s="84"/>
      <c r="O54" s="84"/>
      <c r="P54" s="77"/>
    </row>
    <row r="55" spans="1:16" ht="15" customHeight="1" thickBot="1" x14ac:dyDescent="0.3">
      <c r="A55" s="149"/>
      <c r="B55" s="159"/>
      <c r="C55" s="161"/>
      <c r="D55" s="40" t="s">
        <v>54</v>
      </c>
      <c r="E55" s="24" t="s">
        <v>123</v>
      </c>
      <c r="F55" s="50"/>
      <c r="G55" s="26"/>
      <c r="H55" s="61"/>
      <c r="I55" s="61"/>
      <c r="J55" s="51"/>
      <c r="K55" s="51"/>
      <c r="L55" s="63"/>
      <c r="M55" s="84"/>
      <c r="N55" s="84"/>
      <c r="O55" s="84"/>
      <c r="P55" s="77"/>
    </row>
    <row r="56" spans="1:16" ht="39.75" customHeight="1" x14ac:dyDescent="0.25">
      <c r="A56" s="149"/>
      <c r="B56" s="159"/>
      <c r="C56" s="162"/>
      <c r="D56" s="27" t="s">
        <v>425</v>
      </c>
      <c r="E56" s="118" t="s">
        <v>426</v>
      </c>
      <c r="F56" s="118"/>
      <c r="G56" s="26"/>
      <c r="H56" s="61"/>
      <c r="I56" s="61"/>
      <c r="J56" s="51"/>
      <c r="K56" s="51"/>
      <c r="L56" s="63"/>
      <c r="M56" s="84"/>
      <c r="N56" s="84"/>
      <c r="O56" s="84"/>
      <c r="P56" s="77"/>
    </row>
    <row r="57" spans="1:16" ht="15" customHeight="1" x14ac:dyDescent="0.25">
      <c r="A57" s="13"/>
      <c r="C57" s="26"/>
      <c r="D57" s="153" t="s">
        <v>112</v>
      </c>
      <c r="E57" s="25" t="s">
        <v>113</v>
      </c>
      <c r="F57" s="154"/>
      <c r="G57" s="26"/>
      <c r="H57" s="143" t="s">
        <v>143</v>
      </c>
      <c r="I57" s="144"/>
      <c r="J57" s="144"/>
      <c r="K57" s="29"/>
      <c r="L57" s="65"/>
      <c r="M57" s="65"/>
      <c r="N57" s="65"/>
      <c r="O57" s="65"/>
      <c r="P57" s="75"/>
    </row>
    <row r="58" spans="1:16" ht="15" customHeight="1" x14ac:dyDescent="0.25">
      <c r="A58" s="13"/>
      <c r="C58" s="26"/>
      <c r="D58" s="153"/>
      <c r="E58" s="25" t="s">
        <v>114</v>
      </c>
      <c r="F58" s="155"/>
      <c r="G58" s="26"/>
      <c r="H58" s="145"/>
      <c r="I58" s="146"/>
      <c r="J58" s="146"/>
      <c r="K58" s="29"/>
      <c r="L58" s="51"/>
      <c r="M58" s="51"/>
      <c r="N58" s="51"/>
      <c r="O58" s="51"/>
      <c r="P58" s="75"/>
    </row>
    <row r="59" spans="1:16" x14ac:dyDescent="0.25">
      <c r="A59" s="13"/>
      <c r="C59" s="26"/>
      <c r="D59" s="153"/>
      <c r="E59" s="25" t="s">
        <v>115</v>
      </c>
      <c r="F59" s="155"/>
      <c r="G59" s="26"/>
      <c r="H59" s="145"/>
      <c r="I59" s="146"/>
      <c r="J59" s="146"/>
      <c r="K59" s="29"/>
      <c r="L59" s="51"/>
      <c r="M59" s="51"/>
      <c r="N59" s="51"/>
      <c r="O59" s="51"/>
      <c r="P59" s="75"/>
    </row>
    <row r="60" spans="1:16" ht="15" customHeight="1" x14ac:dyDescent="0.25">
      <c r="A60" s="13"/>
      <c r="C60" s="26"/>
      <c r="D60" s="153"/>
      <c r="E60" s="25" t="s">
        <v>116</v>
      </c>
      <c r="F60" s="156"/>
      <c r="G60" s="26"/>
      <c r="H60" s="147"/>
      <c r="I60" s="148"/>
      <c r="J60" s="148"/>
      <c r="K60" s="54"/>
      <c r="L60" s="51"/>
      <c r="M60" s="51"/>
      <c r="N60" s="51"/>
      <c r="O60" s="51"/>
      <c r="P60" s="75"/>
    </row>
  </sheetData>
  <mergeCells count="27">
    <mergeCell ref="A35:A56"/>
    <mergeCell ref="B35:B56"/>
    <mergeCell ref="D57:D60"/>
    <mergeCell ref="F57:F60"/>
    <mergeCell ref="H57:J60"/>
    <mergeCell ref="C35:C56"/>
    <mergeCell ref="H29:J32"/>
    <mergeCell ref="A9:A10"/>
    <mergeCell ref="B9:B10"/>
    <mergeCell ref="C9:C10"/>
    <mergeCell ref="L9:L10"/>
    <mergeCell ref="D11:D14"/>
    <mergeCell ref="F11:F14"/>
    <mergeCell ref="H11:J14"/>
    <mergeCell ref="A17:A28"/>
    <mergeCell ref="B17:B28"/>
    <mergeCell ref="C17:C28"/>
    <mergeCell ref="D29:D32"/>
    <mergeCell ref="F29:F32"/>
    <mergeCell ref="J3:K3"/>
    <mergeCell ref="A4:F4"/>
    <mergeCell ref="H4:P4"/>
    <mergeCell ref="A6:C6"/>
    <mergeCell ref="D6:F6"/>
    <mergeCell ref="H6:I6"/>
    <mergeCell ref="J6:K6"/>
    <mergeCell ref="L6:N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/>
  </sheetViews>
  <sheetFormatPr defaultColWidth="9.140625" defaultRowHeight="15" x14ac:dyDescent="0.25"/>
  <cols>
    <col min="1" max="1" width="10.85546875" customWidth="1"/>
    <col min="2" max="3" width="43.42578125" customWidth="1"/>
    <col min="4" max="4" width="39.28515625" customWidth="1"/>
    <col min="5" max="5" width="14.85546875" customWidth="1"/>
    <col min="6" max="6" width="58.7109375" customWidth="1"/>
  </cols>
  <sheetData>
    <row r="1" spans="1:6" ht="34.5" x14ac:dyDescent="0.25">
      <c r="A1" s="6" t="s">
        <v>7</v>
      </c>
      <c r="B1" s="4" t="s">
        <v>153</v>
      </c>
      <c r="C1" s="4"/>
      <c r="D1" s="4"/>
      <c r="E1" s="4"/>
      <c r="F1" s="4"/>
    </row>
    <row r="2" spans="1:6" s="13" customFormat="1" ht="34.5" x14ac:dyDescent="0.25">
      <c r="A2" s="43"/>
      <c r="B2" s="18"/>
      <c r="C2" s="18"/>
      <c r="D2" s="18"/>
      <c r="E2" s="18"/>
      <c r="F2" s="18"/>
    </row>
    <row r="3" spans="1:6" s="13" customFormat="1" ht="15" customHeight="1" x14ac:dyDescent="0.25">
      <c r="F3" s="66"/>
    </row>
    <row r="4" spans="1:6" ht="18" x14ac:dyDescent="0.25">
      <c r="A4" s="163" t="s">
        <v>137</v>
      </c>
      <c r="B4" s="164"/>
      <c r="C4" s="164"/>
      <c r="D4" s="164"/>
      <c r="E4" s="164"/>
      <c r="F4" s="165"/>
    </row>
    <row r="5" spans="1:6" ht="22.5" customHeight="1" x14ac:dyDescent="0.25">
      <c r="A5" s="166"/>
      <c r="B5" s="167"/>
      <c r="C5" s="167"/>
      <c r="D5" s="167"/>
      <c r="E5" s="167"/>
      <c r="F5" s="168"/>
    </row>
    <row r="6" spans="1:6" ht="22.5" customHeight="1" x14ac:dyDescent="0.25">
      <c r="B6" s="67"/>
      <c r="C6" s="67"/>
      <c r="D6" s="68"/>
      <c r="E6" s="69"/>
      <c r="F6" s="69"/>
    </row>
  </sheetData>
  <mergeCells count="2">
    <mergeCell ref="A4:F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"/>
  <sheetViews>
    <sheetView showGridLines="0" workbookViewId="0"/>
  </sheetViews>
  <sheetFormatPr defaultColWidth="9.140625" defaultRowHeight="15" x14ac:dyDescent="0.25"/>
  <cols>
    <col min="1" max="1" width="13.140625" style="13" customWidth="1"/>
    <col min="2" max="2" width="55.5703125" style="13" customWidth="1"/>
    <col min="3" max="3" width="46.140625" style="13" customWidth="1"/>
    <col min="4" max="4" width="40" style="13" customWidth="1"/>
    <col min="5" max="16384" width="9.140625" style="13"/>
  </cols>
  <sheetData>
    <row r="1" spans="1:25" ht="34.5" x14ac:dyDescent="0.25">
      <c r="A1" s="6" t="s">
        <v>7</v>
      </c>
      <c r="B1" s="4" t="s">
        <v>154</v>
      </c>
      <c r="C1" s="4"/>
      <c r="D1" s="4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4" spans="1:25" ht="18" x14ac:dyDescent="0.25">
      <c r="A4" s="169" t="s">
        <v>137</v>
      </c>
      <c r="B4" s="169"/>
      <c r="C4" s="169"/>
      <c r="D4" s="169"/>
    </row>
    <row r="5" spans="1:25" ht="22.5" customHeight="1" x14ac:dyDescent="0.25">
      <c r="A5" s="170"/>
      <c r="B5" s="170"/>
      <c r="C5" s="170"/>
      <c r="D5" s="170"/>
    </row>
    <row r="6" spans="1:25" x14ac:dyDescent="0.25">
      <c r="B6" s="70"/>
      <c r="C6" s="71"/>
      <c r="D6" s="66"/>
    </row>
  </sheetData>
  <mergeCells count="2">
    <mergeCell ref="A4:D4"/>
    <mergeCell ref="A5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21"/>
  <sheetViews>
    <sheetView zoomScale="90" zoomScaleNormal="90" workbookViewId="0">
      <selection activeCell="G66" sqref="G66"/>
    </sheetView>
  </sheetViews>
  <sheetFormatPr defaultColWidth="9.140625" defaultRowHeight="15" outlineLevelRow="1" x14ac:dyDescent="0.25"/>
  <cols>
    <col min="1" max="1" width="32.85546875" style="13" bestFit="1" customWidth="1"/>
    <col min="2" max="2" width="16.28515625" style="13" customWidth="1"/>
    <col min="3" max="3" width="23.5703125" style="13" bestFit="1" customWidth="1"/>
    <col min="4" max="4" width="12.7109375" style="13" customWidth="1"/>
    <col min="5" max="5" width="15.140625" style="13" customWidth="1"/>
    <col min="6" max="6" width="21.85546875" style="13" customWidth="1"/>
    <col min="7" max="7" width="20.42578125" style="13" customWidth="1"/>
    <col min="8" max="8" width="12.85546875" style="13" customWidth="1"/>
    <col min="9" max="9" width="23.7109375" style="13" customWidth="1"/>
    <col min="10" max="16384" width="9.140625" style="13"/>
  </cols>
  <sheetData>
    <row r="1" spans="1:30" ht="34.5" x14ac:dyDescent="0.4">
      <c r="A1" s="6" t="s">
        <v>7</v>
      </c>
      <c r="B1" s="4" t="s">
        <v>33</v>
      </c>
      <c r="C1" s="4"/>
      <c r="D1" s="4"/>
      <c r="E1" s="4"/>
      <c r="F1" s="4"/>
      <c r="G1" s="4"/>
      <c r="H1" s="4"/>
      <c r="J1" s="5"/>
      <c r="K1" s="5"/>
      <c r="L1" s="5"/>
      <c r="M1" s="5"/>
      <c r="N1" s="5"/>
      <c r="O1" s="5"/>
      <c r="P1" s="5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4" spans="1:30" ht="18" customHeight="1" x14ac:dyDescent="0.25">
      <c r="A4" s="171" t="s">
        <v>0</v>
      </c>
      <c r="B4" s="140" t="s">
        <v>10</v>
      </c>
      <c r="C4" s="142"/>
      <c r="D4" s="141"/>
      <c r="E4" s="140" t="s">
        <v>9</v>
      </c>
      <c r="F4" s="142"/>
      <c r="G4" s="173" t="s">
        <v>67</v>
      </c>
      <c r="H4" s="173" t="s">
        <v>4</v>
      </c>
    </row>
    <row r="5" spans="1:30" ht="30" customHeight="1" x14ac:dyDescent="0.25">
      <c r="A5" s="172"/>
      <c r="B5" s="21" t="s">
        <v>3</v>
      </c>
      <c r="C5" s="21" t="s">
        <v>8</v>
      </c>
      <c r="D5" s="21" t="s">
        <v>13</v>
      </c>
      <c r="E5" s="21" t="s">
        <v>1</v>
      </c>
      <c r="F5" s="21" t="s">
        <v>2</v>
      </c>
      <c r="G5" s="172"/>
      <c r="H5" s="172"/>
    </row>
    <row r="6" spans="1:30" ht="16.5" customHeight="1" x14ac:dyDescent="0.25">
      <c r="A6" s="14"/>
      <c r="B6" s="15"/>
      <c r="C6" s="15"/>
      <c r="D6" s="15"/>
      <c r="E6" s="16"/>
      <c r="F6" s="16"/>
      <c r="G6" s="17"/>
      <c r="H6" s="17"/>
    </row>
    <row r="7" spans="1:30" x14ac:dyDescent="0.25">
      <c r="A7" s="31" t="s">
        <v>167</v>
      </c>
      <c r="B7" s="25">
        <f>SUM(B8:B13)</f>
        <v>6</v>
      </c>
      <c r="C7" s="32" t="s">
        <v>35</v>
      </c>
      <c r="D7" s="32" t="s">
        <v>35</v>
      </c>
      <c r="E7" s="30">
        <f>SUM(E8:E13)</f>
        <v>53</v>
      </c>
      <c r="F7" s="30">
        <f>SUM(F8:F13)</f>
        <v>6</v>
      </c>
      <c r="G7" s="33" t="s">
        <v>407</v>
      </c>
      <c r="H7" s="25">
        <v>1</v>
      </c>
    </row>
    <row r="8" spans="1:30" outlineLevel="1" x14ac:dyDescent="0.25">
      <c r="A8" s="25" t="s">
        <v>168</v>
      </c>
      <c r="B8" s="13">
        <v>1</v>
      </c>
      <c r="C8" s="105" t="s">
        <v>171</v>
      </c>
      <c r="D8" s="10">
        <v>4304</v>
      </c>
      <c r="E8" s="10">
        <v>4</v>
      </c>
      <c r="F8" s="10">
        <v>0</v>
      </c>
      <c r="G8" s="33" t="s">
        <v>407</v>
      </c>
      <c r="H8" s="25">
        <v>1</v>
      </c>
    </row>
    <row r="9" spans="1:30" outlineLevel="1" x14ac:dyDescent="0.25">
      <c r="A9" s="26"/>
      <c r="B9" s="104">
        <v>1</v>
      </c>
      <c r="C9" s="105" t="s">
        <v>170</v>
      </c>
      <c r="D9" s="10">
        <v>4346</v>
      </c>
      <c r="E9" s="10">
        <v>4</v>
      </c>
      <c r="F9" s="10">
        <v>2</v>
      </c>
      <c r="G9" s="33" t="s">
        <v>407</v>
      </c>
      <c r="H9" s="25">
        <v>1</v>
      </c>
    </row>
    <row r="10" spans="1:30" outlineLevel="1" x14ac:dyDescent="0.25">
      <c r="A10" s="26"/>
      <c r="B10" s="104">
        <v>1</v>
      </c>
      <c r="C10" s="105" t="s">
        <v>21</v>
      </c>
      <c r="D10" s="10">
        <v>4305</v>
      </c>
      <c r="E10" s="10">
        <v>9</v>
      </c>
      <c r="F10" s="10">
        <v>0</v>
      </c>
      <c r="G10" s="33" t="s">
        <v>407</v>
      </c>
      <c r="H10" s="25">
        <v>1</v>
      </c>
    </row>
    <row r="11" spans="1:30" outlineLevel="1" x14ac:dyDescent="0.25">
      <c r="A11" s="26"/>
      <c r="B11" s="104">
        <v>1</v>
      </c>
      <c r="C11" s="105" t="s">
        <v>24</v>
      </c>
      <c r="D11" s="10">
        <v>4306</v>
      </c>
      <c r="E11" s="10">
        <v>6</v>
      </c>
      <c r="F11" s="10">
        <v>4</v>
      </c>
      <c r="G11" s="33" t="s">
        <v>407</v>
      </c>
      <c r="H11" s="25">
        <v>1</v>
      </c>
    </row>
    <row r="12" spans="1:30" outlineLevel="1" x14ac:dyDescent="0.25">
      <c r="A12" s="26"/>
      <c r="B12" s="104">
        <v>1</v>
      </c>
      <c r="C12" s="105" t="s">
        <v>169</v>
      </c>
      <c r="D12" s="10">
        <v>4300</v>
      </c>
      <c r="E12" s="10">
        <v>22</v>
      </c>
      <c r="F12" s="10">
        <v>0</v>
      </c>
      <c r="G12" s="33" t="s">
        <v>407</v>
      </c>
      <c r="H12" s="25">
        <v>1</v>
      </c>
    </row>
    <row r="13" spans="1:30" outlineLevel="1" x14ac:dyDescent="0.25">
      <c r="A13" s="26"/>
      <c r="B13" s="104">
        <v>1</v>
      </c>
      <c r="C13" s="105" t="s">
        <v>26</v>
      </c>
      <c r="D13" s="10">
        <v>4311</v>
      </c>
      <c r="E13" s="10">
        <v>8</v>
      </c>
      <c r="F13" s="10">
        <v>0</v>
      </c>
      <c r="G13" s="33" t="s">
        <v>407</v>
      </c>
      <c r="H13" s="25">
        <v>1</v>
      </c>
    </row>
    <row r="14" spans="1:30" x14ac:dyDescent="0.25">
      <c r="A14" s="26"/>
      <c r="B14" s="26"/>
      <c r="C14" s="26"/>
      <c r="D14" s="26"/>
      <c r="E14" s="26"/>
      <c r="F14" s="26"/>
      <c r="G14" s="26"/>
      <c r="H14" s="26"/>
    </row>
    <row r="15" spans="1:30" x14ac:dyDescent="0.25">
      <c r="A15" s="31" t="s">
        <v>34</v>
      </c>
      <c r="B15" s="25">
        <f>SUM(B16:B20)</f>
        <v>5</v>
      </c>
      <c r="C15" s="32" t="s">
        <v>35</v>
      </c>
      <c r="D15" s="32" t="s">
        <v>35</v>
      </c>
      <c r="E15" s="30">
        <f>SUM(E16:E20)</f>
        <v>0</v>
      </c>
      <c r="F15" s="30">
        <f>SUM(F16:F20)</f>
        <v>0</v>
      </c>
      <c r="G15" s="33" t="s">
        <v>408</v>
      </c>
      <c r="H15" s="25">
        <v>1</v>
      </c>
    </row>
    <row r="16" spans="1:30" outlineLevel="1" x14ac:dyDescent="0.25">
      <c r="A16" s="25" t="s">
        <v>172</v>
      </c>
      <c r="B16" s="13">
        <v>1</v>
      </c>
      <c r="C16" s="105" t="s">
        <v>173</v>
      </c>
      <c r="D16" s="10">
        <v>4154</v>
      </c>
      <c r="E16" s="10">
        <v>0</v>
      </c>
      <c r="F16" s="10">
        <v>0</v>
      </c>
      <c r="G16" s="33" t="s">
        <v>408</v>
      </c>
      <c r="H16" s="25">
        <v>1</v>
      </c>
    </row>
    <row r="17" spans="1:8" outlineLevel="1" x14ac:dyDescent="0.25">
      <c r="A17" s="26"/>
      <c r="B17" s="104">
        <v>1</v>
      </c>
      <c r="C17" s="105" t="s">
        <v>174</v>
      </c>
      <c r="D17" s="10">
        <v>4179</v>
      </c>
      <c r="E17" s="10">
        <v>0</v>
      </c>
      <c r="F17" s="10">
        <v>0</v>
      </c>
      <c r="G17" s="33" t="s">
        <v>408</v>
      </c>
      <c r="H17" s="25">
        <v>1</v>
      </c>
    </row>
    <row r="18" spans="1:8" outlineLevel="1" x14ac:dyDescent="0.25">
      <c r="A18" s="26"/>
      <c r="B18" s="104">
        <v>1</v>
      </c>
      <c r="C18" s="105" t="s">
        <v>175</v>
      </c>
      <c r="D18" s="10">
        <v>4179</v>
      </c>
      <c r="E18" s="10">
        <v>0</v>
      </c>
      <c r="F18" s="10">
        <v>0</v>
      </c>
      <c r="G18" s="33" t="s">
        <v>408</v>
      </c>
      <c r="H18" s="25">
        <v>1</v>
      </c>
    </row>
    <row r="19" spans="1:8" outlineLevel="1" x14ac:dyDescent="0.25">
      <c r="A19" s="26"/>
      <c r="B19" s="104">
        <v>1</v>
      </c>
      <c r="C19" s="105" t="s">
        <v>176</v>
      </c>
      <c r="D19" s="10">
        <v>4122</v>
      </c>
      <c r="E19" s="10">
        <v>0</v>
      </c>
      <c r="F19" s="10">
        <v>0</v>
      </c>
      <c r="G19" s="33" t="s">
        <v>408</v>
      </c>
      <c r="H19" s="25">
        <v>1</v>
      </c>
    </row>
    <row r="20" spans="1:8" outlineLevel="1" x14ac:dyDescent="0.25">
      <c r="A20" s="26"/>
      <c r="B20" s="104">
        <v>1</v>
      </c>
      <c r="C20" s="105" t="s">
        <v>177</v>
      </c>
      <c r="D20" s="10">
        <v>4122</v>
      </c>
      <c r="E20" s="10">
        <v>0</v>
      </c>
      <c r="F20" s="10">
        <v>0</v>
      </c>
      <c r="G20" s="33" t="s">
        <v>408</v>
      </c>
      <c r="H20" s="25">
        <v>1</v>
      </c>
    </row>
    <row r="21" spans="1:8" x14ac:dyDescent="0.25">
      <c r="A21" s="26"/>
      <c r="B21" s="26"/>
      <c r="C21" s="26"/>
      <c r="D21" s="26"/>
      <c r="E21" s="26"/>
      <c r="F21" s="26"/>
      <c r="G21" s="26"/>
      <c r="H21" s="26"/>
    </row>
    <row r="22" spans="1:8" x14ac:dyDescent="0.25">
      <c r="A22" s="31" t="s">
        <v>178</v>
      </c>
      <c r="B22" s="25">
        <f>SUM(B23:B24)</f>
        <v>2</v>
      </c>
      <c r="C22" s="32" t="s">
        <v>35</v>
      </c>
      <c r="D22" s="32" t="s">
        <v>35</v>
      </c>
      <c r="E22" s="30">
        <v>0</v>
      </c>
      <c r="F22" s="30">
        <f>SUM(F23:F24)</f>
        <v>0</v>
      </c>
      <c r="G22" s="33" t="s">
        <v>408</v>
      </c>
      <c r="H22" s="25">
        <v>1</v>
      </c>
    </row>
    <row r="23" spans="1:8" x14ac:dyDescent="0.25">
      <c r="A23" s="25" t="s">
        <v>179</v>
      </c>
      <c r="B23" s="13">
        <v>1</v>
      </c>
      <c r="C23" s="105" t="s">
        <v>180</v>
      </c>
      <c r="D23" s="10">
        <v>4163</v>
      </c>
      <c r="E23" s="10">
        <v>0</v>
      </c>
      <c r="F23" s="10">
        <v>0</v>
      </c>
      <c r="G23" s="33" t="s">
        <v>408</v>
      </c>
      <c r="H23" s="25">
        <v>1</v>
      </c>
    </row>
    <row r="24" spans="1:8" x14ac:dyDescent="0.25">
      <c r="A24" s="26"/>
      <c r="B24" s="104">
        <v>1</v>
      </c>
      <c r="C24" s="105" t="s">
        <v>181</v>
      </c>
      <c r="D24" s="10">
        <v>4184</v>
      </c>
      <c r="E24" s="10">
        <v>0</v>
      </c>
      <c r="F24" s="10">
        <v>0</v>
      </c>
      <c r="G24" s="33" t="s">
        <v>408</v>
      </c>
      <c r="H24" s="25">
        <v>1</v>
      </c>
    </row>
    <row r="25" spans="1:8" x14ac:dyDescent="0.25">
      <c r="A25" s="26"/>
      <c r="B25" s="26"/>
      <c r="C25" s="26"/>
      <c r="D25" s="26"/>
      <c r="E25" s="26"/>
      <c r="F25" s="26"/>
      <c r="G25" s="26"/>
      <c r="H25" s="26"/>
    </row>
    <row r="26" spans="1:8" x14ac:dyDescent="0.25">
      <c r="A26" s="31" t="s">
        <v>182</v>
      </c>
      <c r="B26" s="25">
        <f>SUM(B27:B33)</f>
        <v>7</v>
      </c>
      <c r="C26" s="32" t="s">
        <v>35</v>
      </c>
      <c r="D26" s="32" t="s">
        <v>35</v>
      </c>
      <c r="E26" s="30">
        <f>SUM(E27:E33)</f>
        <v>0</v>
      </c>
      <c r="F26" s="30">
        <f>SUM(F27:F33)</f>
        <v>0</v>
      </c>
      <c r="G26" s="33" t="s">
        <v>410</v>
      </c>
      <c r="H26" s="25">
        <v>1</v>
      </c>
    </row>
    <row r="27" spans="1:8" x14ac:dyDescent="0.25">
      <c r="A27" s="25" t="s">
        <v>183</v>
      </c>
      <c r="B27" s="13">
        <v>1</v>
      </c>
      <c r="C27" s="105" t="s">
        <v>184</v>
      </c>
      <c r="D27" s="10">
        <v>4007</v>
      </c>
      <c r="E27" s="10">
        <v>0</v>
      </c>
      <c r="F27" s="10">
        <v>0</v>
      </c>
      <c r="G27" s="33" t="s">
        <v>410</v>
      </c>
      <c r="H27" s="25">
        <v>1</v>
      </c>
    </row>
    <row r="28" spans="1:8" x14ac:dyDescent="0.25">
      <c r="A28" s="26"/>
      <c r="B28" s="104">
        <v>1</v>
      </c>
      <c r="C28" s="105" t="s">
        <v>185</v>
      </c>
      <c r="D28" s="10">
        <v>4051</v>
      </c>
      <c r="E28" s="10">
        <v>0</v>
      </c>
      <c r="F28" s="10">
        <v>0</v>
      </c>
      <c r="G28" s="33" t="s">
        <v>410</v>
      </c>
      <c r="H28" s="25">
        <v>1</v>
      </c>
    </row>
    <row r="29" spans="1:8" x14ac:dyDescent="0.25">
      <c r="A29" s="26"/>
      <c r="B29" s="104">
        <v>1</v>
      </c>
      <c r="C29" s="105" t="s">
        <v>186</v>
      </c>
      <c r="D29" s="10">
        <v>4031</v>
      </c>
      <c r="E29" s="10">
        <v>0</v>
      </c>
      <c r="F29" s="10">
        <v>0</v>
      </c>
      <c r="G29" s="33" t="s">
        <v>410</v>
      </c>
      <c r="H29" s="25">
        <v>1</v>
      </c>
    </row>
    <row r="30" spans="1:8" x14ac:dyDescent="0.25">
      <c r="A30" s="26"/>
      <c r="B30" s="104">
        <v>1</v>
      </c>
      <c r="C30" s="105" t="s">
        <v>187</v>
      </c>
      <c r="D30" s="10">
        <v>4011</v>
      </c>
      <c r="E30" s="10">
        <v>0</v>
      </c>
      <c r="F30" s="10">
        <v>0</v>
      </c>
      <c r="G30" s="33" t="s">
        <v>410</v>
      </c>
      <c r="H30" s="25">
        <v>1</v>
      </c>
    </row>
    <row r="31" spans="1:8" x14ac:dyDescent="0.25">
      <c r="A31" s="26"/>
      <c r="B31" s="104">
        <v>1</v>
      </c>
      <c r="C31" s="105" t="s">
        <v>188</v>
      </c>
      <c r="D31" s="10">
        <v>4005</v>
      </c>
      <c r="E31" s="10">
        <v>0</v>
      </c>
      <c r="F31" s="10">
        <v>0</v>
      </c>
      <c r="G31" s="33" t="s">
        <v>410</v>
      </c>
      <c r="H31" s="25">
        <v>1</v>
      </c>
    </row>
    <row r="32" spans="1:8" x14ac:dyDescent="0.25">
      <c r="A32" s="26"/>
      <c r="B32" s="104">
        <v>1</v>
      </c>
      <c r="C32" s="105" t="s">
        <v>189</v>
      </c>
      <c r="D32" s="10">
        <v>4051</v>
      </c>
      <c r="E32" s="10">
        <v>0</v>
      </c>
      <c r="F32" s="10">
        <v>0</v>
      </c>
      <c r="G32" s="33" t="s">
        <v>410</v>
      </c>
      <c r="H32" s="25">
        <v>1</v>
      </c>
    </row>
    <row r="33" spans="1:8" x14ac:dyDescent="0.25">
      <c r="A33" s="26"/>
      <c r="B33" s="104">
        <v>1</v>
      </c>
      <c r="C33" s="105" t="s">
        <v>190</v>
      </c>
      <c r="D33" s="10">
        <v>4030</v>
      </c>
      <c r="E33" s="10">
        <v>0</v>
      </c>
      <c r="F33" s="10">
        <v>0</v>
      </c>
      <c r="G33" s="33" t="s">
        <v>410</v>
      </c>
      <c r="H33" s="25">
        <v>1</v>
      </c>
    </row>
    <row r="35" spans="1:8" x14ac:dyDescent="0.25">
      <c r="A35" s="31" t="s">
        <v>191</v>
      </c>
      <c r="B35" s="25">
        <f>SUM(B36:B41)</f>
        <v>6</v>
      </c>
      <c r="C35" s="32" t="s">
        <v>35</v>
      </c>
      <c r="D35" s="32" t="s">
        <v>35</v>
      </c>
      <c r="E35" s="30">
        <f>SUM(E36:E41)</f>
        <v>0</v>
      </c>
      <c r="F35" s="30">
        <f>SUM(F36:F41)</f>
        <v>0</v>
      </c>
      <c r="G35" s="33" t="s">
        <v>407</v>
      </c>
      <c r="H35" s="25">
        <v>1</v>
      </c>
    </row>
    <row r="36" spans="1:8" x14ac:dyDescent="0.25">
      <c r="A36" s="25" t="s">
        <v>192</v>
      </c>
      <c r="B36" s="13">
        <v>1</v>
      </c>
      <c r="C36" s="105" t="s">
        <v>193</v>
      </c>
      <c r="D36" s="10">
        <v>4740</v>
      </c>
      <c r="E36" s="10">
        <v>0</v>
      </c>
      <c r="F36" s="10">
        <v>0</v>
      </c>
      <c r="G36" s="33" t="s">
        <v>407</v>
      </c>
      <c r="H36" s="25">
        <v>1</v>
      </c>
    </row>
    <row r="37" spans="1:8" x14ac:dyDescent="0.25">
      <c r="A37" s="26"/>
      <c r="B37" s="104">
        <v>1</v>
      </c>
      <c r="C37" s="105" t="s">
        <v>194</v>
      </c>
      <c r="D37" s="10">
        <v>4745</v>
      </c>
      <c r="E37" s="10">
        <v>0</v>
      </c>
      <c r="F37" s="10">
        <v>0</v>
      </c>
      <c r="G37" s="33" t="s">
        <v>407</v>
      </c>
      <c r="H37" s="25">
        <v>1</v>
      </c>
    </row>
    <row r="38" spans="1:8" x14ac:dyDescent="0.25">
      <c r="A38" s="26"/>
      <c r="B38" s="104">
        <v>1</v>
      </c>
      <c r="C38" s="105" t="s">
        <v>195</v>
      </c>
      <c r="D38" s="10">
        <v>4703</v>
      </c>
      <c r="E38" s="10">
        <v>0</v>
      </c>
      <c r="F38" s="10">
        <v>0</v>
      </c>
      <c r="G38" s="33" t="s">
        <v>407</v>
      </c>
      <c r="H38" s="25">
        <v>1</v>
      </c>
    </row>
    <row r="39" spans="1:8" x14ac:dyDescent="0.25">
      <c r="A39" s="26"/>
      <c r="B39" s="104">
        <v>1</v>
      </c>
      <c r="C39" s="105" t="s">
        <v>196</v>
      </c>
      <c r="D39" s="10">
        <v>4742</v>
      </c>
      <c r="E39" s="10">
        <v>0</v>
      </c>
      <c r="F39" s="10">
        <v>0</v>
      </c>
      <c r="G39" s="33" t="s">
        <v>407</v>
      </c>
      <c r="H39" s="25">
        <v>1</v>
      </c>
    </row>
    <row r="40" spans="1:8" x14ac:dyDescent="0.25">
      <c r="A40" s="26"/>
      <c r="B40" s="104">
        <v>1</v>
      </c>
      <c r="C40" s="105" t="s">
        <v>197</v>
      </c>
      <c r="D40" s="10">
        <v>4701</v>
      </c>
      <c r="E40" s="10">
        <v>0</v>
      </c>
      <c r="F40" s="10">
        <v>0</v>
      </c>
      <c r="G40" s="33" t="s">
        <v>407</v>
      </c>
      <c r="H40" s="25">
        <v>1</v>
      </c>
    </row>
    <row r="41" spans="1:8" x14ac:dyDescent="0.25">
      <c r="A41" s="26"/>
      <c r="B41" s="104">
        <v>1</v>
      </c>
      <c r="C41" s="105" t="s">
        <v>198</v>
      </c>
      <c r="D41" s="10">
        <v>4702</v>
      </c>
      <c r="E41" s="10">
        <v>0</v>
      </c>
      <c r="F41" s="10">
        <v>0</v>
      </c>
      <c r="G41" s="33" t="s">
        <v>407</v>
      </c>
      <c r="H41" s="25">
        <v>1</v>
      </c>
    </row>
    <row r="42" spans="1:8" x14ac:dyDescent="0.25">
      <c r="A42" s="26"/>
      <c r="B42" s="26"/>
      <c r="C42" s="26"/>
      <c r="D42" s="26"/>
      <c r="E42" s="26"/>
      <c r="F42" s="26"/>
      <c r="G42" s="26"/>
      <c r="H42" s="26"/>
    </row>
    <row r="43" spans="1:8" x14ac:dyDescent="0.25">
      <c r="A43" s="31" t="s">
        <v>199</v>
      </c>
      <c r="B43" s="25">
        <f>SUM(B44:B46)</f>
        <v>3</v>
      </c>
      <c r="C43" s="32" t="s">
        <v>35</v>
      </c>
      <c r="D43" s="32" t="s">
        <v>35</v>
      </c>
      <c r="E43" s="30">
        <f>SUM(E44:E46)</f>
        <v>0</v>
      </c>
      <c r="F43" s="30">
        <f>SUM(F44:F46)</f>
        <v>0</v>
      </c>
      <c r="G43" s="33" t="s">
        <v>411</v>
      </c>
      <c r="H43" s="25">
        <v>1</v>
      </c>
    </row>
    <row r="44" spans="1:8" x14ac:dyDescent="0.25">
      <c r="A44" s="25" t="s">
        <v>200</v>
      </c>
      <c r="B44" s="13">
        <v>1</v>
      </c>
      <c r="C44" s="105" t="s">
        <v>201</v>
      </c>
      <c r="D44" s="10">
        <v>4750</v>
      </c>
      <c r="E44" s="10">
        <v>0</v>
      </c>
      <c r="F44" s="10">
        <v>0</v>
      </c>
      <c r="G44" s="33" t="s">
        <v>411</v>
      </c>
      <c r="H44" s="25">
        <v>1</v>
      </c>
    </row>
    <row r="45" spans="1:8" x14ac:dyDescent="0.25">
      <c r="A45" s="26"/>
      <c r="B45" s="104">
        <v>1</v>
      </c>
      <c r="C45" s="105" t="s">
        <v>202</v>
      </c>
      <c r="D45" s="10">
        <v>4798</v>
      </c>
      <c r="E45" s="10">
        <v>0</v>
      </c>
      <c r="F45" s="10">
        <v>0</v>
      </c>
      <c r="G45" s="33" t="s">
        <v>411</v>
      </c>
      <c r="H45" s="25">
        <v>1</v>
      </c>
    </row>
    <row r="46" spans="1:8" x14ac:dyDescent="0.25">
      <c r="A46" s="26"/>
      <c r="B46" s="104">
        <v>1</v>
      </c>
      <c r="C46" s="105" t="s">
        <v>203</v>
      </c>
      <c r="D46" s="10">
        <v>4806</v>
      </c>
      <c r="E46" s="10">
        <v>0</v>
      </c>
      <c r="F46" s="10">
        <v>0</v>
      </c>
      <c r="G46" s="33" t="s">
        <v>411</v>
      </c>
      <c r="H46" s="25">
        <v>1</v>
      </c>
    </row>
    <row r="48" spans="1:8" x14ac:dyDescent="0.25">
      <c r="A48" s="31" t="s">
        <v>204</v>
      </c>
      <c r="B48" s="25">
        <f>SUM(B49:B50)</f>
        <v>2</v>
      </c>
      <c r="C48" s="32" t="s">
        <v>35</v>
      </c>
      <c r="D48" s="32" t="s">
        <v>35</v>
      </c>
      <c r="E48" s="30">
        <f>SUM(E49:E50)</f>
        <v>0</v>
      </c>
      <c r="F48" s="30">
        <f>SUM(F49:F50)</f>
        <v>0</v>
      </c>
      <c r="G48" s="33" t="s">
        <v>408</v>
      </c>
      <c r="H48" s="25">
        <v>1</v>
      </c>
    </row>
    <row r="49" spans="1:8" x14ac:dyDescent="0.25">
      <c r="A49" s="25" t="s">
        <v>205</v>
      </c>
      <c r="B49" s="13">
        <v>1</v>
      </c>
      <c r="C49" s="105" t="s">
        <v>206</v>
      </c>
      <c r="D49" s="10">
        <v>4500</v>
      </c>
      <c r="E49" s="10">
        <v>0</v>
      </c>
      <c r="F49" s="10">
        <v>0</v>
      </c>
      <c r="G49" s="33" t="s">
        <v>408</v>
      </c>
      <c r="H49" s="25">
        <v>1</v>
      </c>
    </row>
    <row r="50" spans="1:8" x14ac:dyDescent="0.25">
      <c r="A50" s="26"/>
      <c r="B50" s="104">
        <v>1</v>
      </c>
      <c r="C50" s="105" t="s">
        <v>207</v>
      </c>
      <c r="D50" s="10">
        <v>4521</v>
      </c>
      <c r="E50" s="10">
        <v>0</v>
      </c>
      <c r="F50" s="10">
        <v>0</v>
      </c>
      <c r="G50" s="33" t="s">
        <v>408</v>
      </c>
      <c r="H50" s="25">
        <v>1</v>
      </c>
    </row>
    <row r="51" spans="1:8" x14ac:dyDescent="0.25">
      <c r="A51" s="26"/>
      <c r="B51" s="26"/>
      <c r="C51" s="26"/>
      <c r="D51" s="26"/>
      <c r="E51" s="26"/>
      <c r="F51" s="26"/>
      <c r="G51" s="26"/>
      <c r="H51" s="26"/>
    </row>
    <row r="52" spans="1:8" x14ac:dyDescent="0.25">
      <c r="A52" s="31" t="s">
        <v>208</v>
      </c>
      <c r="B52" s="25">
        <f>SUM(B53:B53)</f>
        <v>1</v>
      </c>
      <c r="C52" s="32" t="s">
        <v>35</v>
      </c>
      <c r="D52" s="32" t="s">
        <v>35</v>
      </c>
      <c r="E52" s="30">
        <f>SUM(E53:E53)</f>
        <v>0</v>
      </c>
      <c r="F52" s="30">
        <f>SUM(F53:F53)</f>
        <v>0</v>
      </c>
      <c r="G52" s="33" t="s">
        <v>411</v>
      </c>
      <c r="H52" s="25">
        <v>1</v>
      </c>
    </row>
    <row r="53" spans="1:8" x14ac:dyDescent="0.25">
      <c r="A53" s="104" t="s">
        <v>209</v>
      </c>
      <c r="B53" s="106">
        <v>1</v>
      </c>
      <c r="C53" s="105" t="s">
        <v>210</v>
      </c>
      <c r="D53" s="10">
        <v>4564</v>
      </c>
      <c r="E53" s="10">
        <v>0</v>
      </c>
      <c r="F53" s="10">
        <v>0</v>
      </c>
      <c r="G53" s="33" t="s">
        <v>411</v>
      </c>
      <c r="H53" s="25">
        <v>1</v>
      </c>
    </row>
    <row r="54" spans="1:8" x14ac:dyDescent="0.25">
      <c r="A54" s="26"/>
      <c r="B54" s="26"/>
      <c r="C54" s="26"/>
      <c r="D54" s="26"/>
      <c r="E54" s="26"/>
      <c r="F54" s="26"/>
      <c r="G54" s="26"/>
      <c r="H54" s="26"/>
    </row>
    <row r="55" spans="1:8" x14ac:dyDescent="0.25">
      <c r="A55" s="31" t="s">
        <v>211</v>
      </c>
      <c r="B55" s="25">
        <f>SUM(B56:B56)</f>
        <v>1</v>
      </c>
      <c r="C55" s="32" t="s">
        <v>35</v>
      </c>
      <c r="D55" s="32" t="s">
        <v>35</v>
      </c>
      <c r="E55" s="30">
        <f>SUM(E56:E56)</f>
        <v>0</v>
      </c>
      <c r="F55" s="30">
        <f>SUM(F56:F56)</f>
        <v>0</v>
      </c>
      <c r="G55" s="33" t="s">
        <v>411</v>
      </c>
      <c r="H55" s="25">
        <v>1</v>
      </c>
    </row>
    <row r="56" spans="1:8" x14ac:dyDescent="0.25">
      <c r="A56" s="25" t="s">
        <v>164</v>
      </c>
      <c r="B56" s="13">
        <v>1</v>
      </c>
      <c r="C56" s="105" t="s">
        <v>212</v>
      </c>
      <c r="D56" s="10">
        <v>4551</v>
      </c>
      <c r="E56" s="10">
        <v>0</v>
      </c>
      <c r="F56" s="10">
        <v>0</v>
      </c>
      <c r="G56" s="33" t="s">
        <v>411</v>
      </c>
      <c r="H56" s="25">
        <v>1</v>
      </c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x14ac:dyDescent="0.25">
      <c r="A58" s="31" t="s">
        <v>213</v>
      </c>
      <c r="B58" s="25">
        <f>SUM(B59:B71)</f>
        <v>13</v>
      </c>
      <c r="C58" s="32" t="s">
        <v>35</v>
      </c>
      <c r="D58" s="32" t="s">
        <v>35</v>
      </c>
      <c r="E58" s="30">
        <f>SUM(E59:E71)</f>
        <v>0</v>
      </c>
      <c r="F58" s="30">
        <f>SUM(F59:F71)</f>
        <v>0</v>
      </c>
      <c r="G58" s="33" t="s">
        <v>411</v>
      </c>
      <c r="H58" s="25">
        <v>1</v>
      </c>
    </row>
    <row r="59" spans="1:8" x14ac:dyDescent="0.25">
      <c r="A59" s="25" t="s">
        <v>214</v>
      </c>
      <c r="B59" s="13">
        <v>1</v>
      </c>
      <c r="C59" s="105" t="s">
        <v>215</v>
      </c>
      <c r="D59" s="10">
        <v>4702</v>
      </c>
      <c r="E59" s="10">
        <v>0</v>
      </c>
      <c r="F59" s="10">
        <v>0</v>
      </c>
      <c r="G59" s="33" t="s">
        <v>411</v>
      </c>
      <c r="H59" s="25">
        <v>1</v>
      </c>
    </row>
    <row r="60" spans="1:8" x14ac:dyDescent="0.25">
      <c r="A60" s="26"/>
      <c r="B60" s="104">
        <v>1</v>
      </c>
      <c r="C60" s="105" t="s">
        <v>216</v>
      </c>
      <c r="D60" s="10">
        <v>4680</v>
      </c>
      <c r="E60" s="10">
        <v>0</v>
      </c>
      <c r="F60" s="10">
        <v>0</v>
      </c>
      <c r="G60" s="33" t="s">
        <v>411</v>
      </c>
      <c r="H60" s="25">
        <v>1</v>
      </c>
    </row>
    <row r="61" spans="1:8" x14ac:dyDescent="0.25">
      <c r="A61" s="26"/>
      <c r="B61" s="104">
        <v>1</v>
      </c>
      <c r="C61" s="105" t="s">
        <v>217</v>
      </c>
      <c r="D61" s="10">
        <v>4715</v>
      </c>
      <c r="E61" s="10">
        <v>0</v>
      </c>
      <c r="F61" s="10">
        <v>0</v>
      </c>
      <c r="G61" s="33" t="s">
        <v>411</v>
      </c>
      <c r="H61" s="25">
        <v>1</v>
      </c>
    </row>
    <row r="62" spans="1:8" x14ac:dyDescent="0.25">
      <c r="A62" s="26"/>
      <c r="B62" s="104">
        <v>1</v>
      </c>
      <c r="C62" s="105" t="s">
        <v>218</v>
      </c>
      <c r="D62" s="10">
        <v>4702</v>
      </c>
      <c r="E62" s="10">
        <v>0</v>
      </c>
      <c r="F62" s="10">
        <v>0</v>
      </c>
      <c r="G62" s="33" t="s">
        <v>411</v>
      </c>
      <c r="H62" s="25">
        <v>1</v>
      </c>
    </row>
    <row r="63" spans="1:8" x14ac:dyDescent="0.25">
      <c r="A63" s="26"/>
      <c r="B63" s="104">
        <v>1</v>
      </c>
      <c r="C63" s="105" t="s">
        <v>219</v>
      </c>
      <c r="D63" s="10">
        <v>4680</v>
      </c>
      <c r="E63" s="10">
        <v>0</v>
      </c>
      <c r="F63" s="10">
        <v>0</v>
      </c>
      <c r="G63" s="33" t="s">
        <v>411</v>
      </c>
      <c r="H63" s="25">
        <v>1</v>
      </c>
    </row>
    <row r="64" spans="1:8" x14ac:dyDescent="0.25">
      <c r="A64" s="26"/>
      <c r="B64" s="104">
        <v>1</v>
      </c>
      <c r="C64" s="105" t="s">
        <v>220</v>
      </c>
      <c r="D64" s="10">
        <v>4627</v>
      </c>
      <c r="E64" s="10">
        <v>0</v>
      </c>
      <c r="F64" s="10">
        <v>0</v>
      </c>
      <c r="G64" s="33" t="s">
        <v>411</v>
      </c>
      <c r="H64" s="25">
        <v>1</v>
      </c>
    </row>
    <row r="65" spans="1:8" x14ac:dyDescent="0.25">
      <c r="A65" s="26"/>
      <c r="B65" s="104">
        <v>1</v>
      </c>
      <c r="C65" s="105" t="s">
        <v>221</v>
      </c>
      <c r="D65" s="10">
        <v>4720</v>
      </c>
      <c r="E65" s="10">
        <v>0</v>
      </c>
      <c r="F65" s="10">
        <v>0</v>
      </c>
      <c r="G65" s="33" t="s">
        <v>411</v>
      </c>
      <c r="H65" s="25">
        <v>1</v>
      </c>
    </row>
    <row r="66" spans="1:8" x14ac:dyDescent="0.25">
      <c r="A66" s="26"/>
      <c r="B66" s="104">
        <v>1</v>
      </c>
      <c r="C66" s="105" t="s">
        <v>222</v>
      </c>
      <c r="D66" s="10">
        <v>4680</v>
      </c>
      <c r="E66" s="10">
        <v>0</v>
      </c>
      <c r="F66" s="10">
        <v>0</v>
      </c>
      <c r="G66" s="33" t="s">
        <v>411</v>
      </c>
      <c r="H66" s="25">
        <v>1</v>
      </c>
    </row>
    <row r="67" spans="1:8" x14ac:dyDescent="0.25">
      <c r="A67" s="26"/>
      <c r="B67" s="104">
        <v>1</v>
      </c>
      <c r="C67" s="105" t="s">
        <v>223</v>
      </c>
      <c r="D67" s="10">
        <v>4702</v>
      </c>
      <c r="E67" s="10">
        <v>0</v>
      </c>
      <c r="F67" s="10">
        <v>0</v>
      </c>
      <c r="G67" s="33" t="s">
        <v>411</v>
      </c>
      <c r="H67" s="25">
        <v>1</v>
      </c>
    </row>
    <row r="68" spans="1:8" x14ac:dyDescent="0.25">
      <c r="A68" s="26"/>
      <c r="B68" s="104">
        <v>1</v>
      </c>
      <c r="C68" s="105" t="s">
        <v>224</v>
      </c>
      <c r="D68" s="10">
        <v>4714</v>
      </c>
      <c r="E68" s="10">
        <v>0</v>
      </c>
      <c r="F68" s="10">
        <v>0</v>
      </c>
      <c r="G68" s="33" t="s">
        <v>411</v>
      </c>
      <c r="H68" s="25">
        <v>1</v>
      </c>
    </row>
    <row r="69" spans="1:8" x14ac:dyDescent="0.25">
      <c r="A69" s="26"/>
      <c r="B69" s="104">
        <v>1</v>
      </c>
      <c r="C69" s="105" t="s">
        <v>225</v>
      </c>
      <c r="D69" s="10">
        <v>4630</v>
      </c>
      <c r="E69" s="10">
        <v>0</v>
      </c>
      <c r="F69" s="10">
        <v>0</v>
      </c>
      <c r="G69" s="33" t="s">
        <v>411</v>
      </c>
      <c r="H69" s="25">
        <v>1</v>
      </c>
    </row>
    <row r="70" spans="1:8" x14ac:dyDescent="0.25">
      <c r="A70" s="26"/>
      <c r="B70" s="104">
        <v>1</v>
      </c>
      <c r="C70" s="105" t="s">
        <v>226</v>
      </c>
      <c r="D70" s="10">
        <v>4680</v>
      </c>
      <c r="E70" s="10">
        <v>0</v>
      </c>
      <c r="F70" s="10">
        <v>0</v>
      </c>
      <c r="G70" s="33" t="s">
        <v>411</v>
      </c>
      <c r="H70" s="25">
        <v>1</v>
      </c>
    </row>
    <row r="71" spans="1:8" x14ac:dyDescent="0.25">
      <c r="A71" s="26"/>
      <c r="B71" s="104">
        <v>1</v>
      </c>
      <c r="C71" s="105" t="s">
        <v>227</v>
      </c>
      <c r="D71" s="10">
        <v>4673</v>
      </c>
      <c r="E71" s="10">
        <v>0</v>
      </c>
      <c r="F71" s="10">
        <v>0</v>
      </c>
      <c r="G71" s="33" t="s">
        <v>411</v>
      </c>
      <c r="H71" s="25">
        <v>1</v>
      </c>
    </row>
    <row r="73" spans="1:8" x14ac:dyDescent="0.25">
      <c r="A73" s="31" t="s">
        <v>228</v>
      </c>
      <c r="B73" s="25">
        <f>SUM(B74:B76)</f>
        <v>3</v>
      </c>
      <c r="C73" s="32" t="s">
        <v>35</v>
      </c>
      <c r="D73" s="32" t="s">
        <v>35</v>
      </c>
      <c r="E73" s="30">
        <f>SUM(E74:E76)</f>
        <v>0</v>
      </c>
      <c r="F73" s="30">
        <f>SUM(F74:F76)</f>
        <v>0</v>
      </c>
      <c r="G73" s="33" t="s">
        <v>408</v>
      </c>
      <c r="H73" s="25">
        <v>1</v>
      </c>
    </row>
    <row r="74" spans="1:8" x14ac:dyDescent="0.25">
      <c r="A74" s="25" t="s">
        <v>229</v>
      </c>
      <c r="B74" s="13">
        <v>1</v>
      </c>
      <c r="C74" s="105" t="s">
        <v>230</v>
      </c>
      <c r="D74" s="10">
        <v>4207</v>
      </c>
      <c r="E74" s="10">
        <v>0</v>
      </c>
      <c r="F74" s="10">
        <v>0</v>
      </c>
      <c r="G74" s="33" t="s">
        <v>408</v>
      </c>
      <c r="H74" s="25">
        <v>1</v>
      </c>
    </row>
    <row r="75" spans="1:8" x14ac:dyDescent="0.25">
      <c r="A75" s="26"/>
      <c r="B75" s="104">
        <v>1</v>
      </c>
      <c r="C75" s="105" t="s">
        <v>231</v>
      </c>
      <c r="D75" s="10">
        <v>4130</v>
      </c>
      <c r="E75" s="10">
        <v>0</v>
      </c>
      <c r="F75" s="10">
        <v>0</v>
      </c>
      <c r="G75" s="33" t="s">
        <v>408</v>
      </c>
      <c r="H75" s="25">
        <v>1</v>
      </c>
    </row>
    <row r="76" spans="1:8" x14ac:dyDescent="0.25">
      <c r="A76" s="26"/>
      <c r="B76" s="104">
        <v>1</v>
      </c>
      <c r="C76" s="105" t="s">
        <v>232</v>
      </c>
      <c r="D76" s="10">
        <v>4209</v>
      </c>
      <c r="E76" s="10">
        <v>0</v>
      </c>
      <c r="F76" s="10">
        <v>0</v>
      </c>
      <c r="G76" s="33" t="s">
        <v>408</v>
      </c>
      <c r="H76" s="25">
        <v>1</v>
      </c>
    </row>
    <row r="77" spans="1:8" x14ac:dyDescent="0.25">
      <c r="A77" s="26"/>
      <c r="B77" s="26"/>
      <c r="C77" s="26"/>
      <c r="D77" s="26"/>
      <c r="E77" s="26"/>
      <c r="F77" s="26"/>
      <c r="G77" s="26"/>
      <c r="H77" s="26"/>
    </row>
    <row r="78" spans="1:8" x14ac:dyDescent="0.25">
      <c r="A78" s="31" t="s">
        <v>233</v>
      </c>
      <c r="B78" s="25">
        <f>SUM(B79:B82)</f>
        <v>4</v>
      </c>
      <c r="C78" s="32" t="s">
        <v>35</v>
      </c>
      <c r="D78" s="32" t="s">
        <v>35</v>
      </c>
      <c r="E78" s="30">
        <f>SUM(E79:E82)</f>
        <v>0</v>
      </c>
      <c r="F78" s="30">
        <f>SUM(F79:F82)</f>
        <v>0</v>
      </c>
      <c r="G78" s="33" t="s">
        <v>410</v>
      </c>
      <c r="H78" s="25">
        <v>1</v>
      </c>
    </row>
    <row r="79" spans="1:8" x14ac:dyDescent="0.25">
      <c r="A79" s="25" t="s">
        <v>234</v>
      </c>
      <c r="B79" s="13">
        <v>1</v>
      </c>
      <c r="C79" s="105" t="s">
        <v>235</v>
      </c>
      <c r="D79" s="10">
        <v>4171</v>
      </c>
      <c r="E79" s="10">
        <v>0</v>
      </c>
      <c r="F79" s="10">
        <v>0</v>
      </c>
      <c r="G79" s="33" t="s">
        <v>410</v>
      </c>
      <c r="H79" s="25">
        <v>1</v>
      </c>
    </row>
    <row r="80" spans="1:8" x14ac:dyDescent="0.25">
      <c r="A80" s="26"/>
      <c r="B80" s="104">
        <v>1</v>
      </c>
      <c r="C80" s="105" t="s">
        <v>236</v>
      </c>
      <c r="D80" s="10">
        <v>4152</v>
      </c>
      <c r="E80" s="10">
        <v>0</v>
      </c>
      <c r="F80" s="10">
        <v>0</v>
      </c>
      <c r="G80" s="33" t="s">
        <v>410</v>
      </c>
      <c r="H80" s="25">
        <v>1</v>
      </c>
    </row>
    <row r="81" spans="1:8" x14ac:dyDescent="0.25">
      <c r="A81" s="26"/>
      <c r="B81" s="104">
        <v>1</v>
      </c>
      <c r="C81" s="105" t="s">
        <v>237</v>
      </c>
      <c r="D81" s="10">
        <v>4151</v>
      </c>
      <c r="E81" s="10">
        <v>0</v>
      </c>
      <c r="F81" s="10">
        <v>0</v>
      </c>
      <c r="G81" s="33" t="s">
        <v>410</v>
      </c>
      <c r="H81" s="25">
        <v>1</v>
      </c>
    </row>
    <row r="82" spans="1:8" x14ac:dyDescent="0.25">
      <c r="A82" s="26"/>
      <c r="B82" s="104">
        <v>1</v>
      </c>
      <c r="C82" s="105" t="s">
        <v>238</v>
      </c>
      <c r="D82" s="10">
        <v>4121</v>
      </c>
      <c r="E82" s="10">
        <v>0</v>
      </c>
      <c r="F82" s="10">
        <v>0</v>
      </c>
      <c r="G82" s="33" t="s">
        <v>410</v>
      </c>
      <c r="H82" s="25">
        <v>1</v>
      </c>
    </row>
    <row r="84" spans="1:8" x14ac:dyDescent="0.25">
      <c r="A84" s="31" t="s">
        <v>239</v>
      </c>
      <c r="B84" s="25">
        <f>SUM(B85:B96)</f>
        <v>12</v>
      </c>
      <c r="C84" s="32" t="s">
        <v>35</v>
      </c>
      <c r="D84" s="32" t="s">
        <v>35</v>
      </c>
      <c r="E84" s="30">
        <f>SUM(E85:E96)</f>
        <v>0</v>
      </c>
      <c r="F84" s="30">
        <f>SUM(F85:F96)</f>
        <v>0</v>
      </c>
      <c r="G84" s="33" t="s">
        <v>407</v>
      </c>
      <c r="H84" s="25">
        <v>1</v>
      </c>
    </row>
    <row r="85" spans="1:8" x14ac:dyDescent="0.25">
      <c r="A85" s="25" t="s">
        <v>240</v>
      </c>
      <c r="B85" s="13">
        <v>1</v>
      </c>
      <c r="C85" s="105" t="s">
        <v>241</v>
      </c>
      <c r="D85" s="10">
        <v>4404</v>
      </c>
      <c r="E85" s="10">
        <v>0</v>
      </c>
      <c r="F85" s="10">
        <v>0</v>
      </c>
      <c r="G85" s="33" t="s">
        <v>407</v>
      </c>
      <c r="H85" s="25">
        <v>1</v>
      </c>
    </row>
    <row r="86" spans="1:8" x14ac:dyDescent="0.25">
      <c r="A86" s="26"/>
      <c r="B86" s="104">
        <v>1</v>
      </c>
      <c r="C86" s="105" t="s">
        <v>242</v>
      </c>
      <c r="D86" s="10">
        <v>4358</v>
      </c>
      <c r="E86" s="10">
        <v>0</v>
      </c>
      <c r="F86" s="10">
        <v>0</v>
      </c>
      <c r="G86" s="33" t="s">
        <v>407</v>
      </c>
      <c r="H86" s="25">
        <v>1</v>
      </c>
    </row>
    <row r="87" spans="1:8" x14ac:dyDescent="0.25">
      <c r="A87" s="26"/>
      <c r="B87" s="104">
        <v>1</v>
      </c>
      <c r="C87" s="105" t="s">
        <v>243</v>
      </c>
      <c r="D87" s="10">
        <v>4350</v>
      </c>
      <c r="E87" s="10">
        <v>0</v>
      </c>
      <c r="F87" s="10">
        <v>0</v>
      </c>
      <c r="G87" s="33" t="s">
        <v>407</v>
      </c>
      <c r="H87" s="25">
        <v>1</v>
      </c>
    </row>
    <row r="88" spans="1:8" x14ac:dyDescent="0.25">
      <c r="A88" s="26"/>
      <c r="B88" s="104">
        <v>1</v>
      </c>
      <c r="C88" s="105" t="s">
        <v>244</v>
      </c>
      <c r="D88" s="10">
        <v>4350</v>
      </c>
      <c r="E88" s="10">
        <v>0</v>
      </c>
      <c r="F88" s="10">
        <v>0</v>
      </c>
      <c r="G88" s="33" t="s">
        <v>407</v>
      </c>
      <c r="H88" s="25">
        <v>1</v>
      </c>
    </row>
    <row r="89" spans="1:8" x14ac:dyDescent="0.25">
      <c r="A89" s="26"/>
      <c r="B89" s="104">
        <v>1</v>
      </c>
      <c r="C89" s="105" t="s">
        <v>245</v>
      </c>
      <c r="D89" s="10">
        <v>4354</v>
      </c>
      <c r="E89" s="10">
        <v>0</v>
      </c>
      <c r="F89" s="10">
        <v>0</v>
      </c>
      <c r="G89" s="33" t="s">
        <v>407</v>
      </c>
      <c r="H89" s="25">
        <v>1</v>
      </c>
    </row>
    <row r="90" spans="1:8" x14ac:dyDescent="0.25">
      <c r="A90" s="26"/>
      <c r="B90" s="104">
        <v>1</v>
      </c>
      <c r="C90" s="105" t="s">
        <v>246</v>
      </c>
      <c r="D90" s="10">
        <v>4352</v>
      </c>
      <c r="E90" s="10">
        <v>0</v>
      </c>
      <c r="F90" s="10">
        <v>0</v>
      </c>
      <c r="G90" s="33" t="s">
        <v>407</v>
      </c>
      <c r="H90" s="25">
        <v>1</v>
      </c>
    </row>
    <row r="91" spans="1:8" x14ac:dyDescent="0.25">
      <c r="A91" s="26"/>
      <c r="B91" s="104">
        <v>1</v>
      </c>
      <c r="C91" s="105" t="s">
        <v>247</v>
      </c>
      <c r="D91" s="10">
        <v>4400</v>
      </c>
      <c r="E91" s="10">
        <v>0</v>
      </c>
      <c r="F91" s="10">
        <v>0</v>
      </c>
      <c r="G91" s="33" t="s">
        <v>407</v>
      </c>
      <c r="H91" s="25">
        <v>1</v>
      </c>
    </row>
    <row r="92" spans="1:8" x14ac:dyDescent="0.25">
      <c r="A92" s="26"/>
      <c r="B92" s="104">
        <v>1</v>
      </c>
      <c r="C92" s="105" t="s">
        <v>248</v>
      </c>
      <c r="D92" s="10">
        <v>4356</v>
      </c>
      <c r="E92" s="10">
        <v>0</v>
      </c>
      <c r="F92" s="10">
        <v>0</v>
      </c>
      <c r="G92" s="33" t="s">
        <v>407</v>
      </c>
      <c r="H92" s="25">
        <v>1</v>
      </c>
    </row>
    <row r="93" spans="1:8" x14ac:dyDescent="0.25">
      <c r="A93" s="26"/>
      <c r="B93" s="104">
        <v>1</v>
      </c>
      <c r="C93" s="105" t="s">
        <v>249</v>
      </c>
      <c r="D93" s="10">
        <v>4350</v>
      </c>
      <c r="E93" s="10">
        <v>0</v>
      </c>
      <c r="F93" s="10">
        <v>0</v>
      </c>
      <c r="G93" s="33" t="s">
        <v>407</v>
      </c>
      <c r="H93" s="25">
        <v>1</v>
      </c>
    </row>
    <row r="94" spans="1:8" x14ac:dyDescent="0.25">
      <c r="A94" s="26"/>
      <c r="B94" s="104">
        <v>1</v>
      </c>
      <c r="C94" s="105" t="s">
        <v>250</v>
      </c>
      <c r="D94" s="10">
        <v>4350</v>
      </c>
      <c r="E94" s="10">
        <v>0</v>
      </c>
      <c r="F94" s="10">
        <v>0</v>
      </c>
      <c r="G94" s="33" t="s">
        <v>407</v>
      </c>
      <c r="H94" s="25">
        <v>1</v>
      </c>
    </row>
    <row r="95" spans="1:8" x14ac:dyDescent="0.25">
      <c r="A95" s="26"/>
      <c r="B95" s="104">
        <v>1</v>
      </c>
      <c r="C95" s="105" t="s">
        <v>251</v>
      </c>
      <c r="D95" s="10">
        <v>4350</v>
      </c>
      <c r="E95" s="10">
        <v>0</v>
      </c>
      <c r="F95" s="10">
        <v>0</v>
      </c>
      <c r="G95" s="33" t="s">
        <v>407</v>
      </c>
      <c r="H95" s="25">
        <v>1</v>
      </c>
    </row>
    <row r="96" spans="1:8" x14ac:dyDescent="0.25">
      <c r="A96" s="26"/>
      <c r="B96" s="104">
        <v>1</v>
      </c>
      <c r="C96" s="105" t="s">
        <v>252</v>
      </c>
      <c r="D96" s="10">
        <v>4352</v>
      </c>
      <c r="E96" s="10">
        <v>0</v>
      </c>
      <c r="F96" s="10">
        <v>0</v>
      </c>
      <c r="G96" s="33" t="s">
        <v>407</v>
      </c>
      <c r="H96" s="25">
        <v>1</v>
      </c>
    </row>
    <row r="97" spans="1:8" x14ac:dyDescent="0.25">
      <c r="A97" s="26"/>
      <c r="B97" s="26"/>
      <c r="C97" s="26"/>
      <c r="D97" s="26"/>
      <c r="E97" s="26"/>
      <c r="F97" s="26"/>
      <c r="G97" s="33" t="s">
        <v>407</v>
      </c>
      <c r="H97" s="26"/>
    </row>
    <row r="98" spans="1:8" x14ac:dyDescent="0.25">
      <c r="A98" s="31" t="s">
        <v>253</v>
      </c>
      <c r="B98" s="25">
        <f>SUM(B99:B106)</f>
        <v>8</v>
      </c>
      <c r="C98" s="32" t="s">
        <v>35</v>
      </c>
      <c r="D98" s="32" t="s">
        <v>35</v>
      </c>
      <c r="E98" s="30">
        <f>SUM(E99:E106)</f>
        <v>0</v>
      </c>
      <c r="F98" s="30">
        <f>SUM(F99:F106)</f>
        <v>0</v>
      </c>
      <c r="G98" s="33" t="s">
        <v>407</v>
      </c>
      <c r="H98" s="25">
        <v>1</v>
      </c>
    </row>
    <row r="99" spans="1:8" x14ac:dyDescent="0.25">
      <c r="A99" s="25" t="s">
        <v>254</v>
      </c>
      <c r="B99" s="13">
        <v>1</v>
      </c>
      <c r="C99" s="105" t="s">
        <v>255</v>
      </c>
      <c r="D99" s="10">
        <v>4818</v>
      </c>
      <c r="E99" s="10">
        <v>0</v>
      </c>
      <c r="F99" s="10">
        <v>0</v>
      </c>
      <c r="G99" s="33" t="s">
        <v>407</v>
      </c>
      <c r="H99" s="25">
        <v>1</v>
      </c>
    </row>
    <row r="100" spans="1:8" x14ac:dyDescent="0.25">
      <c r="A100" s="26"/>
      <c r="B100" s="104">
        <v>1</v>
      </c>
      <c r="C100" s="105" t="s">
        <v>256</v>
      </c>
      <c r="D100" s="10">
        <v>4815</v>
      </c>
      <c r="E100" s="10">
        <v>0</v>
      </c>
      <c r="F100" s="10">
        <v>0</v>
      </c>
      <c r="G100" s="33" t="s">
        <v>407</v>
      </c>
      <c r="H100" s="25">
        <v>1</v>
      </c>
    </row>
    <row r="101" spans="1:8" x14ac:dyDescent="0.25">
      <c r="A101" s="26"/>
      <c r="B101" s="104">
        <v>1</v>
      </c>
      <c r="C101" s="105" t="s">
        <v>257</v>
      </c>
      <c r="D101" s="10">
        <v>4814</v>
      </c>
      <c r="E101" s="10">
        <v>0</v>
      </c>
      <c r="F101" s="10">
        <v>0</v>
      </c>
      <c r="G101" s="33" t="s">
        <v>407</v>
      </c>
      <c r="H101" s="25">
        <v>1</v>
      </c>
    </row>
    <row r="102" spans="1:8" x14ac:dyDescent="0.25">
      <c r="A102" s="26"/>
      <c r="B102" s="104">
        <v>1</v>
      </c>
      <c r="C102" s="105" t="s">
        <v>258</v>
      </c>
      <c r="D102" s="10">
        <v>4812</v>
      </c>
      <c r="E102" s="10">
        <v>0</v>
      </c>
      <c r="F102" s="10">
        <v>0</v>
      </c>
      <c r="G102" s="33" t="s">
        <v>407</v>
      </c>
      <c r="H102" s="25">
        <v>1</v>
      </c>
    </row>
    <row r="103" spans="1:8" x14ac:dyDescent="0.25">
      <c r="A103" s="26"/>
      <c r="B103" s="104">
        <v>1</v>
      </c>
      <c r="C103" s="105" t="s">
        <v>259</v>
      </c>
      <c r="D103" s="10">
        <v>4812</v>
      </c>
      <c r="E103" s="10">
        <v>0</v>
      </c>
      <c r="F103" s="10">
        <v>0</v>
      </c>
      <c r="G103" s="33" t="s">
        <v>407</v>
      </c>
      <c r="H103" s="25">
        <v>1</v>
      </c>
    </row>
    <row r="104" spans="1:8" x14ac:dyDescent="0.25">
      <c r="A104" s="26"/>
      <c r="B104" s="104">
        <v>1</v>
      </c>
      <c r="C104" s="105" t="s">
        <v>260</v>
      </c>
      <c r="D104" s="10">
        <v>4817</v>
      </c>
      <c r="E104" s="10">
        <v>0</v>
      </c>
      <c r="F104" s="10">
        <v>0</v>
      </c>
      <c r="G104" s="33" t="s">
        <v>407</v>
      </c>
      <c r="H104" s="25">
        <v>1</v>
      </c>
    </row>
    <row r="105" spans="1:8" x14ac:dyDescent="0.25">
      <c r="A105" s="26"/>
      <c r="B105" s="104">
        <v>1</v>
      </c>
      <c r="C105" s="105" t="s">
        <v>261</v>
      </c>
      <c r="D105" s="10">
        <v>4810</v>
      </c>
      <c r="E105" s="10">
        <v>0</v>
      </c>
      <c r="F105" s="10">
        <v>0</v>
      </c>
      <c r="G105" s="33" t="s">
        <v>407</v>
      </c>
      <c r="H105" s="25">
        <v>1</v>
      </c>
    </row>
    <row r="106" spans="1:8" x14ac:dyDescent="0.25">
      <c r="A106" s="26"/>
      <c r="B106" s="104">
        <v>1</v>
      </c>
      <c r="C106" s="105" t="s">
        <v>262</v>
      </c>
      <c r="D106" s="10">
        <v>4810</v>
      </c>
      <c r="E106" s="10">
        <v>0</v>
      </c>
      <c r="F106" s="10">
        <v>0</v>
      </c>
      <c r="G106" s="33" t="s">
        <v>407</v>
      </c>
      <c r="H106" s="25">
        <v>1</v>
      </c>
    </row>
    <row r="108" spans="1:8" x14ac:dyDescent="0.25">
      <c r="A108" s="31" t="s">
        <v>263</v>
      </c>
      <c r="B108" s="25">
        <f>SUM(B109:B113)</f>
        <v>5</v>
      </c>
      <c r="C108" s="32" t="s">
        <v>35</v>
      </c>
      <c r="D108" s="32" t="s">
        <v>35</v>
      </c>
      <c r="E108" s="30">
        <f>SUM(E109:E113)</f>
        <v>0</v>
      </c>
      <c r="F108" s="30">
        <f>SUM(F109:F113)</f>
        <v>0</v>
      </c>
      <c r="G108" s="33" t="s">
        <v>407</v>
      </c>
      <c r="H108" s="25">
        <v>1</v>
      </c>
    </row>
    <row r="109" spans="1:8" x14ac:dyDescent="0.25">
      <c r="A109" s="25" t="s">
        <v>264</v>
      </c>
      <c r="B109" s="13">
        <v>1</v>
      </c>
      <c r="C109" s="105" t="s">
        <v>265</v>
      </c>
      <c r="D109" s="10">
        <v>4670</v>
      </c>
      <c r="E109" s="10">
        <v>0</v>
      </c>
      <c r="F109" s="10">
        <v>0</v>
      </c>
      <c r="G109" s="33" t="s">
        <v>407</v>
      </c>
      <c r="H109" s="25">
        <v>1</v>
      </c>
    </row>
    <row r="110" spans="1:8" x14ac:dyDescent="0.25">
      <c r="A110" s="26"/>
      <c r="B110" s="104">
        <v>1</v>
      </c>
      <c r="C110" s="105" t="s">
        <v>266</v>
      </c>
      <c r="D110" s="10">
        <v>4670</v>
      </c>
      <c r="E110" s="10">
        <v>0</v>
      </c>
      <c r="F110" s="10">
        <v>0</v>
      </c>
      <c r="G110" s="33" t="s">
        <v>407</v>
      </c>
      <c r="H110" s="25">
        <v>1</v>
      </c>
    </row>
    <row r="111" spans="1:8" x14ac:dyDescent="0.25">
      <c r="A111" s="26"/>
      <c r="B111" s="104">
        <v>1</v>
      </c>
      <c r="C111" s="105" t="s">
        <v>267</v>
      </c>
      <c r="D111" s="10">
        <v>4670</v>
      </c>
      <c r="E111" s="10">
        <v>0</v>
      </c>
      <c r="F111" s="10">
        <v>0</v>
      </c>
      <c r="G111" s="33" t="s">
        <v>407</v>
      </c>
      <c r="H111" s="25">
        <v>1</v>
      </c>
    </row>
    <row r="112" spans="1:8" x14ac:dyDescent="0.25">
      <c r="A112" s="26"/>
      <c r="B112" s="104">
        <v>1</v>
      </c>
      <c r="C112" s="105" t="s">
        <v>268</v>
      </c>
      <c r="D112" s="10">
        <v>4670</v>
      </c>
      <c r="E112" s="10">
        <v>0</v>
      </c>
      <c r="F112" s="10">
        <v>0</v>
      </c>
      <c r="G112" s="33" t="s">
        <v>407</v>
      </c>
      <c r="H112" s="25">
        <v>1</v>
      </c>
    </row>
    <row r="113" spans="1:8" x14ac:dyDescent="0.25">
      <c r="A113" s="26"/>
      <c r="B113" s="104">
        <v>1</v>
      </c>
      <c r="C113" s="105" t="s">
        <v>269</v>
      </c>
      <c r="D113" s="10">
        <v>4655</v>
      </c>
      <c r="E113" s="10">
        <v>0</v>
      </c>
      <c r="F113" s="10">
        <v>0</v>
      </c>
      <c r="G113" s="33" t="s">
        <v>407</v>
      </c>
      <c r="H113" s="25">
        <v>1</v>
      </c>
    </row>
    <row r="114" spans="1:8" x14ac:dyDescent="0.25">
      <c r="A114" s="26"/>
      <c r="B114" s="26"/>
      <c r="C114" s="26"/>
      <c r="D114" s="26"/>
      <c r="E114" s="26"/>
      <c r="F114" s="26"/>
      <c r="G114" s="26"/>
      <c r="H114" s="26"/>
    </row>
    <row r="115" spans="1:8" x14ac:dyDescent="0.25">
      <c r="A115" s="31" t="s">
        <v>270</v>
      </c>
      <c r="B115" s="25">
        <f>SUM(B116:B125)</f>
        <v>10</v>
      </c>
      <c r="C115" s="32" t="s">
        <v>35</v>
      </c>
      <c r="D115" s="32" t="s">
        <v>35</v>
      </c>
      <c r="E115" s="30">
        <f>SUM(E116:E125)</f>
        <v>0</v>
      </c>
      <c r="F115" s="30">
        <f>SUM(F116:F125)</f>
        <v>0</v>
      </c>
      <c r="G115" s="33" t="s">
        <v>411</v>
      </c>
      <c r="H115" s="25">
        <v>1</v>
      </c>
    </row>
    <row r="116" spans="1:8" x14ac:dyDescent="0.25">
      <c r="A116" s="25" t="s">
        <v>271</v>
      </c>
      <c r="B116" s="13">
        <v>1</v>
      </c>
      <c r="C116" s="105" t="s">
        <v>272</v>
      </c>
      <c r="D116" s="10">
        <v>4880</v>
      </c>
      <c r="E116" s="10">
        <v>0</v>
      </c>
      <c r="F116" s="10">
        <v>0</v>
      </c>
      <c r="G116" s="33" t="s">
        <v>411</v>
      </c>
      <c r="H116" s="25">
        <v>1</v>
      </c>
    </row>
    <row r="117" spans="1:8" x14ac:dyDescent="0.25">
      <c r="A117" s="26"/>
      <c r="B117" s="104">
        <v>1</v>
      </c>
      <c r="C117" s="105" t="s">
        <v>273</v>
      </c>
      <c r="D117" s="10">
        <v>4860</v>
      </c>
      <c r="E117" s="10">
        <v>0</v>
      </c>
      <c r="F117" s="10">
        <v>0</v>
      </c>
      <c r="G117" s="33" t="s">
        <v>411</v>
      </c>
      <c r="H117" s="25">
        <v>1</v>
      </c>
    </row>
    <row r="118" spans="1:8" x14ac:dyDescent="0.25">
      <c r="A118" s="26"/>
      <c r="B118" s="104">
        <v>1</v>
      </c>
      <c r="C118" s="105" t="s">
        <v>274</v>
      </c>
      <c r="D118" s="10">
        <v>4885</v>
      </c>
      <c r="E118" s="10">
        <v>0</v>
      </c>
      <c r="F118" s="10">
        <v>0</v>
      </c>
      <c r="G118" s="33" t="s">
        <v>411</v>
      </c>
      <c r="H118" s="25">
        <v>1</v>
      </c>
    </row>
    <row r="119" spans="1:8" x14ac:dyDescent="0.25">
      <c r="A119" s="26"/>
      <c r="B119" s="104">
        <v>1</v>
      </c>
      <c r="C119" s="105" t="s">
        <v>275</v>
      </c>
      <c r="D119" s="10">
        <v>4886</v>
      </c>
      <c r="E119" s="10">
        <v>0</v>
      </c>
      <c r="F119" s="10">
        <v>0</v>
      </c>
      <c r="G119" s="33" t="s">
        <v>411</v>
      </c>
      <c r="H119" s="25">
        <v>1</v>
      </c>
    </row>
    <row r="120" spans="1:8" x14ac:dyDescent="0.25">
      <c r="A120" s="26"/>
      <c r="B120" s="104">
        <v>1</v>
      </c>
      <c r="C120" s="105" t="s">
        <v>276</v>
      </c>
      <c r="D120" s="10">
        <v>4872</v>
      </c>
      <c r="E120" s="10">
        <v>0</v>
      </c>
      <c r="F120" s="10">
        <v>0</v>
      </c>
      <c r="G120" s="33" t="s">
        <v>411</v>
      </c>
      <c r="H120" s="25">
        <v>1</v>
      </c>
    </row>
    <row r="121" spans="1:8" x14ac:dyDescent="0.25">
      <c r="A121" s="26"/>
      <c r="B121" s="104">
        <v>1</v>
      </c>
      <c r="C121" s="105" t="s">
        <v>277</v>
      </c>
      <c r="D121" s="10">
        <v>4872</v>
      </c>
      <c r="E121" s="10">
        <v>0</v>
      </c>
      <c r="F121" s="10">
        <v>0</v>
      </c>
      <c r="G121" s="33" t="s">
        <v>411</v>
      </c>
      <c r="H121" s="25">
        <v>1</v>
      </c>
    </row>
    <row r="122" spans="1:8" x14ac:dyDescent="0.25">
      <c r="A122" s="26"/>
      <c r="B122" s="104">
        <v>1</v>
      </c>
      <c r="C122" s="105" t="s">
        <v>278</v>
      </c>
      <c r="D122" s="10">
        <v>4888</v>
      </c>
      <c r="E122" s="10">
        <v>0</v>
      </c>
      <c r="F122" s="10">
        <v>0</v>
      </c>
      <c r="G122" s="33" t="s">
        <v>411</v>
      </c>
      <c r="H122" s="25">
        <v>1</v>
      </c>
    </row>
    <row r="123" spans="1:8" x14ac:dyDescent="0.25">
      <c r="A123" s="26"/>
      <c r="B123" s="104">
        <v>1</v>
      </c>
      <c r="C123" s="105" t="s">
        <v>279</v>
      </c>
      <c r="D123" s="10">
        <v>4825</v>
      </c>
      <c r="E123" s="10">
        <v>0</v>
      </c>
      <c r="F123" s="10">
        <v>0</v>
      </c>
      <c r="G123" s="33" t="s">
        <v>411</v>
      </c>
      <c r="H123" s="25">
        <v>1</v>
      </c>
    </row>
    <row r="124" spans="1:8" x14ac:dyDescent="0.25">
      <c r="A124" s="26"/>
      <c r="B124" s="104">
        <v>1</v>
      </c>
      <c r="C124" s="105" t="s">
        <v>280</v>
      </c>
      <c r="D124" s="10">
        <v>4825</v>
      </c>
      <c r="E124" s="10">
        <v>0</v>
      </c>
      <c r="F124" s="10">
        <v>0</v>
      </c>
      <c r="G124" s="33" t="s">
        <v>411</v>
      </c>
      <c r="H124" s="25">
        <v>1</v>
      </c>
    </row>
    <row r="125" spans="1:8" x14ac:dyDescent="0.25">
      <c r="A125" s="26"/>
      <c r="B125" s="104">
        <v>1</v>
      </c>
      <c r="C125" s="105" t="s">
        <v>281</v>
      </c>
      <c r="D125" s="10">
        <v>4884</v>
      </c>
      <c r="E125" s="10">
        <v>0</v>
      </c>
      <c r="F125" s="10">
        <v>0</v>
      </c>
      <c r="G125" s="33" t="s">
        <v>411</v>
      </c>
      <c r="H125" s="25">
        <v>1</v>
      </c>
    </row>
    <row r="127" spans="1:8" x14ac:dyDescent="0.25">
      <c r="A127" s="31" t="s">
        <v>392</v>
      </c>
      <c r="B127" s="25">
        <f>SUM(B128:B136)</f>
        <v>9</v>
      </c>
      <c r="C127" s="32" t="s">
        <v>35</v>
      </c>
      <c r="D127" s="32" t="s">
        <v>35</v>
      </c>
      <c r="E127" s="30">
        <f>SUM(E128:E136)</f>
        <v>0</v>
      </c>
      <c r="F127" s="30">
        <f>SUM(F128:F136)</f>
        <v>0</v>
      </c>
      <c r="G127" s="33" t="s">
        <v>411</v>
      </c>
      <c r="H127" s="25">
        <v>1</v>
      </c>
    </row>
    <row r="128" spans="1:8" x14ac:dyDescent="0.25">
      <c r="A128" s="25" t="s">
        <v>406</v>
      </c>
      <c r="B128" s="13">
        <v>1</v>
      </c>
      <c r="C128" s="105" t="s">
        <v>282</v>
      </c>
      <c r="D128" s="10">
        <v>4870</v>
      </c>
      <c r="E128" s="10">
        <v>0</v>
      </c>
      <c r="F128" s="10">
        <v>0</v>
      </c>
      <c r="G128" s="33" t="s">
        <v>411</v>
      </c>
      <c r="H128" s="25">
        <v>1</v>
      </c>
    </row>
    <row r="129" spans="1:8" x14ac:dyDescent="0.25">
      <c r="A129" s="26"/>
      <c r="B129" s="104">
        <v>1</v>
      </c>
      <c r="C129" s="105" t="s">
        <v>283</v>
      </c>
      <c r="D129" s="10">
        <v>4878</v>
      </c>
      <c r="E129" s="10">
        <v>0</v>
      </c>
      <c r="F129" s="10">
        <v>0</v>
      </c>
      <c r="G129" s="33" t="s">
        <v>411</v>
      </c>
      <c r="H129" s="25">
        <v>1</v>
      </c>
    </row>
    <row r="130" spans="1:8" x14ac:dyDescent="0.25">
      <c r="A130" s="26"/>
      <c r="B130" s="104">
        <v>1</v>
      </c>
      <c r="C130" s="105" t="s">
        <v>284</v>
      </c>
      <c r="D130" s="10">
        <v>4875</v>
      </c>
      <c r="E130" s="10">
        <v>0</v>
      </c>
      <c r="F130" s="10">
        <v>0</v>
      </c>
      <c r="G130" s="33" t="s">
        <v>411</v>
      </c>
      <c r="H130" s="25">
        <v>1</v>
      </c>
    </row>
    <row r="131" spans="1:8" x14ac:dyDescent="0.25">
      <c r="A131" s="26"/>
      <c r="B131" s="104">
        <v>1</v>
      </c>
      <c r="C131" s="105" t="s">
        <v>285</v>
      </c>
      <c r="D131" s="10">
        <v>4873</v>
      </c>
      <c r="E131" s="10">
        <v>0</v>
      </c>
      <c r="F131" s="10">
        <v>0</v>
      </c>
      <c r="G131" s="33" t="s">
        <v>411</v>
      </c>
      <c r="H131" s="25">
        <v>1</v>
      </c>
    </row>
    <row r="132" spans="1:8" x14ac:dyDescent="0.25">
      <c r="A132" s="26"/>
      <c r="B132" s="104">
        <v>1</v>
      </c>
      <c r="C132" s="105" t="s">
        <v>286</v>
      </c>
      <c r="D132" s="10">
        <v>4892</v>
      </c>
      <c r="E132" s="10">
        <v>0</v>
      </c>
      <c r="F132" s="10">
        <v>0</v>
      </c>
      <c r="G132" s="33" t="s">
        <v>411</v>
      </c>
      <c r="H132" s="25">
        <v>1</v>
      </c>
    </row>
    <row r="133" spans="1:8" x14ac:dyDescent="0.25">
      <c r="A133" s="26"/>
      <c r="B133" s="104">
        <v>1</v>
      </c>
      <c r="C133" s="105" t="s">
        <v>287</v>
      </c>
      <c r="D133" s="10">
        <v>4870</v>
      </c>
      <c r="E133" s="10">
        <v>0</v>
      </c>
      <c r="F133" s="10">
        <v>0</v>
      </c>
      <c r="G133" s="33" t="s">
        <v>411</v>
      </c>
      <c r="H133" s="25">
        <v>1</v>
      </c>
    </row>
    <row r="134" spans="1:8" x14ac:dyDescent="0.25">
      <c r="A134" s="26"/>
      <c r="B134" s="104">
        <v>1</v>
      </c>
      <c r="C134" s="105" t="s">
        <v>288</v>
      </c>
      <c r="D134" s="10">
        <v>4870</v>
      </c>
      <c r="E134" s="10">
        <v>0</v>
      </c>
      <c r="F134" s="10">
        <v>0</v>
      </c>
      <c r="G134" s="33" t="s">
        <v>411</v>
      </c>
      <c r="H134" s="25">
        <v>1</v>
      </c>
    </row>
    <row r="135" spans="1:8" x14ac:dyDescent="0.25">
      <c r="A135" s="26"/>
      <c r="B135" s="104">
        <v>1</v>
      </c>
      <c r="C135" s="105" t="s">
        <v>289</v>
      </c>
      <c r="D135" s="10">
        <v>4879</v>
      </c>
      <c r="E135" s="10">
        <v>0</v>
      </c>
      <c r="F135" s="10">
        <v>0</v>
      </c>
      <c r="G135" s="33" t="s">
        <v>411</v>
      </c>
      <c r="H135" s="25">
        <v>1</v>
      </c>
    </row>
    <row r="136" spans="1:8" x14ac:dyDescent="0.25">
      <c r="A136" s="26"/>
      <c r="B136" s="104">
        <v>1</v>
      </c>
      <c r="C136" s="105" t="s">
        <v>290</v>
      </c>
      <c r="D136" s="10">
        <v>4870</v>
      </c>
      <c r="E136" s="10">
        <v>0</v>
      </c>
      <c r="F136" s="10">
        <v>0</v>
      </c>
      <c r="G136" s="33" t="s">
        <v>411</v>
      </c>
      <c r="H136" s="25">
        <v>1</v>
      </c>
    </row>
    <row r="137" spans="1:8" x14ac:dyDescent="0.25">
      <c r="A137" s="26"/>
      <c r="B137" s="26"/>
      <c r="C137" s="26"/>
      <c r="D137" s="26"/>
      <c r="E137" s="26"/>
      <c r="F137" s="26"/>
      <c r="G137" s="26"/>
      <c r="H137" s="26"/>
    </row>
    <row r="138" spans="1:8" x14ac:dyDescent="0.25">
      <c r="A138" s="31" t="s">
        <v>291</v>
      </c>
      <c r="B138" s="25">
        <f>SUM(B139:B141)</f>
        <v>3</v>
      </c>
      <c r="C138" s="32" t="s">
        <v>35</v>
      </c>
      <c r="D138" s="32" t="s">
        <v>35</v>
      </c>
      <c r="E138" s="30">
        <f>SUM(E139:E141)</f>
        <v>0</v>
      </c>
      <c r="F138" s="30">
        <f>SUM(F139:F141)</f>
        <v>0</v>
      </c>
      <c r="G138" s="33" t="s">
        <v>410</v>
      </c>
      <c r="H138" s="25">
        <v>1</v>
      </c>
    </row>
    <row r="139" spans="1:8" x14ac:dyDescent="0.25">
      <c r="A139" s="25" t="s">
        <v>292</v>
      </c>
      <c r="B139" s="13">
        <v>1</v>
      </c>
      <c r="C139" s="105" t="s">
        <v>293</v>
      </c>
      <c r="D139" s="10">
        <v>4014</v>
      </c>
      <c r="E139" s="10">
        <v>0</v>
      </c>
      <c r="F139" s="10">
        <v>0</v>
      </c>
      <c r="G139" s="33" t="s">
        <v>410</v>
      </c>
      <c r="H139" s="25">
        <v>1</v>
      </c>
    </row>
    <row r="140" spans="1:8" x14ac:dyDescent="0.25">
      <c r="A140" s="26"/>
      <c r="B140" s="104">
        <v>1</v>
      </c>
      <c r="C140" s="105" t="s">
        <v>294</v>
      </c>
      <c r="D140" s="10">
        <v>4017</v>
      </c>
      <c r="E140" s="10">
        <v>0</v>
      </c>
      <c r="F140" s="10">
        <v>0</v>
      </c>
      <c r="G140" s="33" t="s">
        <v>410</v>
      </c>
      <c r="H140" s="25">
        <v>1</v>
      </c>
    </row>
    <row r="141" spans="1:8" x14ac:dyDescent="0.25">
      <c r="A141" s="26"/>
      <c r="B141" s="104">
        <v>1</v>
      </c>
      <c r="C141" s="105" t="s">
        <v>295</v>
      </c>
      <c r="D141" s="10">
        <v>4017</v>
      </c>
      <c r="E141" s="10">
        <v>0</v>
      </c>
      <c r="F141" s="10">
        <v>0</v>
      </c>
      <c r="G141" s="33" t="s">
        <v>410</v>
      </c>
      <c r="H141" s="25">
        <v>1</v>
      </c>
    </row>
    <row r="143" spans="1:8" x14ac:dyDescent="0.25">
      <c r="A143" s="31" t="s">
        <v>296</v>
      </c>
      <c r="B143" s="25">
        <f>SUM(B144:B145)</f>
        <v>2</v>
      </c>
      <c r="C143" s="32" t="s">
        <v>35</v>
      </c>
      <c r="D143" s="32" t="s">
        <v>35</v>
      </c>
      <c r="E143" s="30">
        <f>SUM(E144:E145)</f>
        <v>0</v>
      </c>
      <c r="F143" s="30">
        <f>SUM(F144:F145)</f>
        <v>0</v>
      </c>
      <c r="G143" s="33" t="s">
        <v>407</v>
      </c>
      <c r="H143" s="25">
        <v>1</v>
      </c>
    </row>
    <row r="144" spans="1:8" x14ac:dyDescent="0.25">
      <c r="A144" s="25" t="s">
        <v>297</v>
      </c>
      <c r="B144" s="13">
        <v>1</v>
      </c>
      <c r="C144" s="105" t="s">
        <v>298</v>
      </c>
      <c r="D144" s="10">
        <v>4503</v>
      </c>
      <c r="E144" s="10">
        <v>0</v>
      </c>
      <c r="F144" s="10">
        <v>0</v>
      </c>
      <c r="G144" s="33" t="s">
        <v>407</v>
      </c>
      <c r="H144" s="25">
        <v>1</v>
      </c>
    </row>
    <row r="145" spans="1:8" x14ac:dyDescent="0.25">
      <c r="A145" s="26"/>
      <c r="B145" s="104">
        <v>1</v>
      </c>
      <c r="C145" s="105" t="s">
        <v>299</v>
      </c>
      <c r="D145" s="10">
        <v>4504</v>
      </c>
      <c r="E145" s="10">
        <v>0</v>
      </c>
      <c r="F145" s="10">
        <v>0</v>
      </c>
      <c r="G145" s="33" t="s">
        <v>407</v>
      </c>
      <c r="H145" s="25">
        <v>1</v>
      </c>
    </row>
    <row r="146" spans="1:8" x14ac:dyDescent="0.25">
      <c r="A146" s="26"/>
      <c r="B146" s="26"/>
      <c r="C146" s="26"/>
      <c r="D146" s="26"/>
      <c r="E146" s="26"/>
      <c r="F146" s="26"/>
      <c r="G146" s="26"/>
      <c r="H146" s="26"/>
    </row>
    <row r="147" spans="1:8" x14ac:dyDescent="0.25">
      <c r="A147" s="31" t="s">
        <v>300</v>
      </c>
      <c r="B147" s="25">
        <f>SUM(B148:B162)</f>
        <v>15</v>
      </c>
      <c r="C147" s="32" t="s">
        <v>35</v>
      </c>
      <c r="D147" s="32" t="s">
        <v>35</v>
      </c>
      <c r="E147" s="30">
        <f>SUM(E148:E162)</f>
        <v>0</v>
      </c>
      <c r="F147" s="30">
        <f>SUM(F148:F162)</f>
        <v>0</v>
      </c>
      <c r="G147" s="33" t="s">
        <v>411</v>
      </c>
      <c r="H147" s="25">
        <v>1</v>
      </c>
    </row>
    <row r="148" spans="1:8" x14ac:dyDescent="0.25">
      <c r="A148" s="25" t="s">
        <v>301</v>
      </c>
      <c r="B148" s="13">
        <v>1</v>
      </c>
      <c r="C148" s="105" t="s">
        <v>302</v>
      </c>
      <c r="D148" s="10">
        <v>4306</v>
      </c>
      <c r="E148" s="10">
        <v>0</v>
      </c>
      <c r="F148" s="10">
        <v>0</v>
      </c>
      <c r="G148" s="33" t="s">
        <v>411</v>
      </c>
      <c r="H148" s="25">
        <v>1</v>
      </c>
    </row>
    <row r="149" spans="1:8" x14ac:dyDescent="0.25">
      <c r="A149" s="26"/>
      <c r="B149" s="104">
        <v>1</v>
      </c>
      <c r="C149" s="105" t="s">
        <v>303</v>
      </c>
      <c r="D149" s="10">
        <v>4380</v>
      </c>
      <c r="E149" s="10">
        <v>0</v>
      </c>
      <c r="F149" s="10">
        <v>0</v>
      </c>
      <c r="G149" s="33" t="s">
        <v>411</v>
      </c>
      <c r="H149" s="25">
        <v>1</v>
      </c>
    </row>
    <row r="150" spans="1:8" x14ac:dyDescent="0.25">
      <c r="A150" s="26"/>
      <c r="B150" s="104">
        <v>1</v>
      </c>
      <c r="C150" s="105" t="s">
        <v>304</v>
      </c>
      <c r="D150" s="10">
        <v>4413</v>
      </c>
      <c r="E150" s="10">
        <v>0</v>
      </c>
      <c r="F150" s="10">
        <v>0</v>
      </c>
      <c r="G150" s="33" t="s">
        <v>411</v>
      </c>
      <c r="H150" s="25">
        <v>1</v>
      </c>
    </row>
    <row r="151" spans="1:8" x14ac:dyDescent="0.25">
      <c r="A151" s="26"/>
      <c r="B151" s="104">
        <v>1</v>
      </c>
      <c r="C151" s="105" t="s">
        <v>305</v>
      </c>
      <c r="D151" s="10">
        <v>4353</v>
      </c>
      <c r="E151" s="10">
        <v>0</v>
      </c>
      <c r="F151" s="10">
        <v>0</v>
      </c>
      <c r="G151" s="33" t="s">
        <v>411</v>
      </c>
      <c r="H151" s="25">
        <v>1</v>
      </c>
    </row>
    <row r="152" spans="1:8" x14ac:dyDescent="0.25">
      <c r="A152" s="26"/>
      <c r="B152" s="104">
        <v>1</v>
      </c>
      <c r="C152" s="105" t="s">
        <v>306</v>
      </c>
      <c r="D152" s="10">
        <v>4410</v>
      </c>
      <c r="E152" s="10">
        <v>0</v>
      </c>
      <c r="F152" s="10">
        <v>0</v>
      </c>
      <c r="G152" s="33" t="s">
        <v>411</v>
      </c>
      <c r="H152" s="25">
        <v>1</v>
      </c>
    </row>
    <row r="153" spans="1:8" x14ac:dyDescent="0.25">
      <c r="A153" s="26"/>
      <c r="B153" s="104">
        <v>1</v>
      </c>
      <c r="C153" s="105" t="s">
        <v>307</v>
      </c>
      <c r="D153" s="10">
        <v>4610</v>
      </c>
      <c r="E153" s="10">
        <v>0</v>
      </c>
      <c r="F153" s="10">
        <v>0</v>
      </c>
      <c r="G153" s="33" t="s">
        <v>411</v>
      </c>
      <c r="H153" s="25">
        <v>1</v>
      </c>
    </row>
    <row r="154" spans="1:8" x14ac:dyDescent="0.25">
      <c r="A154" s="26"/>
      <c r="B154" s="104">
        <v>1</v>
      </c>
      <c r="C154" s="105" t="s">
        <v>308</v>
      </c>
      <c r="D154" s="10">
        <v>4365</v>
      </c>
      <c r="E154" s="10">
        <v>0</v>
      </c>
      <c r="F154" s="10">
        <v>0</v>
      </c>
      <c r="G154" s="33" t="s">
        <v>411</v>
      </c>
      <c r="H154" s="25">
        <v>1</v>
      </c>
    </row>
    <row r="155" spans="1:8" x14ac:dyDescent="0.25">
      <c r="A155" s="26"/>
      <c r="B155" s="104">
        <v>1</v>
      </c>
      <c r="C155" s="105" t="s">
        <v>309</v>
      </c>
      <c r="D155" s="10">
        <v>4370</v>
      </c>
      <c r="E155" s="10">
        <v>0</v>
      </c>
      <c r="F155" s="10">
        <v>0</v>
      </c>
      <c r="G155" s="33" t="s">
        <v>411</v>
      </c>
      <c r="H155" s="25">
        <v>1</v>
      </c>
    </row>
    <row r="156" spans="1:8" x14ac:dyDescent="0.25">
      <c r="A156" s="26"/>
      <c r="B156" s="104">
        <v>1</v>
      </c>
      <c r="C156" s="105" t="s">
        <v>310</v>
      </c>
      <c r="D156" s="10">
        <v>4615</v>
      </c>
      <c r="E156" s="10">
        <v>0</v>
      </c>
      <c r="F156" s="10">
        <v>0</v>
      </c>
      <c r="G156" s="33" t="s">
        <v>411</v>
      </c>
      <c r="H156" s="25">
        <v>1</v>
      </c>
    </row>
    <row r="157" spans="1:8" x14ac:dyDescent="0.25">
      <c r="A157" s="26"/>
      <c r="B157" s="104">
        <v>1</v>
      </c>
      <c r="C157" s="105" t="s">
        <v>311</v>
      </c>
      <c r="D157" s="10">
        <v>4360</v>
      </c>
      <c r="E157" s="10">
        <v>0</v>
      </c>
      <c r="F157" s="10">
        <v>0</v>
      </c>
      <c r="G157" s="33" t="s">
        <v>411</v>
      </c>
      <c r="H157" s="25">
        <v>1</v>
      </c>
    </row>
    <row r="158" spans="1:8" x14ac:dyDescent="0.25">
      <c r="A158" s="26"/>
      <c r="B158" s="104">
        <v>1</v>
      </c>
      <c r="C158" s="105" t="s">
        <v>312</v>
      </c>
      <c r="D158" s="10">
        <v>4480</v>
      </c>
      <c r="E158" s="10">
        <v>0</v>
      </c>
      <c r="F158" s="10">
        <v>0</v>
      </c>
      <c r="G158" s="33" t="s">
        <v>411</v>
      </c>
      <c r="H158" s="25">
        <v>1</v>
      </c>
    </row>
    <row r="159" spans="1:8" x14ac:dyDescent="0.25">
      <c r="A159" s="26"/>
      <c r="B159" s="104">
        <v>1</v>
      </c>
      <c r="C159" s="105" t="s">
        <v>313</v>
      </c>
      <c r="D159" s="10">
        <v>4487</v>
      </c>
      <c r="E159" s="10">
        <v>0</v>
      </c>
      <c r="F159" s="10">
        <v>0</v>
      </c>
      <c r="G159" s="33" t="s">
        <v>411</v>
      </c>
      <c r="H159" s="25">
        <v>1</v>
      </c>
    </row>
    <row r="160" spans="1:8" x14ac:dyDescent="0.25">
      <c r="A160" s="26"/>
      <c r="B160" s="104">
        <v>1</v>
      </c>
      <c r="C160" s="105" t="s">
        <v>314</v>
      </c>
      <c r="D160" s="10">
        <v>4377</v>
      </c>
      <c r="E160" s="10">
        <v>0</v>
      </c>
      <c r="F160" s="10">
        <v>0</v>
      </c>
      <c r="G160" s="33" t="s">
        <v>411</v>
      </c>
      <c r="H160" s="25">
        <v>1</v>
      </c>
    </row>
    <row r="161" spans="1:8" x14ac:dyDescent="0.25">
      <c r="A161" s="26"/>
      <c r="B161" s="104">
        <v>1</v>
      </c>
      <c r="C161" s="105" t="s">
        <v>315</v>
      </c>
      <c r="D161" s="10">
        <v>4383</v>
      </c>
      <c r="E161" s="10">
        <v>0</v>
      </c>
      <c r="F161" s="10">
        <v>0</v>
      </c>
      <c r="G161" s="33" t="s">
        <v>411</v>
      </c>
      <c r="H161" s="25">
        <v>1</v>
      </c>
    </row>
    <row r="162" spans="1:8" x14ac:dyDescent="0.25">
      <c r="A162" s="26"/>
      <c r="B162" s="104">
        <v>1</v>
      </c>
      <c r="C162" s="105" t="s">
        <v>316</v>
      </c>
      <c r="D162" s="10">
        <v>4370</v>
      </c>
      <c r="E162" s="10">
        <v>0</v>
      </c>
      <c r="F162" s="10">
        <v>0</v>
      </c>
      <c r="G162" s="33" t="s">
        <v>411</v>
      </c>
      <c r="H162" s="25">
        <v>1</v>
      </c>
    </row>
    <row r="164" spans="1:8" x14ac:dyDescent="0.25">
      <c r="A164" s="31" t="s">
        <v>317</v>
      </c>
      <c r="B164" s="25">
        <f>SUM(B165:B165)</f>
        <v>1</v>
      </c>
      <c r="C164" s="32" t="s">
        <v>35</v>
      </c>
      <c r="D164" s="32" t="s">
        <v>35</v>
      </c>
      <c r="E164" s="30">
        <f>SUM(E165:E165)</f>
        <v>0</v>
      </c>
      <c r="F164" s="30">
        <f>SUM(F165:F165)</f>
        <v>0</v>
      </c>
      <c r="G164" s="33" t="s">
        <v>407</v>
      </c>
      <c r="H164" s="25">
        <v>1</v>
      </c>
    </row>
    <row r="165" spans="1:8" x14ac:dyDescent="0.25">
      <c r="A165" s="25" t="s">
        <v>318</v>
      </c>
      <c r="B165" s="13">
        <v>1</v>
      </c>
      <c r="C165" s="105" t="s">
        <v>319</v>
      </c>
      <c r="D165" s="10">
        <v>4227</v>
      </c>
      <c r="E165" s="10">
        <v>0</v>
      </c>
      <c r="F165" s="10">
        <v>0</v>
      </c>
      <c r="G165" s="33" t="s">
        <v>407</v>
      </c>
      <c r="H165" s="25">
        <v>1</v>
      </c>
    </row>
    <row r="167" spans="1:8" x14ac:dyDescent="0.25">
      <c r="A167" s="31" t="s">
        <v>320</v>
      </c>
      <c r="B167" s="25">
        <f>SUM(B168:B168)</f>
        <v>1</v>
      </c>
      <c r="C167" s="32" t="s">
        <v>35</v>
      </c>
      <c r="D167" s="32" t="s">
        <v>35</v>
      </c>
      <c r="E167" s="30">
        <f>SUM(E168:E168)</f>
        <v>0</v>
      </c>
      <c r="F167" s="30">
        <f>SUM(F168:F168)</f>
        <v>0</v>
      </c>
      <c r="G167" s="33" t="s">
        <v>407</v>
      </c>
      <c r="H167" s="25">
        <v>1</v>
      </c>
    </row>
    <row r="168" spans="1:8" x14ac:dyDescent="0.25">
      <c r="A168" s="25" t="s">
        <v>321</v>
      </c>
      <c r="B168" s="13">
        <v>1</v>
      </c>
      <c r="C168" s="105" t="s">
        <v>322</v>
      </c>
      <c r="D168" s="10">
        <v>4217</v>
      </c>
      <c r="E168" s="10">
        <v>0</v>
      </c>
      <c r="F168" s="10">
        <v>0</v>
      </c>
      <c r="G168" s="33" t="s">
        <v>407</v>
      </c>
      <c r="H168" s="25">
        <v>1</v>
      </c>
    </row>
    <row r="169" spans="1:8" x14ac:dyDescent="0.25">
      <c r="G169" s="33" t="s">
        <v>410</v>
      </c>
    </row>
    <row r="170" spans="1:8" x14ac:dyDescent="0.25">
      <c r="A170" s="31" t="s">
        <v>323</v>
      </c>
      <c r="B170" s="25">
        <f>SUM(B171:B173)</f>
        <v>3</v>
      </c>
      <c r="C170" s="32" t="s">
        <v>35</v>
      </c>
      <c r="D170" s="32" t="s">
        <v>35</v>
      </c>
      <c r="E170" s="30">
        <f>SUM(E171:E173)</f>
        <v>0</v>
      </c>
      <c r="F170" s="30">
        <f>SUM(F171:F173)</f>
        <v>0</v>
      </c>
      <c r="G170" s="33" t="s">
        <v>410</v>
      </c>
      <c r="H170" s="25">
        <v>1</v>
      </c>
    </row>
    <row r="171" spans="1:8" x14ac:dyDescent="0.25">
      <c r="A171" s="25" t="s">
        <v>324</v>
      </c>
      <c r="B171" s="13">
        <v>1</v>
      </c>
      <c r="C171" s="105" t="s">
        <v>325</v>
      </c>
      <c r="D171" s="10">
        <v>4105</v>
      </c>
      <c r="E171" s="10">
        <v>0</v>
      </c>
      <c r="F171" s="10">
        <v>0</v>
      </c>
      <c r="G171" s="33" t="s">
        <v>410</v>
      </c>
      <c r="H171" s="25">
        <v>1</v>
      </c>
    </row>
    <row r="172" spans="1:8" x14ac:dyDescent="0.25">
      <c r="A172" s="26"/>
      <c r="B172" s="104">
        <v>1</v>
      </c>
      <c r="C172" s="105" t="s">
        <v>326</v>
      </c>
      <c r="D172" s="10">
        <v>4109</v>
      </c>
      <c r="E172" s="10">
        <v>0</v>
      </c>
      <c r="F172" s="10">
        <v>0</v>
      </c>
      <c r="G172" s="33" t="s">
        <v>410</v>
      </c>
      <c r="H172" s="25">
        <v>1</v>
      </c>
    </row>
    <row r="173" spans="1:8" x14ac:dyDescent="0.25">
      <c r="A173" s="26"/>
      <c r="B173" s="104">
        <v>1</v>
      </c>
      <c r="C173" s="105" t="s">
        <v>327</v>
      </c>
      <c r="D173" s="10">
        <v>4104</v>
      </c>
      <c r="E173" s="10">
        <v>0</v>
      </c>
      <c r="F173" s="10">
        <v>0</v>
      </c>
      <c r="G173" s="33" t="s">
        <v>410</v>
      </c>
      <c r="H173" s="25">
        <v>1</v>
      </c>
    </row>
    <row r="175" spans="1:8" x14ac:dyDescent="0.25">
      <c r="A175" s="31" t="s">
        <v>328</v>
      </c>
      <c r="B175" s="25">
        <f>SUM(B176:B180)</f>
        <v>5</v>
      </c>
      <c r="C175" s="32" t="s">
        <v>35</v>
      </c>
      <c r="D175" s="32" t="s">
        <v>35</v>
      </c>
      <c r="E175" s="30">
        <f>SUM(E176:E181)</f>
        <v>30</v>
      </c>
      <c r="F175" s="30">
        <f>SUM(F176:F180)</f>
        <v>0</v>
      </c>
      <c r="G175" s="33" t="s">
        <v>408</v>
      </c>
      <c r="H175" s="25">
        <v>1</v>
      </c>
    </row>
    <row r="176" spans="1:8" x14ac:dyDescent="0.25">
      <c r="A176" s="25" t="s">
        <v>329</v>
      </c>
      <c r="B176" s="13">
        <v>1</v>
      </c>
      <c r="C176" s="105" t="s">
        <v>414</v>
      </c>
      <c r="D176" s="10">
        <v>4301</v>
      </c>
      <c r="E176" s="10">
        <v>3</v>
      </c>
      <c r="F176" s="10">
        <v>0</v>
      </c>
      <c r="G176" s="33" t="s">
        <v>408</v>
      </c>
      <c r="H176" s="25">
        <v>1</v>
      </c>
    </row>
    <row r="177" spans="1:8" x14ac:dyDescent="0.25">
      <c r="A177" s="26"/>
      <c r="B177" s="104">
        <v>1</v>
      </c>
      <c r="C177" s="105" t="s">
        <v>415</v>
      </c>
      <c r="D177" s="10">
        <v>4076</v>
      </c>
      <c r="E177" s="10">
        <v>2</v>
      </c>
      <c r="F177" s="10">
        <v>0</v>
      </c>
      <c r="G177" s="33" t="s">
        <v>408</v>
      </c>
      <c r="H177" s="25">
        <v>1</v>
      </c>
    </row>
    <row r="178" spans="1:8" x14ac:dyDescent="0.25">
      <c r="A178" s="26"/>
      <c r="B178" s="104">
        <v>1</v>
      </c>
      <c r="C178" s="105" t="s">
        <v>416</v>
      </c>
      <c r="D178" s="10">
        <v>4078</v>
      </c>
      <c r="E178" s="10">
        <v>4</v>
      </c>
      <c r="F178" s="10">
        <v>0</v>
      </c>
      <c r="G178" s="33" t="s">
        <v>408</v>
      </c>
      <c r="H178" s="25">
        <v>1</v>
      </c>
    </row>
    <row r="179" spans="1:8" x14ac:dyDescent="0.25">
      <c r="A179" s="26"/>
      <c r="B179" s="104">
        <v>1</v>
      </c>
      <c r="C179" s="105" t="s">
        <v>417</v>
      </c>
      <c r="D179" s="10">
        <v>4300</v>
      </c>
      <c r="E179" s="10">
        <v>10</v>
      </c>
      <c r="F179" s="10">
        <v>0</v>
      </c>
      <c r="G179" s="33" t="s">
        <v>408</v>
      </c>
      <c r="H179" s="25">
        <v>1</v>
      </c>
    </row>
    <row r="180" spans="1:8" x14ac:dyDescent="0.25">
      <c r="A180" s="26"/>
      <c r="B180" s="104">
        <v>1</v>
      </c>
      <c r="C180" s="105" t="s">
        <v>418</v>
      </c>
      <c r="D180" s="10">
        <v>4301</v>
      </c>
      <c r="E180" s="10">
        <v>7</v>
      </c>
      <c r="F180" s="10">
        <v>0</v>
      </c>
      <c r="G180" s="33" t="s">
        <v>408</v>
      </c>
      <c r="H180" s="25">
        <v>1</v>
      </c>
    </row>
    <row r="181" spans="1:8" x14ac:dyDescent="0.25">
      <c r="A181" s="26"/>
      <c r="B181" s="104">
        <v>1</v>
      </c>
      <c r="C181" s="105" t="s">
        <v>419</v>
      </c>
      <c r="D181" s="10">
        <v>4077</v>
      </c>
      <c r="E181" s="10">
        <v>4</v>
      </c>
      <c r="F181" s="10">
        <v>0</v>
      </c>
      <c r="G181" s="33" t="s">
        <v>408</v>
      </c>
      <c r="H181" s="25">
        <v>1</v>
      </c>
    </row>
    <row r="183" spans="1:8" x14ac:dyDescent="0.25">
      <c r="A183" s="31" t="s">
        <v>331</v>
      </c>
      <c r="B183" s="25">
        <f>SUM(B184:B186)</f>
        <v>3</v>
      </c>
      <c r="C183" s="32" t="s">
        <v>35</v>
      </c>
      <c r="D183" s="32" t="s">
        <v>35</v>
      </c>
      <c r="E183" s="30">
        <f>SUM(E184:E186)</f>
        <v>0</v>
      </c>
      <c r="F183" s="30">
        <f>SUM(F184:F186)</f>
        <v>0</v>
      </c>
      <c r="G183" s="33" t="s">
        <v>408</v>
      </c>
      <c r="H183" s="25">
        <v>1</v>
      </c>
    </row>
    <row r="184" spans="1:8" x14ac:dyDescent="0.25">
      <c r="A184" s="25" t="s">
        <v>332</v>
      </c>
      <c r="B184" s="13">
        <v>1</v>
      </c>
      <c r="C184" s="105" t="s">
        <v>333</v>
      </c>
      <c r="D184" s="10">
        <v>4017</v>
      </c>
      <c r="E184" s="10">
        <v>0</v>
      </c>
      <c r="F184" s="10">
        <v>0</v>
      </c>
      <c r="G184" s="33" t="s">
        <v>408</v>
      </c>
      <c r="H184" s="25">
        <v>1</v>
      </c>
    </row>
    <row r="185" spans="1:8" x14ac:dyDescent="0.25">
      <c r="A185" s="26"/>
      <c r="B185" s="104">
        <v>1</v>
      </c>
      <c r="C185" s="105" t="s">
        <v>334</v>
      </c>
      <c r="D185" s="10">
        <v>4019</v>
      </c>
      <c r="E185" s="10">
        <v>0</v>
      </c>
      <c r="F185" s="10">
        <v>0</v>
      </c>
      <c r="G185" s="33" t="s">
        <v>408</v>
      </c>
      <c r="H185" s="25">
        <v>1</v>
      </c>
    </row>
    <row r="186" spans="1:8" x14ac:dyDescent="0.25">
      <c r="A186" s="26"/>
      <c r="B186" s="104">
        <v>1</v>
      </c>
      <c r="C186" s="105" t="s">
        <v>335</v>
      </c>
      <c r="D186" s="10">
        <v>4509</v>
      </c>
      <c r="E186" s="10">
        <v>0</v>
      </c>
      <c r="F186" s="10">
        <v>0</v>
      </c>
      <c r="G186" s="33" t="s">
        <v>408</v>
      </c>
      <c r="H186" s="25">
        <v>1</v>
      </c>
    </row>
    <row r="188" spans="1:8" x14ac:dyDescent="0.25">
      <c r="A188" s="31" t="s">
        <v>336</v>
      </c>
      <c r="B188" s="25">
        <f>SUM(B189:B193)</f>
        <v>5</v>
      </c>
      <c r="C188" s="32" t="s">
        <v>35</v>
      </c>
      <c r="D188" s="32" t="s">
        <v>35</v>
      </c>
      <c r="E188" s="30">
        <f>SUM(E189:E193)</f>
        <v>0</v>
      </c>
      <c r="F188" s="30">
        <f>SUM(F189:F193)</f>
        <v>0</v>
      </c>
      <c r="G188" s="33" t="s">
        <v>408</v>
      </c>
      <c r="H188" s="25">
        <v>1</v>
      </c>
    </row>
    <row r="189" spans="1:8" x14ac:dyDescent="0.25">
      <c r="A189" s="25" t="s">
        <v>337</v>
      </c>
      <c r="B189" s="13">
        <v>1</v>
      </c>
      <c r="C189" s="105" t="s">
        <v>338</v>
      </c>
      <c r="D189" s="10">
        <v>4116</v>
      </c>
      <c r="E189" s="10">
        <v>0</v>
      </c>
      <c r="F189" s="10">
        <v>0</v>
      </c>
      <c r="G189" s="33" t="s">
        <v>408</v>
      </c>
      <c r="H189" s="25">
        <v>1</v>
      </c>
    </row>
    <row r="190" spans="1:8" x14ac:dyDescent="0.25">
      <c r="A190" s="26"/>
      <c r="B190" s="104">
        <v>1</v>
      </c>
      <c r="C190" s="105" t="s">
        <v>339</v>
      </c>
      <c r="D190" s="10">
        <v>4132</v>
      </c>
      <c r="E190" s="10">
        <v>0</v>
      </c>
      <c r="F190" s="10">
        <v>0</v>
      </c>
      <c r="G190" s="33" t="s">
        <v>408</v>
      </c>
      <c r="H190" s="25">
        <v>1</v>
      </c>
    </row>
    <row r="191" spans="1:8" x14ac:dyDescent="0.25">
      <c r="A191" s="26"/>
      <c r="B191" s="104">
        <v>1</v>
      </c>
      <c r="C191" s="105" t="s">
        <v>340</v>
      </c>
      <c r="D191" s="10">
        <v>4118</v>
      </c>
      <c r="E191" s="10">
        <v>0</v>
      </c>
      <c r="F191" s="10">
        <v>0</v>
      </c>
      <c r="G191" s="33" t="s">
        <v>408</v>
      </c>
      <c r="H191" s="25">
        <v>1</v>
      </c>
    </row>
    <row r="192" spans="1:8" x14ac:dyDescent="0.25">
      <c r="A192" s="26"/>
      <c r="B192" s="104">
        <v>1</v>
      </c>
      <c r="C192" s="105" t="s">
        <v>341</v>
      </c>
      <c r="D192" s="10">
        <v>4123</v>
      </c>
      <c r="E192" s="10">
        <v>0</v>
      </c>
      <c r="F192" s="10">
        <v>0</v>
      </c>
      <c r="G192" s="33" t="s">
        <v>408</v>
      </c>
      <c r="H192" s="25">
        <v>1</v>
      </c>
    </row>
    <row r="193" spans="1:8" x14ac:dyDescent="0.25">
      <c r="A193" s="26"/>
      <c r="B193" s="104">
        <v>1</v>
      </c>
      <c r="C193" s="105" t="s">
        <v>342</v>
      </c>
      <c r="D193" s="10">
        <v>4114</v>
      </c>
      <c r="E193" s="10">
        <v>0</v>
      </c>
      <c r="F193" s="10">
        <v>0</v>
      </c>
      <c r="G193" s="33" t="s">
        <v>408</v>
      </c>
      <c r="H193" s="25">
        <v>1</v>
      </c>
    </row>
    <row r="195" spans="1:8" x14ac:dyDescent="0.25">
      <c r="A195" s="31" t="s">
        <v>343</v>
      </c>
      <c r="B195" s="25">
        <f>SUM(B196:B199)</f>
        <v>4</v>
      </c>
      <c r="C195" s="32" t="s">
        <v>35</v>
      </c>
      <c r="D195" s="32" t="s">
        <v>35</v>
      </c>
      <c r="E195" s="30">
        <f>SUM(E196:E199)</f>
        <v>0</v>
      </c>
      <c r="F195" s="30">
        <f>SUM(F196:F199)</f>
        <v>0</v>
      </c>
      <c r="G195" s="33" t="s">
        <v>408</v>
      </c>
      <c r="H195" s="25">
        <v>1</v>
      </c>
    </row>
    <row r="196" spans="1:8" x14ac:dyDescent="0.25">
      <c r="A196" s="25" t="s">
        <v>344</v>
      </c>
      <c r="B196" s="13">
        <v>1</v>
      </c>
      <c r="C196" s="105" t="s">
        <v>345</v>
      </c>
      <c r="D196" s="10">
        <v>4068</v>
      </c>
      <c r="E196" s="10">
        <v>0</v>
      </c>
      <c r="F196" s="10">
        <v>0</v>
      </c>
      <c r="G196" s="33" t="s">
        <v>408</v>
      </c>
      <c r="H196" s="25">
        <v>1</v>
      </c>
    </row>
    <row r="197" spans="1:8" x14ac:dyDescent="0.25">
      <c r="A197" s="26"/>
      <c r="B197" s="104">
        <v>1</v>
      </c>
      <c r="C197" s="105" t="s">
        <v>346</v>
      </c>
      <c r="D197" s="10">
        <v>4070</v>
      </c>
      <c r="E197" s="10">
        <v>0</v>
      </c>
      <c r="F197" s="10">
        <v>0</v>
      </c>
      <c r="G197" s="33" t="s">
        <v>408</v>
      </c>
      <c r="H197" s="25">
        <v>1</v>
      </c>
    </row>
    <row r="198" spans="1:8" x14ac:dyDescent="0.25">
      <c r="A198" s="26"/>
      <c r="B198" s="104">
        <v>1</v>
      </c>
      <c r="C198" s="105" t="s">
        <v>347</v>
      </c>
      <c r="D198" s="10">
        <v>4067</v>
      </c>
      <c r="E198" s="10">
        <v>0</v>
      </c>
      <c r="F198" s="10">
        <v>0</v>
      </c>
      <c r="G198" s="33" t="s">
        <v>408</v>
      </c>
      <c r="H198" s="25">
        <v>1</v>
      </c>
    </row>
    <row r="199" spans="1:8" x14ac:dyDescent="0.25">
      <c r="A199" s="26"/>
      <c r="B199" s="104">
        <v>1</v>
      </c>
      <c r="C199" s="105" t="s">
        <v>348</v>
      </c>
      <c r="D199" s="10">
        <v>4066</v>
      </c>
      <c r="E199" s="10">
        <v>0</v>
      </c>
      <c r="F199" s="10">
        <v>0</v>
      </c>
      <c r="G199" s="33" t="s">
        <v>408</v>
      </c>
      <c r="H199" s="25">
        <v>1</v>
      </c>
    </row>
    <row r="201" spans="1:8" x14ac:dyDescent="0.25">
      <c r="A201" s="31" t="s">
        <v>349</v>
      </c>
      <c r="B201" s="25">
        <f>SUM(B202:B203)</f>
        <v>2</v>
      </c>
      <c r="C201" s="32" t="s">
        <v>35</v>
      </c>
      <c r="D201" s="32" t="s">
        <v>35</v>
      </c>
      <c r="E201" s="30">
        <f>SUM(E202:E203)</f>
        <v>0</v>
      </c>
      <c r="F201" s="30">
        <f>SUM(F202:F203)</f>
        <v>0</v>
      </c>
      <c r="G201" s="33" t="s">
        <v>411</v>
      </c>
      <c r="H201" s="25">
        <v>1</v>
      </c>
    </row>
    <row r="202" spans="1:8" x14ac:dyDescent="0.25">
      <c r="A202" s="25" t="s">
        <v>350</v>
      </c>
      <c r="B202" s="13">
        <v>1</v>
      </c>
      <c r="C202" s="105" t="s">
        <v>351</v>
      </c>
      <c r="D202" s="10">
        <v>4573</v>
      </c>
      <c r="E202" s="10">
        <v>0</v>
      </c>
      <c r="F202" s="10">
        <v>0</v>
      </c>
      <c r="G202" s="33" t="s">
        <v>411</v>
      </c>
      <c r="H202" s="25">
        <v>1</v>
      </c>
    </row>
    <row r="203" spans="1:8" x14ac:dyDescent="0.25">
      <c r="A203" s="26"/>
      <c r="B203" s="104">
        <v>1</v>
      </c>
      <c r="C203" s="105" t="s">
        <v>352</v>
      </c>
      <c r="D203" s="10">
        <v>4570</v>
      </c>
      <c r="E203" s="10">
        <v>0</v>
      </c>
      <c r="F203" s="10">
        <v>0</v>
      </c>
      <c r="G203" s="33" t="s">
        <v>411</v>
      </c>
      <c r="H203" s="25">
        <v>1</v>
      </c>
    </row>
    <row r="205" spans="1:8" x14ac:dyDescent="0.25">
      <c r="A205" s="31" t="s">
        <v>353</v>
      </c>
      <c r="B205" s="25">
        <f>SUM(B206:B219)</f>
        <v>14</v>
      </c>
      <c r="C205" s="32" t="s">
        <v>35</v>
      </c>
      <c r="D205" s="32" t="s">
        <v>35</v>
      </c>
      <c r="E205" s="30">
        <f>SUM(E206:E221)</f>
        <v>102</v>
      </c>
      <c r="F205" s="30">
        <f>SUM(F206:F221)</f>
        <v>17</v>
      </c>
      <c r="G205" s="33" t="s">
        <v>411</v>
      </c>
      <c r="H205" s="25">
        <v>1</v>
      </c>
    </row>
    <row r="206" spans="1:8" x14ac:dyDescent="0.25">
      <c r="A206" s="25" t="s">
        <v>354</v>
      </c>
      <c r="B206" s="13">
        <v>1</v>
      </c>
      <c r="C206" s="105" t="s">
        <v>355</v>
      </c>
      <c r="D206" s="10">
        <v>4275</v>
      </c>
      <c r="E206" s="10">
        <v>5</v>
      </c>
      <c r="F206" s="10">
        <v>0</v>
      </c>
      <c r="G206" s="33" t="s">
        <v>411</v>
      </c>
      <c r="H206" s="25">
        <v>1</v>
      </c>
    </row>
    <row r="207" spans="1:8" x14ac:dyDescent="0.25">
      <c r="A207" s="26"/>
      <c r="B207" s="104">
        <v>1</v>
      </c>
      <c r="C207" s="105" t="s">
        <v>356</v>
      </c>
      <c r="D207" s="10">
        <v>4342</v>
      </c>
      <c r="E207" s="10">
        <v>3</v>
      </c>
      <c r="F207" s="10">
        <v>0</v>
      </c>
      <c r="G207" s="33" t="s">
        <v>411</v>
      </c>
      <c r="H207" s="25">
        <v>1</v>
      </c>
    </row>
    <row r="208" spans="1:8" x14ac:dyDescent="0.25">
      <c r="A208" s="26"/>
      <c r="B208" s="104">
        <v>1</v>
      </c>
      <c r="C208" s="105" t="s">
        <v>357</v>
      </c>
      <c r="D208" s="10">
        <v>4347</v>
      </c>
      <c r="E208" s="10">
        <v>3</v>
      </c>
      <c r="F208" s="10">
        <v>0</v>
      </c>
      <c r="G208" s="33" t="s">
        <v>411</v>
      </c>
      <c r="H208" s="25">
        <v>1</v>
      </c>
    </row>
    <row r="209" spans="1:8" x14ac:dyDescent="0.25">
      <c r="A209" s="26"/>
      <c r="B209" s="104">
        <v>1</v>
      </c>
      <c r="C209" s="105" t="s">
        <v>358</v>
      </c>
      <c r="D209" s="10">
        <v>4124</v>
      </c>
      <c r="E209" s="10">
        <v>16</v>
      </c>
      <c r="F209" s="10">
        <v>0</v>
      </c>
      <c r="G209" s="33" t="s">
        <v>411</v>
      </c>
      <c r="H209" s="25">
        <v>1</v>
      </c>
    </row>
    <row r="210" spans="1:8" x14ac:dyDescent="0.25">
      <c r="A210" s="26"/>
      <c r="B210" s="104">
        <v>1</v>
      </c>
      <c r="C210" s="105" t="s">
        <v>359</v>
      </c>
      <c r="D210" s="10">
        <v>4307</v>
      </c>
      <c r="E210" s="10">
        <v>4</v>
      </c>
      <c r="F210" s="10">
        <v>0</v>
      </c>
      <c r="G210" s="33" t="s">
        <v>411</v>
      </c>
      <c r="H210" s="25">
        <v>1</v>
      </c>
    </row>
    <row r="211" spans="1:8" x14ac:dyDescent="0.25">
      <c r="A211" s="26"/>
      <c r="B211" s="104">
        <v>1</v>
      </c>
      <c r="C211" s="105" t="s">
        <v>360</v>
      </c>
      <c r="D211" s="10">
        <v>4344</v>
      </c>
      <c r="E211" s="10">
        <v>3</v>
      </c>
      <c r="F211" s="10">
        <v>0</v>
      </c>
      <c r="G211" s="33" t="s">
        <v>411</v>
      </c>
      <c r="H211" s="25">
        <v>1</v>
      </c>
    </row>
    <row r="212" spans="1:8" x14ac:dyDescent="0.25">
      <c r="A212" s="26"/>
      <c r="B212" s="104">
        <v>1</v>
      </c>
      <c r="C212" s="105" t="s">
        <v>361</v>
      </c>
      <c r="D212" s="10">
        <v>4280</v>
      </c>
      <c r="E212" s="10">
        <v>17</v>
      </c>
      <c r="F212" s="10">
        <v>0</v>
      </c>
      <c r="G212" s="33" t="s">
        <v>411</v>
      </c>
      <c r="H212" s="25">
        <v>1</v>
      </c>
    </row>
    <row r="213" spans="1:8" x14ac:dyDescent="0.25">
      <c r="A213" s="26"/>
      <c r="B213" s="104">
        <v>1</v>
      </c>
      <c r="C213" s="105" t="s">
        <v>362</v>
      </c>
      <c r="D213" s="10">
        <v>4309</v>
      </c>
      <c r="E213" s="10">
        <v>5</v>
      </c>
      <c r="F213" s="10">
        <v>0</v>
      </c>
      <c r="G213" s="33" t="s">
        <v>411</v>
      </c>
      <c r="H213" s="25">
        <v>1</v>
      </c>
    </row>
    <row r="214" spans="1:8" x14ac:dyDescent="0.25">
      <c r="A214" s="26"/>
      <c r="B214" s="104">
        <v>1</v>
      </c>
      <c r="C214" s="105" t="s">
        <v>363</v>
      </c>
      <c r="D214" s="10">
        <v>4343</v>
      </c>
      <c r="E214" s="10">
        <v>4</v>
      </c>
      <c r="F214" s="10">
        <v>5</v>
      </c>
      <c r="G214" s="33" t="s">
        <v>411</v>
      </c>
      <c r="H214" s="25">
        <v>1</v>
      </c>
    </row>
    <row r="215" spans="1:8" x14ac:dyDescent="0.25">
      <c r="A215" s="26"/>
      <c r="B215" s="104">
        <v>1</v>
      </c>
      <c r="C215" s="105" t="s">
        <v>420</v>
      </c>
      <c r="D215" s="10">
        <v>4124</v>
      </c>
      <c r="E215" s="10">
        <v>9</v>
      </c>
      <c r="F215" s="10">
        <v>0</v>
      </c>
      <c r="G215" s="33" t="s">
        <v>411</v>
      </c>
      <c r="H215" s="25">
        <v>1</v>
      </c>
    </row>
    <row r="216" spans="1:8" x14ac:dyDescent="0.25">
      <c r="A216" s="26"/>
      <c r="B216" s="104">
        <v>1</v>
      </c>
      <c r="C216" s="105" t="s">
        <v>364</v>
      </c>
      <c r="D216" s="10">
        <v>4287</v>
      </c>
      <c r="E216" s="10">
        <v>3</v>
      </c>
      <c r="F216" s="10">
        <v>0</v>
      </c>
      <c r="G216" s="33" t="s">
        <v>411</v>
      </c>
      <c r="H216" s="25">
        <v>1</v>
      </c>
    </row>
    <row r="217" spans="1:8" x14ac:dyDescent="0.25">
      <c r="A217" s="26"/>
      <c r="B217" s="104">
        <v>1</v>
      </c>
      <c r="C217" s="105" t="s">
        <v>365</v>
      </c>
      <c r="D217" s="10">
        <v>4310</v>
      </c>
      <c r="E217" s="10">
        <v>4</v>
      </c>
      <c r="F217" s="10">
        <v>0</v>
      </c>
      <c r="G217" s="33" t="s">
        <v>411</v>
      </c>
      <c r="H217" s="25">
        <v>1</v>
      </c>
    </row>
    <row r="218" spans="1:8" x14ac:dyDescent="0.25">
      <c r="A218" s="26"/>
      <c r="B218" s="104">
        <v>1</v>
      </c>
      <c r="C218" s="105" t="s">
        <v>366</v>
      </c>
      <c r="D218" s="10">
        <v>4272</v>
      </c>
      <c r="E218" s="10">
        <v>2</v>
      </c>
      <c r="F218" s="10">
        <v>0</v>
      </c>
      <c r="G218" s="33" t="s">
        <v>411</v>
      </c>
      <c r="H218" s="25">
        <v>1</v>
      </c>
    </row>
    <row r="219" spans="1:8" x14ac:dyDescent="0.25">
      <c r="A219" s="26"/>
      <c r="B219" s="104">
        <v>1</v>
      </c>
      <c r="C219" s="105" t="s">
        <v>421</v>
      </c>
      <c r="D219" s="10">
        <v>4341</v>
      </c>
      <c r="E219" s="10">
        <v>3</v>
      </c>
      <c r="F219" s="10">
        <v>6</v>
      </c>
      <c r="G219" s="33" t="s">
        <v>411</v>
      </c>
      <c r="H219" s="25">
        <v>1</v>
      </c>
    </row>
    <row r="220" spans="1:8" x14ac:dyDescent="0.25">
      <c r="A220" s="26"/>
      <c r="B220" s="104">
        <v>1</v>
      </c>
      <c r="C220" s="105" t="s">
        <v>422</v>
      </c>
      <c r="D220" s="10">
        <v>4207</v>
      </c>
      <c r="E220" s="10">
        <v>21</v>
      </c>
      <c r="F220" s="10">
        <v>6</v>
      </c>
      <c r="G220" s="33" t="s">
        <v>411</v>
      </c>
      <c r="H220" s="25">
        <v>1</v>
      </c>
    </row>
    <row r="221" spans="1:8" x14ac:dyDescent="0.25">
      <c r="A221" s="26"/>
      <c r="B221" s="104">
        <v>1</v>
      </c>
      <c r="C221" s="105"/>
      <c r="D221" s="10"/>
      <c r="E221" s="10">
        <v>0</v>
      </c>
      <c r="F221" s="10"/>
      <c r="G221" s="33"/>
      <c r="H221" s="25"/>
    </row>
  </sheetData>
  <mergeCells count="5">
    <mergeCell ref="A4:A5"/>
    <mergeCell ref="B4:D4"/>
    <mergeCell ref="E4:F4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127"/>
  <sheetViews>
    <sheetView topLeftCell="A83" zoomScale="80" zoomScaleNormal="80" workbookViewId="0">
      <selection activeCell="J127" sqref="J127"/>
    </sheetView>
  </sheetViews>
  <sheetFormatPr defaultColWidth="9.140625" defaultRowHeight="15" outlineLevelRow="1" x14ac:dyDescent="0.25"/>
  <cols>
    <col min="1" max="1" width="32.85546875" style="13" bestFit="1" customWidth="1"/>
    <col min="2" max="2" width="16.28515625" style="13" customWidth="1"/>
    <col min="3" max="3" width="26.140625" style="13" bestFit="1" customWidth="1"/>
    <col min="4" max="5" width="13" style="13" customWidth="1"/>
    <col min="6" max="6" width="15.140625" style="13" customWidth="1"/>
    <col min="7" max="7" width="12.140625" style="13" bestFit="1" customWidth="1"/>
    <col min="8" max="8" width="17.85546875" style="13" customWidth="1"/>
    <col min="9" max="9" width="17.28515625" style="13" bestFit="1" customWidth="1"/>
    <col min="10" max="10" width="14.7109375" style="13" bestFit="1" customWidth="1"/>
    <col min="11" max="11" width="17.85546875" style="13" customWidth="1"/>
    <col min="12" max="12" width="20.42578125" style="13" customWidth="1"/>
    <col min="13" max="13" width="14.7109375" style="13" customWidth="1"/>
    <col min="14" max="16384" width="9.140625" style="13"/>
  </cols>
  <sheetData>
    <row r="1" spans="1:48" ht="34.5" x14ac:dyDescent="0.4">
      <c r="A1" s="6" t="s">
        <v>7</v>
      </c>
      <c r="B1" s="4" t="s">
        <v>55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5"/>
      <c r="Z1" s="5"/>
      <c r="AA1" s="5"/>
      <c r="AB1" s="5"/>
      <c r="AC1" s="5"/>
      <c r="AD1" s="5"/>
      <c r="AE1" s="5"/>
      <c r="AF1" s="5"/>
      <c r="AG1" s="5"/>
      <c r="AH1" s="5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4" spans="1:48" ht="18" customHeight="1" x14ac:dyDescent="0.25">
      <c r="A4" s="171" t="s">
        <v>0</v>
      </c>
      <c r="B4" s="139" t="s">
        <v>10</v>
      </c>
      <c r="C4" s="139"/>
      <c r="D4" s="139"/>
      <c r="E4" s="139" t="s">
        <v>9</v>
      </c>
      <c r="F4" s="139"/>
      <c r="G4" s="139"/>
      <c r="H4" s="139"/>
      <c r="I4" s="139"/>
      <c r="J4" s="139"/>
      <c r="K4" s="139"/>
      <c r="L4" s="178" t="s">
        <v>67</v>
      </c>
      <c r="M4" s="178" t="s">
        <v>4</v>
      </c>
    </row>
    <row r="5" spans="1:48" ht="30" customHeight="1" x14ac:dyDescent="0.25">
      <c r="A5" s="175"/>
      <c r="B5" s="174" t="s">
        <v>3</v>
      </c>
      <c r="C5" s="174" t="s">
        <v>8</v>
      </c>
      <c r="D5" s="174" t="s">
        <v>13</v>
      </c>
      <c r="E5" s="176" t="s">
        <v>1</v>
      </c>
      <c r="F5" s="176" t="s">
        <v>147</v>
      </c>
      <c r="G5" s="174" t="s">
        <v>36</v>
      </c>
      <c r="H5" s="174" t="s">
        <v>37</v>
      </c>
      <c r="I5" s="174" t="s">
        <v>39</v>
      </c>
      <c r="J5" s="174" t="s">
        <v>40</v>
      </c>
      <c r="K5" s="174" t="s">
        <v>41</v>
      </c>
      <c r="L5" s="178"/>
      <c r="M5" s="178"/>
    </row>
    <row r="6" spans="1:48" ht="15" customHeight="1" x14ac:dyDescent="0.25">
      <c r="A6" s="172"/>
      <c r="B6" s="174"/>
      <c r="C6" s="174"/>
      <c r="D6" s="174"/>
      <c r="E6" s="177"/>
      <c r="F6" s="177"/>
      <c r="G6" s="174"/>
      <c r="H6" s="174"/>
      <c r="I6" s="174"/>
      <c r="J6" s="174"/>
      <c r="K6" s="174"/>
      <c r="L6" s="178"/>
      <c r="M6" s="178"/>
    </row>
    <row r="7" spans="1:48" x14ac:dyDescent="0.25">
      <c r="A7" s="14"/>
      <c r="B7" s="15"/>
      <c r="C7" s="15"/>
      <c r="D7" s="15"/>
      <c r="E7" s="15"/>
      <c r="F7" s="16"/>
      <c r="G7" s="16"/>
      <c r="H7" s="16"/>
      <c r="I7" s="16"/>
      <c r="J7" s="16"/>
      <c r="K7" s="16"/>
      <c r="L7" s="17"/>
      <c r="M7" s="17"/>
    </row>
    <row r="8" spans="1:48" s="26" customFormat="1" ht="14.25" customHeight="1" x14ac:dyDescent="0.25">
      <c r="A8" s="31" t="s">
        <v>167</v>
      </c>
      <c r="B8" s="25">
        <f>SUM(B9:B12)</f>
        <v>4</v>
      </c>
      <c r="C8" s="32" t="s">
        <v>35</v>
      </c>
      <c r="D8" s="32" t="s">
        <v>35</v>
      </c>
      <c r="E8" s="25">
        <f t="shared" ref="E8:K8" si="0">SUM(E9:E12)</f>
        <v>24</v>
      </c>
      <c r="F8" s="25">
        <f t="shared" si="0"/>
        <v>47</v>
      </c>
      <c r="G8" s="30">
        <f t="shared" si="0"/>
        <v>4</v>
      </c>
      <c r="H8" s="30">
        <f t="shared" si="0"/>
        <v>4</v>
      </c>
      <c r="I8" s="30">
        <f t="shared" si="0"/>
        <v>0</v>
      </c>
      <c r="J8" s="30">
        <f t="shared" si="0"/>
        <v>0</v>
      </c>
      <c r="K8" s="30">
        <f t="shared" si="0"/>
        <v>4</v>
      </c>
      <c r="L8" s="33" t="s">
        <v>407</v>
      </c>
      <c r="M8" s="32" t="s">
        <v>35</v>
      </c>
    </row>
    <row r="9" spans="1:48" s="26" customFormat="1" outlineLevel="1" x14ac:dyDescent="0.25">
      <c r="A9" s="25" t="s">
        <v>168</v>
      </c>
      <c r="B9" s="25">
        <v>1</v>
      </c>
      <c r="C9" s="105" t="s">
        <v>367</v>
      </c>
      <c r="D9" s="10">
        <v>4312</v>
      </c>
      <c r="E9" s="10">
        <v>2</v>
      </c>
      <c r="F9" s="10">
        <v>5</v>
      </c>
      <c r="G9" s="25">
        <v>1</v>
      </c>
      <c r="H9" s="25">
        <v>1</v>
      </c>
      <c r="I9" s="25">
        <v>0</v>
      </c>
      <c r="J9" s="25">
        <v>0</v>
      </c>
      <c r="K9" s="25">
        <v>1</v>
      </c>
      <c r="L9" s="33" t="s">
        <v>407</v>
      </c>
      <c r="M9" s="24">
        <v>14</v>
      </c>
    </row>
    <row r="10" spans="1:48" s="26" customFormat="1" outlineLevel="1" x14ac:dyDescent="0.25">
      <c r="B10" s="25">
        <v>1</v>
      </c>
      <c r="C10" s="105" t="s">
        <v>14</v>
      </c>
      <c r="D10" s="10">
        <v>4305</v>
      </c>
      <c r="E10" s="10">
        <v>4</v>
      </c>
      <c r="F10" s="10">
        <v>14</v>
      </c>
      <c r="G10" s="25">
        <v>1</v>
      </c>
      <c r="H10" s="25">
        <v>1</v>
      </c>
      <c r="I10" s="25">
        <v>0</v>
      </c>
      <c r="J10" s="25">
        <v>0</v>
      </c>
      <c r="K10" s="25">
        <v>1</v>
      </c>
      <c r="L10" s="33" t="s">
        <v>407</v>
      </c>
      <c r="M10" s="24">
        <v>14</v>
      </c>
    </row>
    <row r="11" spans="1:48" s="26" customFormat="1" outlineLevel="1" x14ac:dyDescent="0.25">
      <c r="B11" s="25">
        <v>1</v>
      </c>
      <c r="C11" s="105" t="s">
        <v>23</v>
      </c>
      <c r="D11" s="10">
        <v>4305</v>
      </c>
      <c r="E11" s="10">
        <v>8</v>
      </c>
      <c r="F11" s="10">
        <v>13</v>
      </c>
      <c r="G11" s="25">
        <v>1</v>
      </c>
      <c r="H11" s="25">
        <v>1</v>
      </c>
      <c r="I11" s="25">
        <v>0</v>
      </c>
      <c r="J11" s="25">
        <v>0</v>
      </c>
      <c r="K11" s="25">
        <v>1</v>
      </c>
      <c r="L11" s="33" t="s">
        <v>407</v>
      </c>
      <c r="M11" s="24">
        <v>14</v>
      </c>
    </row>
    <row r="12" spans="1:48" s="26" customFormat="1" outlineLevel="1" x14ac:dyDescent="0.25">
      <c r="B12" s="25">
        <v>1</v>
      </c>
      <c r="C12" s="105" t="s">
        <v>169</v>
      </c>
      <c r="D12" s="10">
        <v>4300</v>
      </c>
      <c r="E12" s="10">
        <v>10</v>
      </c>
      <c r="F12" s="10">
        <v>15</v>
      </c>
      <c r="G12" s="25">
        <v>1</v>
      </c>
      <c r="H12" s="25">
        <v>1</v>
      </c>
      <c r="I12" s="25">
        <v>0</v>
      </c>
      <c r="J12" s="25">
        <v>0</v>
      </c>
      <c r="K12" s="25">
        <v>1</v>
      </c>
      <c r="L12" s="33" t="s">
        <v>407</v>
      </c>
      <c r="M12" s="24">
        <v>14</v>
      </c>
    </row>
    <row r="13" spans="1:48" s="26" customFormat="1" ht="14.25" x14ac:dyDescent="0.2"/>
    <row r="14" spans="1:48" s="26" customFormat="1" ht="14.25" customHeight="1" x14ac:dyDescent="0.25">
      <c r="A14" s="31" t="s">
        <v>34</v>
      </c>
      <c r="B14" s="25">
        <f>SUM(B15:B15)</f>
        <v>1</v>
      </c>
      <c r="C14" s="32" t="s">
        <v>35</v>
      </c>
      <c r="D14" s="32" t="s">
        <v>35</v>
      </c>
      <c r="E14" s="25">
        <f t="shared" ref="E14:K14" si="1">SUM(E15:E15)</f>
        <v>0</v>
      </c>
      <c r="F14" s="25">
        <f t="shared" si="1"/>
        <v>8</v>
      </c>
      <c r="G14" s="30">
        <f t="shared" si="1"/>
        <v>1</v>
      </c>
      <c r="H14" s="30">
        <f t="shared" si="1"/>
        <v>1</v>
      </c>
      <c r="I14" s="30">
        <f t="shared" si="1"/>
        <v>0</v>
      </c>
      <c r="J14" s="30">
        <f t="shared" si="1"/>
        <v>0</v>
      </c>
      <c r="K14" s="30">
        <f t="shared" si="1"/>
        <v>1</v>
      </c>
      <c r="L14" s="33" t="s">
        <v>408</v>
      </c>
      <c r="M14" s="32" t="s">
        <v>35</v>
      </c>
    </row>
    <row r="15" spans="1:48" s="26" customFormat="1" outlineLevel="1" x14ac:dyDescent="0.25">
      <c r="A15" s="25" t="s">
        <v>172</v>
      </c>
      <c r="B15" s="25">
        <v>1</v>
      </c>
      <c r="C15" s="105" t="s">
        <v>237</v>
      </c>
      <c r="D15" s="10">
        <v>4151</v>
      </c>
      <c r="E15" s="10">
        <v>0</v>
      </c>
      <c r="F15" s="10">
        <v>8</v>
      </c>
      <c r="G15" s="25">
        <v>1</v>
      </c>
      <c r="H15" s="25">
        <v>1</v>
      </c>
      <c r="I15" s="25">
        <v>0</v>
      </c>
      <c r="J15" s="25">
        <v>0</v>
      </c>
      <c r="K15" s="25">
        <v>1</v>
      </c>
      <c r="L15" s="33" t="s">
        <v>408</v>
      </c>
      <c r="M15" s="24">
        <v>14</v>
      </c>
    </row>
    <row r="17" spans="1:13" s="26" customFormat="1" ht="14.25" customHeight="1" x14ac:dyDescent="0.25">
      <c r="A17" s="31" t="s">
        <v>409</v>
      </c>
      <c r="B17" s="25">
        <f>SUM(B18:B18)</f>
        <v>0</v>
      </c>
      <c r="C17" s="32" t="s">
        <v>35</v>
      </c>
      <c r="D17" s="32" t="s">
        <v>35</v>
      </c>
      <c r="E17" s="25">
        <f t="shared" ref="E17" si="2">SUM(E18:E18)</f>
        <v>0</v>
      </c>
      <c r="F17" s="25">
        <f t="shared" ref="F17" si="3">SUM(F18:F18)</f>
        <v>0</v>
      </c>
      <c r="G17" s="30">
        <f t="shared" ref="G17" si="4">SUM(G18:G18)</f>
        <v>0</v>
      </c>
      <c r="H17" s="30">
        <f t="shared" ref="H17" si="5">SUM(H18:H18)</f>
        <v>0</v>
      </c>
      <c r="I17" s="30">
        <f t="shared" ref="I17" si="6">SUM(I18:I18)</f>
        <v>0</v>
      </c>
      <c r="J17" s="30">
        <f t="shared" ref="J17" si="7">SUM(J18:J18)</f>
        <v>0</v>
      </c>
      <c r="K17" s="30">
        <f t="shared" ref="K17" si="8">SUM(K18:K18)</f>
        <v>0</v>
      </c>
      <c r="L17" s="33" t="s">
        <v>408</v>
      </c>
      <c r="M17" s="32" t="s">
        <v>35</v>
      </c>
    </row>
    <row r="18" spans="1:13" s="26" customFormat="1" outlineLevel="1" x14ac:dyDescent="0.25">
      <c r="A18" s="25" t="s">
        <v>179</v>
      </c>
      <c r="B18" s="25"/>
      <c r="C18" s="105" t="s">
        <v>412</v>
      </c>
      <c r="D18" s="10"/>
      <c r="E18" s="10"/>
      <c r="F18" s="10"/>
      <c r="G18" s="25"/>
      <c r="H18" s="25"/>
      <c r="I18" s="25"/>
      <c r="J18" s="25"/>
      <c r="K18" s="25"/>
      <c r="L18" s="33" t="s">
        <v>408</v>
      </c>
      <c r="M18" s="24"/>
    </row>
    <row r="20" spans="1:13" s="26" customFormat="1" ht="14.25" customHeight="1" x14ac:dyDescent="0.25">
      <c r="A20" s="31" t="s">
        <v>182</v>
      </c>
      <c r="B20" s="25">
        <f>SUM(B21:B21)</f>
        <v>1</v>
      </c>
      <c r="C20" s="32" t="s">
        <v>35</v>
      </c>
      <c r="D20" s="32" t="s">
        <v>35</v>
      </c>
      <c r="E20" s="25">
        <f t="shared" ref="E20:K20" si="9">SUM(E21:E21)</f>
        <v>5</v>
      </c>
      <c r="F20" s="25">
        <f t="shared" si="9"/>
        <v>0</v>
      </c>
      <c r="G20" s="30">
        <f t="shared" si="9"/>
        <v>1</v>
      </c>
      <c r="H20" s="30">
        <f t="shared" si="9"/>
        <v>1</v>
      </c>
      <c r="I20" s="30">
        <f t="shared" si="9"/>
        <v>0</v>
      </c>
      <c r="J20" s="30">
        <f t="shared" si="9"/>
        <v>0</v>
      </c>
      <c r="K20" s="30">
        <f t="shared" si="9"/>
        <v>1</v>
      </c>
      <c r="L20" s="33" t="s">
        <v>410</v>
      </c>
      <c r="M20" s="32" t="s">
        <v>35</v>
      </c>
    </row>
    <row r="21" spans="1:13" s="26" customFormat="1" outlineLevel="1" x14ac:dyDescent="0.25">
      <c r="A21" s="25" t="s">
        <v>183</v>
      </c>
      <c r="B21" s="25">
        <v>1</v>
      </c>
      <c r="C21" s="105" t="s">
        <v>368</v>
      </c>
      <c r="D21" s="10">
        <v>4101</v>
      </c>
      <c r="E21" s="10">
        <v>5</v>
      </c>
      <c r="F21" s="10">
        <v>0</v>
      </c>
      <c r="G21" s="25">
        <v>1</v>
      </c>
      <c r="H21" s="25">
        <v>1</v>
      </c>
      <c r="I21" s="25">
        <v>0</v>
      </c>
      <c r="J21" s="25">
        <v>0</v>
      </c>
      <c r="K21" s="25">
        <v>1</v>
      </c>
      <c r="L21" s="33" t="s">
        <v>410</v>
      </c>
      <c r="M21" s="24">
        <v>14</v>
      </c>
    </row>
    <row r="23" spans="1:13" x14ac:dyDescent="0.25">
      <c r="A23" s="31" t="s">
        <v>369</v>
      </c>
      <c r="B23" s="25">
        <f>SUM(B24:B24)</f>
        <v>1</v>
      </c>
      <c r="C23" s="32" t="s">
        <v>35</v>
      </c>
      <c r="D23" s="32" t="s">
        <v>35</v>
      </c>
      <c r="E23" s="25">
        <f t="shared" ref="E23:K23" si="10">SUM(E24:E24)</f>
        <v>5</v>
      </c>
      <c r="F23" s="25">
        <f t="shared" si="10"/>
        <v>0</v>
      </c>
      <c r="G23" s="30">
        <f t="shared" si="10"/>
        <v>1</v>
      </c>
      <c r="H23" s="30">
        <f t="shared" si="10"/>
        <v>1</v>
      </c>
      <c r="I23" s="30">
        <f t="shared" si="10"/>
        <v>0</v>
      </c>
      <c r="J23" s="30">
        <f t="shared" si="10"/>
        <v>0</v>
      </c>
      <c r="K23" s="30">
        <f t="shared" si="10"/>
        <v>1</v>
      </c>
      <c r="L23" s="33" t="s">
        <v>407</v>
      </c>
      <c r="M23" s="32" t="s">
        <v>35</v>
      </c>
    </row>
    <row r="24" spans="1:13" x14ac:dyDescent="0.25">
      <c r="A24" s="25" t="s">
        <v>192</v>
      </c>
      <c r="B24" s="25">
        <v>1</v>
      </c>
      <c r="C24" s="105" t="s">
        <v>370</v>
      </c>
      <c r="D24" s="10">
        <v>4700</v>
      </c>
      <c r="E24" s="10">
        <v>5</v>
      </c>
      <c r="F24" s="10">
        <v>0</v>
      </c>
      <c r="G24" s="25">
        <v>1</v>
      </c>
      <c r="H24" s="25">
        <v>1</v>
      </c>
      <c r="I24" s="25">
        <v>0</v>
      </c>
      <c r="J24" s="25">
        <v>0</v>
      </c>
      <c r="K24" s="25">
        <v>1</v>
      </c>
      <c r="L24" s="33" t="s">
        <v>407</v>
      </c>
      <c r="M24" s="24">
        <v>14</v>
      </c>
    </row>
    <row r="25" spans="1:13" x14ac:dyDescent="0.25"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</row>
    <row r="26" spans="1:13" x14ac:dyDescent="0.25">
      <c r="A26" s="31" t="s">
        <v>199</v>
      </c>
      <c r="B26" s="25">
        <f>SUM(B27:B27)</f>
        <v>1</v>
      </c>
      <c r="C26" s="32" t="s">
        <v>35</v>
      </c>
      <c r="D26" s="32" t="s">
        <v>35</v>
      </c>
      <c r="E26" s="25">
        <f t="shared" ref="E26:K26" si="11">SUM(E27:E27)</f>
        <v>8</v>
      </c>
      <c r="F26" s="25">
        <f t="shared" si="11"/>
        <v>12</v>
      </c>
      <c r="G26" s="30">
        <f t="shared" si="11"/>
        <v>1</v>
      </c>
      <c r="H26" s="30">
        <f t="shared" si="11"/>
        <v>1</v>
      </c>
      <c r="I26" s="30">
        <f t="shared" si="11"/>
        <v>0</v>
      </c>
      <c r="J26" s="30">
        <f t="shared" si="11"/>
        <v>0</v>
      </c>
      <c r="K26" s="30">
        <f t="shared" si="11"/>
        <v>1</v>
      </c>
      <c r="L26" s="33" t="s">
        <v>411</v>
      </c>
      <c r="M26" s="32" t="s">
        <v>35</v>
      </c>
    </row>
    <row r="27" spans="1:13" x14ac:dyDescent="0.25">
      <c r="A27" s="25" t="s">
        <v>200</v>
      </c>
      <c r="B27" s="25">
        <v>1</v>
      </c>
      <c r="C27" s="105" t="s">
        <v>371</v>
      </c>
      <c r="D27" s="10">
        <v>4740</v>
      </c>
      <c r="E27" s="10">
        <v>8</v>
      </c>
      <c r="F27" s="10">
        <v>12</v>
      </c>
      <c r="G27" s="25">
        <v>1</v>
      </c>
      <c r="H27" s="25">
        <v>1</v>
      </c>
      <c r="I27" s="25">
        <v>0</v>
      </c>
      <c r="J27" s="25">
        <v>0</v>
      </c>
      <c r="K27" s="25">
        <v>1</v>
      </c>
      <c r="L27" s="33" t="s">
        <v>411</v>
      </c>
      <c r="M27" s="24">
        <v>14</v>
      </c>
    </row>
    <row r="29" spans="1:13" x14ac:dyDescent="0.25">
      <c r="A29" s="31" t="s">
        <v>204</v>
      </c>
      <c r="B29" s="25">
        <f>SUM(B30:B32)</f>
        <v>3</v>
      </c>
      <c r="C29" s="32" t="s">
        <v>35</v>
      </c>
      <c r="D29" s="32" t="s">
        <v>35</v>
      </c>
      <c r="E29" s="25">
        <f t="shared" ref="E29:K29" si="12">SUM(E30:E32)</f>
        <v>15</v>
      </c>
      <c r="F29" s="25">
        <f t="shared" si="12"/>
        <v>28</v>
      </c>
      <c r="G29" s="30">
        <f t="shared" si="12"/>
        <v>3</v>
      </c>
      <c r="H29" s="30">
        <f t="shared" si="12"/>
        <v>3</v>
      </c>
      <c r="I29" s="30">
        <f t="shared" si="12"/>
        <v>0</v>
      </c>
      <c r="J29" s="30">
        <f t="shared" si="12"/>
        <v>0</v>
      </c>
      <c r="K29" s="30">
        <f t="shared" si="12"/>
        <v>3</v>
      </c>
      <c r="L29" s="33" t="s">
        <v>408</v>
      </c>
      <c r="M29" s="32" t="s">
        <v>35</v>
      </c>
    </row>
    <row r="30" spans="1:13" x14ac:dyDescent="0.25">
      <c r="A30" s="25" t="s">
        <v>205</v>
      </c>
      <c r="B30" s="25">
        <v>1</v>
      </c>
      <c r="C30" s="105" t="s">
        <v>372</v>
      </c>
      <c r="D30" s="10">
        <v>4055</v>
      </c>
      <c r="E30" s="10">
        <v>0</v>
      </c>
      <c r="F30" s="10">
        <v>5</v>
      </c>
      <c r="G30" s="25">
        <v>1</v>
      </c>
      <c r="H30" s="25">
        <v>1</v>
      </c>
      <c r="I30" s="25">
        <v>0</v>
      </c>
      <c r="J30" s="25">
        <v>0</v>
      </c>
      <c r="K30" s="25">
        <v>1</v>
      </c>
      <c r="L30" s="33" t="s">
        <v>408</v>
      </c>
      <c r="M30" s="24">
        <v>14</v>
      </c>
    </row>
    <row r="31" spans="1:13" x14ac:dyDescent="0.25">
      <c r="B31" s="25">
        <v>1</v>
      </c>
      <c r="C31" s="105" t="s">
        <v>373</v>
      </c>
      <c r="D31" s="10">
        <v>4509</v>
      </c>
      <c r="E31" s="10">
        <v>3</v>
      </c>
      <c r="F31" s="10">
        <v>6</v>
      </c>
      <c r="G31" s="25">
        <v>1</v>
      </c>
      <c r="H31" s="25">
        <v>1</v>
      </c>
      <c r="I31" s="25">
        <v>0</v>
      </c>
      <c r="J31" s="25">
        <v>0</v>
      </c>
      <c r="K31" s="25">
        <v>1</v>
      </c>
      <c r="L31" s="33" t="s">
        <v>408</v>
      </c>
      <c r="M31" s="24">
        <v>14</v>
      </c>
    </row>
    <row r="32" spans="1:13" x14ac:dyDescent="0.25">
      <c r="B32" s="25">
        <v>1</v>
      </c>
      <c r="C32" s="105" t="s">
        <v>374</v>
      </c>
      <c r="D32" s="10">
        <v>4500</v>
      </c>
      <c r="E32" s="10">
        <v>12</v>
      </c>
      <c r="F32" s="10">
        <v>17</v>
      </c>
      <c r="G32" s="25">
        <v>1</v>
      </c>
      <c r="H32" s="25">
        <v>1</v>
      </c>
      <c r="I32" s="25">
        <v>0</v>
      </c>
      <c r="J32" s="25">
        <v>0</v>
      </c>
      <c r="K32" s="25">
        <v>1</v>
      </c>
      <c r="L32" s="33" t="s">
        <v>408</v>
      </c>
      <c r="M32" s="24">
        <v>14</v>
      </c>
    </row>
    <row r="34" spans="1:13" x14ac:dyDescent="0.25">
      <c r="A34" s="31" t="s">
        <v>208</v>
      </c>
      <c r="B34" s="25">
        <f>SUM(B35:B36)</f>
        <v>2</v>
      </c>
      <c r="C34" s="32" t="s">
        <v>35</v>
      </c>
      <c r="D34" s="32" t="s">
        <v>35</v>
      </c>
      <c r="E34" s="25">
        <f t="shared" ref="E34:K34" si="13">SUM(E35:E36)</f>
        <v>12</v>
      </c>
      <c r="F34" s="25">
        <f t="shared" si="13"/>
        <v>0</v>
      </c>
      <c r="G34" s="30">
        <f t="shared" si="13"/>
        <v>2</v>
      </c>
      <c r="H34" s="30">
        <f t="shared" si="13"/>
        <v>2</v>
      </c>
      <c r="I34" s="30">
        <f t="shared" si="13"/>
        <v>0</v>
      </c>
      <c r="J34" s="30">
        <f t="shared" si="13"/>
        <v>0</v>
      </c>
      <c r="K34" s="30">
        <f t="shared" si="13"/>
        <v>2</v>
      </c>
      <c r="L34" s="33" t="s">
        <v>411</v>
      </c>
      <c r="M34" s="32" t="s">
        <v>35</v>
      </c>
    </row>
    <row r="35" spans="1:13" x14ac:dyDescent="0.25">
      <c r="A35" s="25" t="s">
        <v>375</v>
      </c>
      <c r="B35" s="25">
        <v>1</v>
      </c>
      <c r="C35" s="105" t="s">
        <v>376</v>
      </c>
      <c r="D35" s="10">
        <v>4556</v>
      </c>
      <c r="E35" s="10">
        <v>7</v>
      </c>
      <c r="F35" s="10">
        <v>0</v>
      </c>
      <c r="G35" s="25">
        <v>1</v>
      </c>
      <c r="H35" s="25">
        <v>1</v>
      </c>
      <c r="I35" s="25">
        <v>0</v>
      </c>
      <c r="J35" s="25">
        <v>0</v>
      </c>
      <c r="K35" s="25">
        <v>1</v>
      </c>
      <c r="L35" s="33" t="s">
        <v>411</v>
      </c>
      <c r="M35" s="24">
        <v>14</v>
      </c>
    </row>
    <row r="36" spans="1:13" x14ac:dyDescent="0.25">
      <c r="B36" s="25">
        <v>1</v>
      </c>
      <c r="C36" s="105" t="s">
        <v>377</v>
      </c>
      <c r="D36" s="10">
        <v>4560</v>
      </c>
      <c r="E36" s="10">
        <v>5</v>
      </c>
      <c r="F36" s="10">
        <v>0</v>
      </c>
      <c r="G36" s="25">
        <v>1</v>
      </c>
      <c r="H36" s="25">
        <v>1</v>
      </c>
      <c r="I36" s="25">
        <v>0</v>
      </c>
      <c r="J36" s="25">
        <v>0</v>
      </c>
      <c r="K36" s="25">
        <v>1</v>
      </c>
      <c r="L36" s="33" t="s">
        <v>411</v>
      </c>
      <c r="M36" s="24">
        <v>14</v>
      </c>
    </row>
    <row r="37" spans="1:13" x14ac:dyDescent="0.25"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</row>
    <row r="38" spans="1:13" x14ac:dyDescent="0.25">
      <c r="A38" s="31" t="s">
        <v>211</v>
      </c>
      <c r="B38" s="25">
        <f>SUM(B39:B40)</f>
        <v>2</v>
      </c>
      <c r="C38" s="32" t="s">
        <v>35</v>
      </c>
      <c r="D38" s="32" t="s">
        <v>35</v>
      </c>
      <c r="E38" s="25">
        <f t="shared" ref="E38:K38" si="14">SUM(E39:E40)</f>
        <v>6</v>
      </c>
      <c r="F38" s="25">
        <f t="shared" si="14"/>
        <v>0</v>
      </c>
      <c r="G38" s="30">
        <f t="shared" si="14"/>
        <v>2</v>
      </c>
      <c r="H38" s="30">
        <f t="shared" si="14"/>
        <v>2</v>
      </c>
      <c r="I38" s="30">
        <f t="shared" si="14"/>
        <v>0</v>
      </c>
      <c r="J38" s="30">
        <f t="shared" si="14"/>
        <v>0</v>
      </c>
      <c r="K38" s="30">
        <f t="shared" si="14"/>
        <v>2</v>
      </c>
      <c r="L38" s="33" t="s">
        <v>411</v>
      </c>
      <c r="M38" s="32" t="s">
        <v>35</v>
      </c>
    </row>
    <row r="39" spans="1:13" x14ac:dyDescent="0.25">
      <c r="A39" s="25" t="s">
        <v>378</v>
      </c>
      <c r="B39" s="25">
        <v>1</v>
      </c>
      <c r="C39" s="105" t="s">
        <v>376</v>
      </c>
      <c r="D39" s="10">
        <v>4556</v>
      </c>
      <c r="E39" s="10">
        <v>3</v>
      </c>
      <c r="F39" s="10">
        <v>0</v>
      </c>
      <c r="G39" s="25">
        <v>1</v>
      </c>
      <c r="H39" s="25">
        <v>1</v>
      </c>
      <c r="I39" s="25">
        <v>0</v>
      </c>
      <c r="J39" s="25">
        <v>0</v>
      </c>
      <c r="K39" s="25">
        <v>1</v>
      </c>
      <c r="L39" s="33" t="s">
        <v>411</v>
      </c>
      <c r="M39" s="24">
        <v>14</v>
      </c>
    </row>
    <row r="40" spans="1:13" x14ac:dyDescent="0.25">
      <c r="B40" s="25">
        <v>1</v>
      </c>
      <c r="C40" s="105" t="s">
        <v>379</v>
      </c>
      <c r="D40" s="10">
        <v>4551</v>
      </c>
      <c r="E40" s="10">
        <v>3</v>
      </c>
      <c r="F40" s="10">
        <v>0</v>
      </c>
      <c r="G40" s="25">
        <v>1</v>
      </c>
      <c r="H40" s="25">
        <v>1</v>
      </c>
      <c r="I40" s="25">
        <v>0</v>
      </c>
      <c r="J40" s="25">
        <v>0</v>
      </c>
      <c r="K40" s="25">
        <v>1</v>
      </c>
      <c r="L40" s="33" t="s">
        <v>411</v>
      </c>
      <c r="M40" s="24">
        <v>14</v>
      </c>
    </row>
    <row r="42" spans="1:13" x14ac:dyDescent="0.25">
      <c r="A42" s="31" t="s">
        <v>213</v>
      </c>
      <c r="B42" s="25">
        <f>SUM(B43:B47)</f>
        <v>5</v>
      </c>
      <c r="C42" s="32" t="s">
        <v>35</v>
      </c>
      <c r="D42" s="32" t="s">
        <v>35</v>
      </c>
      <c r="E42" s="25">
        <f t="shared" ref="E42:K42" si="15">SUM(E43:E47)</f>
        <v>35</v>
      </c>
      <c r="F42" s="25">
        <f t="shared" si="15"/>
        <v>53</v>
      </c>
      <c r="G42" s="30">
        <f t="shared" si="15"/>
        <v>5</v>
      </c>
      <c r="H42" s="30">
        <f t="shared" si="15"/>
        <v>5</v>
      </c>
      <c r="I42" s="30">
        <f t="shared" si="15"/>
        <v>0</v>
      </c>
      <c r="J42" s="30">
        <f t="shared" si="15"/>
        <v>0</v>
      </c>
      <c r="K42" s="30">
        <f t="shared" si="15"/>
        <v>5</v>
      </c>
      <c r="L42" s="33" t="s">
        <v>411</v>
      </c>
      <c r="M42" s="32" t="s">
        <v>35</v>
      </c>
    </row>
    <row r="43" spans="1:13" x14ac:dyDescent="0.25">
      <c r="A43" s="25" t="s">
        <v>214</v>
      </c>
      <c r="B43" s="25">
        <v>1</v>
      </c>
      <c r="C43" s="105" t="s">
        <v>217</v>
      </c>
      <c r="D43" s="10">
        <v>4715</v>
      </c>
      <c r="E43" s="10">
        <v>6</v>
      </c>
      <c r="F43" s="10">
        <v>9</v>
      </c>
      <c r="G43" s="25">
        <v>1</v>
      </c>
      <c r="H43" s="25">
        <v>1</v>
      </c>
      <c r="I43" s="25">
        <v>0</v>
      </c>
      <c r="J43" s="25">
        <v>0</v>
      </c>
      <c r="K43" s="25">
        <v>1</v>
      </c>
      <c r="L43" s="33" t="s">
        <v>411</v>
      </c>
      <c r="M43" s="24">
        <v>14</v>
      </c>
    </row>
    <row r="44" spans="1:13" ht="16.5" customHeight="1" x14ac:dyDescent="0.25">
      <c r="B44" s="25">
        <v>1</v>
      </c>
      <c r="C44" s="105" t="s">
        <v>221</v>
      </c>
      <c r="D44" s="10">
        <v>4720</v>
      </c>
      <c r="E44" s="10">
        <v>9</v>
      </c>
      <c r="F44" s="10">
        <v>13</v>
      </c>
      <c r="G44" s="25">
        <v>1</v>
      </c>
      <c r="H44" s="25">
        <v>1</v>
      </c>
      <c r="I44" s="25">
        <v>0</v>
      </c>
      <c r="J44" s="25">
        <v>0</v>
      </c>
      <c r="K44" s="25">
        <v>1</v>
      </c>
      <c r="L44" s="33" t="s">
        <v>411</v>
      </c>
      <c r="M44" s="24">
        <v>14</v>
      </c>
    </row>
    <row r="45" spans="1:13" ht="16.5" customHeight="1" x14ac:dyDescent="0.25">
      <c r="B45" s="25">
        <v>1</v>
      </c>
      <c r="C45" s="105" t="s">
        <v>222</v>
      </c>
      <c r="D45" s="10">
        <v>4680</v>
      </c>
      <c r="E45" s="10">
        <v>13</v>
      </c>
      <c r="F45" s="10">
        <v>18</v>
      </c>
      <c r="G45" s="25">
        <v>1</v>
      </c>
      <c r="H45" s="25">
        <v>1</v>
      </c>
      <c r="I45" s="25">
        <v>0</v>
      </c>
      <c r="J45" s="25">
        <v>0</v>
      </c>
      <c r="K45" s="25">
        <v>1</v>
      </c>
      <c r="L45" s="33" t="s">
        <v>411</v>
      </c>
      <c r="M45" s="24">
        <v>14</v>
      </c>
    </row>
    <row r="46" spans="1:13" x14ac:dyDescent="0.25">
      <c r="B46" s="25">
        <v>1</v>
      </c>
      <c r="C46" s="105" t="s">
        <v>380</v>
      </c>
      <c r="D46" s="10">
        <v>4670</v>
      </c>
      <c r="E46" s="10">
        <v>4</v>
      </c>
      <c r="F46" s="10">
        <v>7</v>
      </c>
      <c r="G46" s="25">
        <v>1</v>
      </c>
      <c r="H46" s="25">
        <v>1</v>
      </c>
      <c r="I46" s="25">
        <v>0</v>
      </c>
      <c r="J46" s="25">
        <v>0</v>
      </c>
      <c r="K46" s="25">
        <v>1</v>
      </c>
      <c r="L46" s="33" t="s">
        <v>411</v>
      </c>
      <c r="M46" s="24">
        <v>14</v>
      </c>
    </row>
    <row r="47" spans="1:13" x14ac:dyDescent="0.25">
      <c r="B47" s="25">
        <v>1</v>
      </c>
      <c r="C47" s="105" t="s">
        <v>307</v>
      </c>
      <c r="D47" s="10">
        <v>4610</v>
      </c>
      <c r="E47" s="10">
        <v>3</v>
      </c>
      <c r="F47" s="10">
        <v>6</v>
      </c>
      <c r="G47" s="25">
        <v>1</v>
      </c>
      <c r="H47" s="25">
        <v>1</v>
      </c>
      <c r="I47" s="25">
        <v>0</v>
      </c>
      <c r="J47" s="25">
        <v>0</v>
      </c>
      <c r="K47" s="25">
        <v>1</v>
      </c>
      <c r="L47" s="33" t="s">
        <v>411</v>
      </c>
      <c r="M47" s="24">
        <v>14</v>
      </c>
    </row>
    <row r="49" spans="1:13" s="26" customFormat="1" ht="14.25" customHeight="1" x14ac:dyDescent="0.25">
      <c r="A49" s="31" t="s">
        <v>228</v>
      </c>
      <c r="B49" s="25">
        <f>SUM(B50:B50)</f>
        <v>0</v>
      </c>
      <c r="C49" s="32" t="s">
        <v>35</v>
      </c>
      <c r="D49" s="32" t="s">
        <v>35</v>
      </c>
      <c r="E49" s="25">
        <f t="shared" ref="E49" si="16">SUM(E50:E50)</f>
        <v>0</v>
      </c>
      <c r="F49" s="25">
        <f t="shared" ref="F49" si="17">SUM(F50:F50)</f>
        <v>0</v>
      </c>
      <c r="G49" s="30">
        <f t="shared" ref="G49" si="18">SUM(G50:G50)</f>
        <v>0</v>
      </c>
      <c r="H49" s="30">
        <f t="shared" ref="H49" si="19">SUM(H50:H50)</f>
        <v>0</v>
      </c>
      <c r="I49" s="30">
        <f t="shared" ref="I49" si="20">SUM(I50:I50)</f>
        <v>0</v>
      </c>
      <c r="J49" s="30">
        <f t="shared" ref="J49" si="21">SUM(J50:J50)</f>
        <v>0</v>
      </c>
      <c r="K49" s="30">
        <f t="shared" ref="K49" si="22">SUM(K50:K50)</f>
        <v>0</v>
      </c>
      <c r="L49" s="33" t="s">
        <v>408</v>
      </c>
      <c r="M49" s="32" t="s">
        <v>35</v>
      </c>
    </row>
    <row r="50" spans="1:13" s="26" customFormat="1" outlineLevel="1" x14ac:dyDescent="0.25">
      <c r="A50" s="25" t="s">
        <v>229</v>
      </c>
      <c r="B50" s="25"/>
      <c r="C50" s="105" t="s">
        <v>412</v>
      </c>
      <c r="D50" s="10"/>
      <c r="E50" s="10"/>
      <c r="F50" s="10"/>
      <c r="G50" s="25"/>
      <c r="H50" s="25"/>
      <c r="I50" s="25"/>
      <c r="J50" s="25"/>
      <c r="K50" s="25"/>
      <c r="L50" s="33" t="s">
        <v>408</v>
      </c>
      <c r="M50" s="24"/>
    </row>
    <row r="52" spans="1:13" x14ac:dyDescent="0.25">
      <c r="A52" s="31" t="s">
        <v>233</v>
      </c>
      <c r="B52" s="25">
        <f>SUM(B53:B54)</f>
        <v>2</v>
      </c>
      <c r="C52" s="32" t="s">
        <v>35</v>
      </c>
      <c r="D52" s="32" t="s">
        <v>35</v>
      </c>
      <c r="E52" s="25">
        <f t="shared" ref="E52:K52" si="23">SUM(E53:E54)</f>
        <v>21</v>
      </c>
      <c r="F52" s="25">
        <f t="shared" si="23"/>
        <v>25</v>
      </c>
      <c r="G52" s="30">
        <f t="shared" si="23"/>
        <v>2</v>
      </c>
      <c r="H52" s="30">
        <f t="shared" si="23"/>
        <v>2</v>
      </c>
      <c r="I52" s="30">
        <f t="shared" si="23"/>
        <v>0</v>
      </c>
      <c r="J52" s="30">
        <f t="shared" si="23"/>
        <v>0</v>
      </c>
      <c r="K52" s="30">
        <f t="shared" si="23"/>
        <v>2</v>
      </c>
      <c r="L52" s="33" t="s">
        <v>410</v>
      </c>
      <c r="M52" s="32" t="s">
        <v>35</v>
      </c>
    </row>
    <row r="53" spans="1:13" x14ac:dyDescent="0.25">
      <c r="A53" s="25" t="s">
        <v>381</v>
      </c>
      <c r="B53" s="25">
        <v>1</v>
      </c>
      <c r="C53" s="105" t="s">
        <v>237</v>
      </c>
      <c r="D53" s="10">
        <v>4151</v>
      </c>
      <c r="E53" s="10">
        <v>9</v>
      </c>
      <c r="F53" s="10">
        <v>25</v>
      </c>
      <c r="G53" s="25">
        <v>1</v>
      </c>
      <c r="H53" s="25">
        <v>1</v>
      </c>
      <c r="I53" s="25">
        <v>0</v>
      </c>
      <c r="J53" s="25">
        <v>0</v>
      </c>
      <c r="K53" s="25">
        <v>1</v>
      </c>
      <c r="L53" s="33" t="s">
        <v>410</v>
      </c>
      <c r="M53" s="24">
        <v>14</v>
      </c>
    </row>
    <row r="54" spans="1:13" x14ac:dyDescent="0.25">
      <c r="B54" s="25">
        <v>1</v>
      </c>
      <c r="C54" s="105" t="s">
        <v>368</v>
      </c>
      <c r="D54" s="10">
        <v>4101</v>
      </c>
      <c r="E54" s="10">
        <v>12</v>
      </c>
      <c r="F54" s="10">
        <v>0</v>
      </c>
      <c r="G54" s="25">
        <v>1</v>
      </c>
      <c r="H54" s="25">
        <v>1</v>
      </c>
      <c r="I54" s="25">
        <v>0</v>
      </c>
      <c r="J54" s="25">
        <v>0</v>
      </c>
      <c r="K54" s="25">
        <v>1</v>
      </c>
      <c r="L54" s="33" t="s">
        <v>410</v>
      </c>
      <c r="M54" s="24">
        <v>14</v>
      </c>
    </row>
    <row r="55" spans="1:13" x14ac:dyDescent="0.25"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</row>
    <row r="56" spans="1:13" x14ac:dyDescent="0.25">
      <c r="A56" s="31" t="s">
        <v>239</v>
      </c>
      <c r="B56" s="25">
        <f>SUM(B57:B60)</f>
        <v>4</v>
      </c>
      <c r="C56" s="32" t="s">
        <v>35</v>
      </c>
      <c r="D56" s="32" t="s">
        <v>35</v>
      </c>
      <c r="E56" s="25">
        <f t="shared" ref="E56:K56" si="24">SUM(E57:E60)</f>
        <v>39</v>
      </c>
      <c r="F56" s="25">
        <f t="shared" si="24"/>
        <v>54</v>
      </c>
      <c r="G56" s="30">
        <f t="shared" si="24"/>
        <v>4</v>
      </c>
      <c r="H56" s="30">
        <f t="shared" si="24"/>
        <v>4</v>
      </c>
      <c r="I56" s="30">
        <f t="shared" si="24"/>
        <v>0</v>
      </c>
      <c r="J56" s="30">
        <f t="shared" si="24"/>
        <v>0</v>
      </c>
      <c r="K56" s="30">
        <f t="shared" si="24"/>
        <v>4</v>
      </c>
      <c r="L56" s="33" t="s">
        <v>407</v>
      </c>
      <c r="M56" s="32" t="s">
        <v>35</v>
      </c>
    </row>
    <row r="57" spans="1:13" x14ac:dyDescent="0.25">
      <c r="A57" s="25" t="s">
        <v>240</v>
      </c>
      <c r="B57" s="25">
        <v>1</v>
      </c>
      <c r="C57" s="105" t="s">
        <v>382</v>
      </c>
      <c r="D57" s="10">
        <v>4350</v>
      </c>
      <c r="E57" s="10">
        <v>10</v>
      </c>
      <c r="F57" s="10">
        <v>14</v>
      </c>
      <c r="G57" s="25">
        <v>1</v>
      </c>
      <c r="H57" s="25">
        <v>1</v>
      </c>
      <c r="I57" s="25">
        <v>0</v>
      </c>
      <c r="J57" s="25">
        <v>0</v>
      </c>
      <c r="K57" s="25">
        <v>1</v>
      </c>
      <c r="L57" s="33" t="s">
        <v>407</v>
      </c>
      <c r="M57" s="24">
        <v>14</v>
      </c>
    </row>
    <row r="58" spans="1:13" x14ac:dyDescent="0.25">
      <c r="B58" s="25">
        <v>1</v>
      </c>
      <c r="C58" s="105" t="s">
        <v>383</v>
      </c>
      <c r="D58" s="10">
        <v>4350</v>
      </c>
      <c r="E58" s="10">
        <v>8</v>
      </c>
      <c r="F58" s="10">
        <v>11</v>
      </c>
      <c r="G58" s="25">
        <v>1</v>
      </c>
      <c r="H58" s="25">
        <v>1</v>
      </c>
      <c r="I58" s="25">
        <v>0</v>
      </c>
      <c r="J58" s="25">
        <v>0</v>
      </c>
      <c r="K58" s="25">
        <v>1</v>
      </c>
      <c r="L58" s="33" t="s">
        <v>407</v>
      </c>
      <c r="M58" s="24">
        <v>14</v>
      </c>
    </row>
    <row r="59" spans="1:13" x14ac:dyDescent="0.25">
      <c r="B59" s="25">
        <v>1</v>
      </c>
      <c r="C59" s="105" t="s">
        <v>384</v>
      </c>
      <c r="D59" s="10">
        <v>4350</v>
      </c>
      <c r="E59" s="10">
        <v>12</v>
      </c>
      <c r="F59" s="10">
        <v>17</v>
      </c>
      <c r="G59" s="25">
        <v>1</v>
      </c>
      <c r="H59" s="25">
        <v>1</v>
      </c>
      <c r="I59" s="25">
        <v>0</v>
      </c>
      <c r="J59" s="25">
        <v>0</v>
      </c>
      <c r="K59" s="25">
        <v>1</v>
      </c>
      <c r="L59" s="33" t="s">
        <v>407</v>
      </c>
      <c r="M59" s="24">
        <v>14</v>
      </c>
    </row>
    <row r="60" spans="1:13" x14ac:dyDescent="0.25">
      <c r="B60" s="25">
        <v>1</v>
      </c>
      <c r="C60" s="105" t="s">
        <v>246</v>
      </c>
      <c r="D60" s="10">
        <v>4352</v>
      </c>
      <c r="E60" s="10">
        <v>9</v>
      </c>
      <c r="F60" s="10">
        <v>12</v>
      </c>
      <c r="G60" s="25">
        <v>1</v>
      </c>
      <c r="H60" s="25">
        <v>1</v>
      </c>
      <c r="I60" s="25">
        <v>0</v>
      </c>
      <c r="J60" s="25">
        <v>0</v>
      </c>
      <c r="K60" s="25">
        <v>1</v>
      </c>
      <c r="L60" s="33" t="s">
        <v>407</v>
      </c>
      <c r="M60" s="24">
        <v>14</v>
      </c>
    </row>
    <row r="62" spans="1:13" x14ac:dyDescent="0.25">
      <c r="A62" s="31" t="s">
        <v>253</v>
      </c>
      <c r="B62" s="25">
        <f>SUM(B63:B63)</f>
        <v>1</v>
      </c>
      <c r="C62" s="32" t="s">
        <v>35</v>
      </c>
      <c r="D62" s="32" t="s">
        <v>35</v>
      </c>
      <c r="E62" s="25">
        <f t="shared" ref="E62:K62" si="25">SUM(E63:E63)</f>
        <v>8</v>
      </c>
      <c r="F62" s="25">
        <f t="shared" si="25"/>
        <v>0</v>
      </c>
      <c r="G62" s="30">
        <f t="shared" si="25"/>
        <v>1</v>
      </c>
      <c r="H62" s="30">
        <f t="shared" si="25"/>
        <v>1</v>
      </c>
      <c r="I62" s="30">
        <f t="shared" si="25"/>
        <v>0</v>
      </c>
      <c r="J62" s="30">
        <f t="shared" si="25"/>
        <v>0</v>
      </c>
      <c r="K62" s="30">
        <f t="shared" si="25"/>
        <v>1</v>
      </c>
      <c r="L62" s="33" t="s">
        <v>407</v>
      </c>
      <c r="M62" s="32" t="s">
        <v>35</v>
      </c>
    </row>
    <row r="63" spans="1:13" x14ac:dyDescent="0.25">
      <c r="A63" s="25" t="s">
        <v>385</v>
      </c>
      <c r="B63" s="25">
        <v>1</v>
      </c>
      <c r="C63" s="105" t="s">
        <v>260</v>
      </c>
      <c r="D63" s="10">
        <v>4817</v>
      </c>
      <c r="E63" s="10">
        <v>8</v>
      </c>
      <c r="F63" s="10">
        <v>0</v>
      </c>
      <c r="G63" s="25">
        <v>1</v>
      </c>
      <c r="H63" s="25">
        <v>1</v>
      </c>
      <c r="I63" s="25">
        <v>0</v>
      </c>
      <c r="J63" s="25">
        <v>0</v>
      </c>
      <c r="K63" s="25">
        <v>1</v>
      </c>
      <c r="L63" s="33" t="s">
        <v>407</v>
      </c>
      <c r="M63" s="24">
        <v>14</v>
      </c>
    </row>
    <row r="65" spans="1:13" x14ac:dyDescent="0.25">
      <c r="A65" s="31" t="s">
        <v>263</v>
      </c>
      <c r="B65" s="25">
        <f>SUM(B66:B68)</f>
        <v>3</v>
      </c>
      <c r="C65" s="32" t="s">
        <v>35</v>
      </c>
      <c r="D65" s="32" t="s">
        <v>35</v>
      </c>
      <c r="E65" s="25">
        <f t="shared" ref="E65:K65" si="26">SUM(E66:E68)</f>
        <v>28</v>
      </c>
      <c r="F65" s="25">
        <f t="shared" si="26"/>
        <v>40</v>
      </c>
      <c r="G65" s="30">
        <f t="shared" si="26"/>
        <v>3</v>
      </c>
      <c r="H65" s="30">
        <f t="shared" si="26"/>
        <v>3</v>
      </c>
      <c r="I65" s="30">
        <f t="shared" si="26"/>
        <v>0</v>
      </c>
      <c r="J65" s="30">
        <f t="shared" si="26"/>
        <v>0</v>
      </c>
      <c r="K65" s="30">
        <f t="shared" si="26"/>
        <v>3</v>
      </c>
      <c r="L65" s="33" t="s">
        <v>407</v>
      </c>
      <c r="M65" s="32" t="s">
        <v>35</v>
      </c>
    </row>
    <row r="66" spans="1:13" x14ac:dyDescent="0.25">
      <c r="A66" s="25" t="s">
        <v>386</v>
      </c>
      <c r="B66" s="25">
        <v>1</v>
      </c>
      <c r="C66" s="105" t="s">
        <v>387</v>
      </c>
      <c r="D66" s="10">
        <v>4660</v>
      </c>
      <c r="E66" s="10">
        <v>6</v>
      </c>
      <c r="F66" s="10">
        <v>9</v>
      </c>
      <c r="G66" s="25">
        <v>1</v>
      </c>
      <c r="H66" s="25">
        <v>1</v>
      </c>
      <c r="I66" s="25">
        <v>0</v>
      </c>
      <c r="J66" s="25">
        <v>0</v>
      </c>
      <c r="K66" s="25">
        <v>1</v>
      </c>
      <c r="L66" s="33" t="s">
        <v>407</v>
      </c>
      <c r="M66" s="24">
        <v>14</v>
      </c>
    </row>
    <row r="67" spans="1:13" x14ac:dyDescent="0.25">
      <c r="B67" s="25">
        <v>1</v>
      </c>
      <c r="C67" s="105" t="s">
        <v>380</v>
      </c>
      <c r="D67" s="10">
        <v>4670</v>
      </c>
      <c r="E67" s="10">
        <v>9</v>
      </c>
      <c r="F67" s="10">
        <v>13</v>
      </c>
      <c r="G67" s="25">
        <v>1</v>
      </c>
      <c r="H67" s="25">
        <v>1</v>
      </c>
      <c r="I67" s="25">
        <v>0</v>
      </c>
      <c r="J67" s="25">
        <v>0</v>
      </c>
      <c r="K67" s="25">
        <v>1</v>
      </c>
      <c r="L67" s="33" t="s">
        <v>407</v>
      </c>
      <c r="M67" s="24">
        <v>14</v>
      </c>
    </row>
    <row r="68" spans="1:13" x14ac:dyDescent="0.25">
      <c r="B68" s="25">
        <v>1</v>
      </c>
      <c r="C68" s="105" t="s">
        <v>388</v>
      </c>
      <c r="D68" s="10">
        <v>4655</v>
      </c>
      <c r="E68" s="10">
        <v>13</v>
      </c>
      <c r="F68" s="10">
        <v>18</v>
      </c>
      <c r="G68" s="25">
        <v>1</v>
      </c>
      <c r="H68" s="25">
        <v>1</v>
      </c>
      <c r="I68" s="25">
        <v>0</v>
      </c>
      <c r="J68" s="25">
        <v>0</v>
      </c>
      <c r="K68" s="25">
        <v>1</v>
      </c>
      <c r="L68" s="33" t="s">
        <v>407</v>
      </c>
      <c r="M68" s="24">
        <v>14</v>
      </c>
    </row>
    <row r="69" spans="1:13" x14ac:dyDescent="0.25"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</row>
    <row r="70" spans="1:13" x14ac:dyDescent="0.25">
      <c r="A70" s="31" t="s">
        <v>270</v>
      </c>
      <c r="B70" s="25">
        <f>SUM(B71:B73)</f>
        <v>3</v>
      </c>
      <c r="C70" s="32" t="s">
        <v>35</v>
      </c>
      <c r="D70" s="32" t="s">
        <v>35</v>
      </c>
      <c r="E70" s="25">
        <f t="shared" ref="E70:K70" si="27">SUM(E71:E73)</f>
        <v>19</v>
      </c>
      <c r="F70" s="25">
        <f t="shared" si="27"/>
        <v>29</v>
      </c>
      <c r="G70" s="30">
        <f t="shared" si="27"/>
        <v>3</v>
      </c>
      <c r="H70" s="30">
        <f t="shared" si="27"/>
        <v>3</v>
      </c>
      <c r="I70" s="30">
        <f t="shared" si="27"/>
        <v>0</v>
      </c>
      <c r="J70" s="30">
        <f t="shared" si="27"/>
        <v>0</v>
      </c>
      <c r="K70" s="30">
        <f t="shared" si="27"/>
        <v>3</v>
      </c>
      <c r="L70" s="33" t="s">
        <v>411</v>
      </c>
      <c r="M70" s="32" t="s">
        <v>35</v>
      </c>
    </row>
    <row r="71" spans="1:13" x14ac:dyDescent="0.25">
      <c r="A71" s="25" t="s">
        <v>271</v>
      </c>
      <c r="B71" s="25">
        <v>1</v>
      </c>
      <c r="C71" s="105" t="s">
        <v>389</v>
      </c>
      <c r="D71" s="10">
        <v>4870</v>
      </c>
      <c r="E71" s="10">
        <v>3</v>
      </c>
      <c r="F71" s="10">
        <v>6</v>
      </c>
      <c r="G71" s="25">
        <v>1</v>
      </c>
      <c r="H71" s="25">
        <v>1</v>
      </c>
      <c r="I71" s="25">
        <v>0</v>
      </c>
      <c r="J71" s="25">
        <v>0</v>
      </c>
      <c r="K71" s="25">
        <v>1</v>
      </c>
      <c r="L71" s="33" t="s">
        <v>411</v>
      </c>
      <c r="M71" s="24">
        <v>14</v>
      </c>
    </row>
    <row r="72" spans="1:13" x14ac:dyDescent="0.25">
      <c r="B72" s="25">
        <v>1</v>
      </c>
      <c r="C72" s="105" t="s">
        <v>390</v>
      </c>
      <c r="D72" s="10">
        <v>4820</v>
      </c>
      <c r="E72" s="10">
        <v>7</v>
      </c>
      <c r="F72" s="10">
        <v>10</v>
      </c>
      <c r="G72" s="25">
        <v>1</v>
      </c>
      <c r="H72" s="25">
        <v>1</v>
      </c>
      <c r="I72" s="25">
        <v>0</v>
      </c>
      <c r="J72" s="25">
        <v>0</v>
      </c>
      <c r="K72" s="25">
        <v>1</v>
      </c>
      <c r="L72" s="33" t="s">
        <v>411</v>
      </c>
      <c r="M72" s="24">
        <v>14</v>
      </c>
    </row>
    <row r="73" spans="1:13" x14ac:dyDescent="0.25">
      <c r="B73" s="25">
        <v>1</v>
      </c>
      <c r="C73" s="105" t="s">
        <v>391</v>
      </c>
      <c r="D73" s="10">
        <v>4825</v>
      </c>
      <c r="E73" s="10">
        <v>9</v>
      </c>
      <c r="F73" s="10">
        <v>13</v>
      </c>
      <c r="G73" s="25">
        <v>1</v>
      </c>
      <c r="H73" s="25">
        <v>1</v>
      </c>
      <c r="I73" s="25">
        <v>0</v>
      </c>
      <c r="J73" s="25">
        <v>0</v>
      </c>
      <c r="K73" s="25">
        <v>1</v>
      </c>
      <c r="L73" s="33" t="s">
        <v>411</v>
      </c>
      <c r="M73" s="24">
        <v>14</v>
      </c>
    </row>
    <row r="75" spans="1:13" x14ac:dyDescent="0.25">
      <c r="A75" s="31" t="s">
        <v>392</v>
      </c>
      <c r="B75" s="25">
        <f>SUM(B76:B76)</f>
        <v>1</v>
      </c>
      <c r="C75" s="32" t="s">
        <v>35</v>
      </c>
      <c r="D75" s="32" t="s">
        <v>35</v>
      </c>
      <c r="E75" s="25">
        <f t="shared" ref="E75:K75" si="28">SUM(E76:E76)</f>
        <v>9</v>
      </c>
      <c r="F75" s="25">
        <f t="shared" si="28"/>
        <v>13</v>
      </c>
      <c r="G75" s="30">
        <f t="shared" si="28"/>
        <v>1</v>
      </c>
      <c r="H75" s="30">
        <f t="shared" si="28"/>
        <v>1</v>
      </c>
      <c r="I75" s="30">
        <f t="shared" si="28"/>
        <v>0</v>
      </c>
      <c r="J75" s="30">
        <f t="shared" si="28"/>
        <v>0</v>
      </c>
      <c r="K75" s="30">
        <f t="shared" si="28"/>
        <v>1</v>
      </c>
      <c r="L75" s="33" t="s">
        <v>411</v>
      </c>
      <c r="M75" s="32" t="s">
        <v>35</v>
      </c>
    </row>
    <row r="76" spans="1:13" x14ac:dyDescent="0.25">
      <c r="A76" s="25" t="s">
        <v>393</v>
      </c>
      <c r="B76" s="25">
        <v>1</v>
      </c>
      <c r="C76" s="105" t="s">
        <v>389</v>
      </c>
      <c r="D76" s="10">
        <v>4870</v>
      </c>
      <c r="E76" s="10">
        <v>9</v>
      </c>
      <c r="F76" s="10">
        <v>13</v>
      </c>
      <c r="G76" s="25">
        <v>1</v>
      </c>
      <c r="H76" s="25">
        <v>1</v>
      </c>
      <c r="I76" s="25">
        <v>0</v>
      </c>
      <c r="J76" s="25">
        <v>0</v>
      </c>
      <c r="K76" s="25">
        <v>1</v>
      </c>
      <c r="L76" s="33" t="s">
        <v>411</v>
      </c>
      <c r="M76" s="24">
        <v>14</v>
      </c>
    </row>
    <row r="78" spans="1:13" x14ac:dyDescent="0.25">
      <c r="A78" s="31" t="s">
        <v>291</v>
      </c>
      <c r="B78" s="25">
        <f>SUM(B79:B79)</f>
        <v>1</v>
      </c>
      <c r="C78" s="32" t="s">
        <v>35</v>
      </c>
      <c r="D78" s="32" t="s">
        <v>35</v>
      </c>
      <c r="E78" s="25">
        <f t="shared" ref="E78:K78" si="29">SUM(E79:E79)</f>
        <v>4</v>
      </c>
      <c r="F78" s="25">
        <f t="shared" si="29"/>
        <v>0</v>
      </c>
      <c r="G78" s="30">
        <f t="shared" si="29"/>
        <v>1</v>
      </c>
      <c r="H78" s="30">
        <f t="shared" si="29"/>
        <v>1</v>
      </c>
      <c r="I78" s="30">
        <f t="shared" si="29"/>
        <v>0</v>
      </c>
      <c r="J78" s="30">
        <f t="shared" si="29"/>
        <v>0</v>
      </c>
      <c r="K78" s="30">
        <f t="shared" si="29"/>
        <v>1</v>
      </c>
      <c r="L78" s="33" t="s">
        <v>410</v>
      </c>
      <c r="M78" s="32" t="s">
        <v>35</v>
      </c>
    </row>
    <row r="79" spans="1:13" x14ac:dyDescent="0.25">
      <c r="A79" s="25" t="s">
        <v>292</v>
      </c>
      <c r="B79" s="25">
        <v>1</v>
      </c>
      <c r="C79" s="105" t="s">
        <v>394</v>
      </c>
      <c r="D79" s="10">
        <v>4034</v>
      </c>
      <c r="E79" s="10">
        <v>4</v>
      </c>
      <c r="F79" s="10">
        <v>0</v>
      </c>
      <c r="G79" s="25">
        <v>1</v>
      </c>
      <c r="H79" s="25">
        <v>1</v>
      </c>
      <c r="I79" s="25">
        <v>0</v>
      </c>
      <c r="J79" s="25">
        <v>0</v>
      </c>
      <c r="K79" s="25">
        <v>1</v>
      </c>
      <c r="L79" s="33" t="s">
        <v>410</v>
      </c>
      <c r="M79" s="24">
        <v>14</v>
      </c>
    </row>
    <row r="80" spans="1:13" x14ac:dyDescent="0.25"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</row>
    <row r="81" spans="1:13" x14ac:dyDescent="0.25">
      <c r="A81" s="31" t="s">
        <v>296</v>
      </c>
      <c r="B81" s="25">
        <f>SUM(B82:B85)</f>
        <v>4</v>
      </c>
      <c r="C81" s="32" t="s">
        <v>35</v>
      </c>
      <c r="D81" s="32" t="s">
        <v>35</v>
      </c>
      <c r="E81" s="25">
        <f t="shared" ref="E81:K81" si="30">SUM(E82:E85)</f>
        <v>30</v>
      </c>
      <c r="F81" s="25">
        <f t="shared" si="30"/>
        <v>46</v>
      </c>
      <c r="G81" s="30">
        <f t="shared" si="30"/>
        <v>4</v>
      </c>
      <c r="H81" s="30">
        <f t="shared" si="30"/>
        <v>4</v>
      </c>
      <c r="I81" s="30">
        <f t="shared" si="30"/>
        <v>0</v>
      </c>
      <c r="J81" s="30">
        <f t="shared" si="30"/>
        <v>0</v>
      </c>
      <c r="K81" s="30">
        <f t="shared" si="30"/>
        <v>4</v>
      </c>
      <c r="L81" s="33" t="s">
        <v>407</v>
      </c>
      <c r="M81" s="32" t="s">
        <v>35</v>
      </c>
    </row>
    <row r="82" spans="1:13" x14ac:dyDescent="0.25">
      <c r="A82" s="25" t="s">
        <v>395</v>
      </c>
      <c r="B82" s="25">
        <v>1</v>
      </c>
      <c r="C82" s="105" t="s">
        <v>396</v>
      </c>
      <c r="D82" s="10">
        <v>4505</v>
      </c>
      <c r="E82" s="10">
        <v>11</v>
      </c>
      <c r="F82" s="10">
        <v>16</v>
      </c>
      <c r="G82" s="25">
        <v>1</v>
      </c>
      <c r="H82" s="25">
        <v>1</v>
      </c>
      <c r="I82" s="25">
        <v>0</v>
      </c>
      <c r="J82" s="25">
        <v>0</v>
      </c>
      <c r="K82" s="25">
        <v>1</v>
      </c>
      <c r="L82" s="33" t="s">
        <v>407</v>
      </c>
      <c r="M82" s="24">
        <v>14</v>
      </c>
    </row>
    <row r="83" spans="1:13" x14ac:dyDescent="0.25">
      <c r="B83" s="25">
        <v>1</v>
      </c>
      <c r="C83" s="105" t="s">
        <v>397</v>
      </c>
      <c r="D83" s="10">
        <v>4508</v>
      </c>
      <c r="E83" s="10">
        <v>3</v>
      </c>
      <c r="F83" s="10">
        <v>6</v>
      </c>
      <c r="G83" s="25">
        <v>1</v>
      </c>
      <c r="H83" s="25">
        <v>1</v>
      </c>
      <c r="I83" s="25">
        <v>0</v>
      </c>
      <c r="J83" s="25">
        <v>0</v>
      </c>
      <c r="K83" s="25">
        <v>1</v>
      </c>
      <c r="L83" s="33" t="s">
        <v>407</v>
      </c>
      <c r="M83" s="24">
        <v>14</v>
      </c>
    </row>
    <row r="84" spans="1:13" x14ac:dyDescent="0.25">
      <c r="B84" s="25">
        <v>1</v>
      </c>
      <c r="C84" s="105" t="s">
        <v>398</v>
      </c>
      <c r="D84" s="10">
        <v>4506</v>
      </c>
      <c r="E84" s="10">
        <v>11</v>
      </c>
      <c r="F84" s="10">
        <v>16</v>
      </c>
      <c r="G84" s="25">
        <v>1</v>
      </c>
      <c r="H84" s="25">
        <v>1</v>
      </c>
      <c r="I84" s="25">
        <v>0</v>
      </c>
      <c r="J84" s="25">
        <v>0</v>
      </c>
      <c r="K84" s="25">
        <v>1</v>
      </c>
      <c r="L84" s="33" t="s">
        <v>407</v>
      </c>
      <c r="M84" s="24">
        <v>14</v>
      </c>
    </row>
    <row r="85" spans="1:13" x14ac:dyDescent="0.25">
      <c r="B85" s="25">
        <v>1</v>
      </c>
      <c r="C85" s="105" t="s">
        <v>373</v>
      </c>
      <c r="D85" s="10">
        <v>4509</v>
      </c>
      <c r="E85" s="10">
        <v>5</v>
      </c>
      <c r="F85" s="10">
        <v>8</v>
      </c>
      <c r="G85" s="25">
        <v>1</v>
      </c>
      <c r="H85" s="25">
        <v>1</v>
      </c>
      <c r="I85" s="25">
        <v>0</v>
      </c>
      <c r="J85" s="25">
        <v>0</v>
      </c>
      <c r="K85" s="25">
        <v>1</v>
      </c>
      <c r="L85" s="33" t="s">
        <v>407</v>
      </c>
      <c r="M85" s="24">
        <v>14</v>
      </c>
    </row>
    <row r="87" spans="1:13" x14ac:dyDescent="0.25">
      <c r="A87" s="31" t="s">
        <v>300</v>
      </c>
      <c r="B87" s="25">
        <f>SUM(B88:B89)</f>
        <v>2</v>
      </c>
      <c r="C87" s="32" t="s">
        <v>35</v>
      </c>
      <c r="D87" s="32" t="s">
        <v>35</v>
      </c>
      <c r="E87" s="25">
        <f t="shared" ref="E87:K87" si="31">SUM(E88:E89)</f>
        <v>18</v>
      </c>
      <c r="F87" s="25">
        <f t="shared" si="31"/>
        <v>26</v>
      </c>
      <c r="G87" s="30">
        <f t="shared" si="31"/>
        <v>2</v>
      </c>
      <c r="H87" s="30">
        <f t="shared" si="31"/>
        <v>2</v>
      </c>
      <c r="I87" s="30">
        <f t="shared" si="31"/>
        <v>0</v>
      </c>
      <c r="J87" s="30">
        <f t="shared" si="31"/>
        <v>0</v>
      </c>
      <c r="K87" s="30">
        <f t="shared" si="31"/>
        <v>2</v>
      </c>
      <c r="L87" s="33" t="s">
        <v>411</v>
      </c>
      <c r="M87" s="32" t="s">
        <v>35</v>
      </c>
    </row>
    <row r="88" spans="1:13" x14ac:dyDescent="0.25">
      <c r="A88" s="25" t="s">
        <v>301</v>
      </c>
      <c r="B88" s="25">
        <v>1</v>
      </c>
      <c r="C88" s="105" t="s">
        <v>399</v>
      </c>
      <c r="D88" s="10">
        <v>4405</v>
      </c>
      <c r="E88" s="10">
        <v>9</v>
      </c>
      <c r="F88" s="10">
        <v>13</v>
      </c>
      <c r="G88" s="25">
        <v>1</v>
      </c>
      <c r="H88" s="25">
        <v>1</v>
      </c>
      <c r="I88" s="25">
        <v>0</v>
      </c>
      <c r="J88" s="25">
        <v>0</v>
      </c>
      <c r="K88" s="25">
        <v>1</v>
      </c>
      <c r="L88" s="33" t="s">
        <v>411</v>
      </c>
      <c r="M88" s="24">
        <v>14</v>
      </c>
    </row>
    <row r="89" spans="1:13" x14ac:dyDescent="0.25">
      <c r="B89" s="25">
        <v>1</v>
      </c>
      <c r="C89" s="105" t="s">
        <v>307</v>
      </c>
      <c r="D89" s="10">
        <v>4610</v>
      </c>
      <c r="E89" s="10">
        <v>9</v>
      </c>
      <c r="F89" s="10">
        <v>13</v>
      </c>
      <c r="G89" s="25">
        <v>1</v>
      </c>
      <c r="H89" s="25">
        <v>1</v>
      </c>
      <c r="I89" s="25">
        <v>0</v>
      </c>
      <c r="J89" s="25">
        <v>0</v>
      </c>
      <c r="K89" s="25">
        <v>1</v>
      </c>
      <c r="L89" s="33" t="s">
        <v>411</v>
      </c>
      <c r="M89" s="24">
        <v>14</v>
      </c>
    </row>
    <row r="91" spans="1:13" x14ac:dyDescent="0.25">
      <c r="A91" s="31" t="s">
        <v>317</v>
      </c>
      <c r="B91" s="25">
        <f>SUM(B92:B92)</f>
        <v>1</v>
      </c>
      <c r="C91" s="32" t="s">
        <v>35</v>
      </c>
      <c r="D91" s="32" t="s">
        <v>35</v>
      </c>
      <c r="E91" s="25">
        <f t="shared" ref="E91:K91" si="32">SUM(E92:E92)</f>
        <v>3</v>
      </c>
      <c r="F91" s="25">
        <f t="shared" si="32"/>
        <v>0</v>
      </c>
      <c r="G91" s="30">
        <f t="shared" si="32"/>
        <v>1</v>
      </c>
      <c r="H91" s="30">
        <f t="shared" si="32"/>
        <v>1</v>
      </c>
      <c r="I91" s="30">
        <f t="shared" si="32"/>
        <v>0</v>
      </c>
      <c r="J91" s="30">
        <f t="shared" si="32"/>
        <v>0</v>
      </c>
      <c r="K91" s="30">
        <f t="shared" si="32"/>
        <v>1</v>
      </c>
      <c r="L91" s="33" t="s">
        <v>407</v>
      </c>
      <c r="M91" s="32" t="s">
        <v>35</v>
      </c>
    </row>
    <row r="92" spans="1:13" x14ac:dyDescent="0.25">
      <c r="A92" s="25" t="s">
        <v>318</v>
      </c>
      <c r="B92" s="25">
        <v>1</v>
      </c>
      <c r="C92" s="105" t="s">
        <v>400</v>
      </c>
      <c r="D92" s="10">
        <v>4220</v>
      </c>
      <c r="E92" s="10">
        <v>3</v>
      </c>
      <c r="F92" s="10">
        <v>0</v>
      </c>
      <c r="G92" s="25">
        <v>1</v>
      </c>
      <c r="H92" s="25">
        <v>1</v>
      </c>
      <c r="I92" s="25">
        <v>0</v>
      </c>
      <c r="J92" s="25">
        <v>0</v>
      </c>
      <c r="K92" s="25">
        <v>1</v>
      </c>
      <c r="L92" s="33" t="s">
        <v>407</v>
      </c>
      <c r="M92" s="24">
        <v>14</v>
      </c>
    </row>
    <row r="93" spans="1:13" x14ac:dyDescent="0.25"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</row>
    <row r="94" spans="1:13" x14ac:dyDescent="0.25">
      <c r="A94" s="31" t="s">
        <v>320</v>
      </c>
      <c r="B94" s="25">
        <f>SUM(B95:B95)</f>
        <v>1</v>
      </c>
      <c r="C94" s="32" t="s">
        <v>35</v>
      </c>
      <c r="D94" s="32" t="s">
        <v>35</v>
      </c>
      <c r="E94" s="25">
        <f t="shared" ref="E94:K94" si="33">SUM(E95:E95)</f>
        <v>9</v>
      </c>
      <c r="F94" s="25">
        <f t="shared" si="33"/>
        <v>12</v>
      </c>
      <c r="G94" s="30">
        <f t="shared" si="33"/>
        <v>1</v>
      </c>
      <c r="H94" s="30">
        <f t="shared" si="33"/>
        <v>1</v>
      </c>
      <c r="I94" s="30">
        <f t="shared" si="33"/>
        <v>0</v>
      </c>
      <c r="J94" s="30">
        <f t="shared" si="33"/>
        <v>0</v>
      </c>
      <c r="K94" s="30">
        <f t="shared" si="33"/>
        <v>1</v>
      </c>
      <c r="L94" s="33" t="s">
        <v>407</v>
      </c>
      <c r="M94" s="32" t="s">
        <v>35</v>
      </c>
    </row>
    <row r="95" spans="1:13" x14ac:dyDescent="0.25">
      <c r="A95" s="25" t="s">
        <v>321</v>
      </c>
      <c r="B95" s="25">
        <v>1</v>
      </c>
      <c r="C95" s="105" t="s">
        <v>322</v>
      </c>
      <c r="D95" s="10">
        <v>4217</v>
      </c>
      <c r="E95" s="10">
        <v>9</v>
      </c>
      <c r="F95" s="10">
        <v>12</v>
      </c>
      <c r="G95" s="25">
        <v>1</v>
      </c>
      <c r="H95" s="25">
        <v>1</v>
      </c>
      <c r="I95" s="25">
        <v>0</v>
      </c>
      <c r="J95" s="25">
        <v>0</v>
      </c>
      <c r="K95" s="25">
        <v>1</v>
      </c>
      <c r="L95" s="33" t="s">
        <v>407</v>
      </c>
      <c r="M95" s="24">
        <v>14</v>
      </c>
    </row>
    <row r="97" spans="1:13" x14ac:dyDescent="0.25">
      <c r="A97" s="31" t="s">
        <v>401</v>
      </c>
      <c r="B97" s="25">
        <f>SUM(B98:B101)</f>
        <v>4</v>
      </c>
      <c r="C97" s="32" t="s">
        <v>35</v>
      </c>
      <c r="D97" s="32" t="s">
        <v>35</v>
      </c>
      <c r="E97" s="25">
        <f t="shared" ref="E97:K97" si="34">SUM(E98:E101)</f>
        <v>22</v>
      </c>
      <c r="F97" s="25">
        <f t="shared" si="34"/>
        <v>14</v>
      </c>
      <c r="G97" s="30">
        <f t="shared" si="34"/>
        <v>4</v>
      </c>
      <c r="H97" s="30">
        <f t="shared" si="34"/>
        <v>4</v>
      </c>
      <c r="I97" s="30">
        <f t="shared" si="34"/>
        <v>0</v>
      </c>
      <c r="J97" s="30">
        <f t="shared" si="34"/>
        <v>0</v>
      </c>
      <c r="K97" s="30">
        <f t="shared" si="34"/>
        <v>4</v>
      </c>
      <c r="L97" s="33" t="s">
        <v>410</v>
      </c>
      <c r="M97" s="32" t="s">
        <v>35</v>
      </c>
    </row>
    <row r="98" spans="1:13" x14ac:dyDescent="0.25">
      <c r="A98" s="25" t="s">
        <v>324</v>
      </c>
      <c r="B98" s="25">
        <v>1</v>
      </c>
      <c r="C98" s="105" t="s">
        <v>237</v>
      </c>
      <c r="D98" s="10">
        <v>4151</v>
      </c>
      <c r="E98" s="10">
        <v>0</v>
      </c>
      <c r="F98" s="10">
        <v>7</v>
      </c>
      <c r="G98" s="25">
        <v>1</v>
      </c>
      <c r="H98" s="25">
        <v>1</v>
      </c>
      <c r="I98" s="25">
        <v>0</v>
      </c>
      <c r="J98" s="25">
        <v>0</v>
      </c>
      <c r="K98" s="25">
        <v>1</v>
      </c>
      <c r="L98" s="33" t="s">
        <v>410</v>
      </c>
      <c r="M98" s="24">
        <v>14</v>
      </c>
    </row>
    <row r="99" spans="1:13" x14ac:dyDescent="0.25">
      <c r="B99" s="25">
        <v>1</v>
      </c>
      <c r="C99" s="105" t="s">
        <v>330</v>
      </c>
      <c r="D99" s="10">
        <v>4077</v>
      </c>
      <c r="E99" s="10">
        <v>4</v>
      </c>
      <c r="F99" s="10">
        <v>7</v>
      </c>
      <c r="G99" s="25">
        <v>1</v>
      </c>
      <c r="H99" s="25">
        <v>1</v>
      </c>
      <c r="I99" s="25">
        <v>0</v>
      </c>
      <c r="J99" s="25">
        <v>0</v>
      </c>
      <c r="K99" s="25">
        <v>1</v>
      </c>
      <c r="L99" s="33" t="s">
        <v>410</v>
      </c>
      <c r="M99" s="24">
        <v>14</v>
      </c>
    </row>
    <row r="100" spans="1:13" x14ac:dyDescent="0.25">
      <c r="B100" s="25">
        <v>1</v>
      </c>
      <c r="C100" s="105" t="s">
        <v>325</v>
      </c>
      <c r="D100" s="10">
        <v>4105</v>
      </c>
      <c r="E100" s="10">
        <v>15</v>
      </c>
      <c r="F100" s="10">
        <v>0</v>
      </c>
      <c r="G100" s="25">
        <v>1</v>
      </c>
      <c r="H100" s="25">
        <v>1</v>
      </c>
      <c r="I100" s="25">
        <v>0</v>
      </c>
      <c r="J100" s="25">
        <v>0</v>
      </c>
      <c r="K100" s="25">
        <v>1</v>
      </c>
      <c r="L100" s="33" t="s">
        <v>410</v>
      </c>
      <c r="M100" s="24">
        <v>14</v>
      </c>
    </row>
    <row r="101" spans="1:13" x14ac:dyDescent="0.25">
      <c r="B101" s="25">
        <v>1</v>
      </c>
      <c r="C101" s="105" t="s">
        <v>368</v>
      </c>
      <c r="D101" s="10">
        <v>4101</v>
      </c>
      <c r="E101" s="10">
        <v>3</v>
      </c>
      <c r="F101" s="10">
        <v>0</v>
      </c>
      <c r="G101" s="25">
        <v>1</v>
      </c>
      <c r="H101" s="25">
        <v>1</v>
      </c>
      <c r="I101" s="25">
        <v>0</v>
      </c>
      <c r="J101" s="25">
        <v>0</v>
      </c>
      <c r="K101" s="25">
        <v>1</v>
      </c>
      <c r="L101" s="33" t="s">
        <v>410</v>
      </c>
      <c r="M101" s="24">
        <v>14</v>
      </c>
    </row>
    <row r="103" spans="1:13" x14ac:dyDescent="0.25">
      <c r="A103" s="31" t="s">
        <v>328</v>
      </c>
      <c r="B103" s="25">
        <f>SUM(B104:B107)</f>
        <v>4</v>
      </c>
      <c r="C103" s="32" t="s">
        <v>35</v>
      </c>
      <c r="D103" s="32" t="s">
        <v>35</v>
      </c>
      <c r="E103" s="25">
        <f t="shared" ref="E103:K103" si="35">SUM(E104:E107)</f>
        <v>24</v>
      </c>
      <c r="F103" s="25">
        <f t="shared" si="35"/>
        <v>37</v>
      </c>
      <c r="G103" s="30">
        <f t="shared" si="35"/>
        <v>4</v>
      </c>
      <c r="H103" s="30">
        <f t="shared" si="35"/>
        <v>4</v>
      </c>
      <c r="I103" s="30">
        <f t="shared" si="35"/>
        <v>0</v>
      </c>
      <c r="J103" s="30">
        <f t="shared" si="35"/>
        <v>0</v>
      </c>
      <c r="K103" s="30">
        <f t="shared" si="35"/>
        <v>4</v>
      </c>
      <c r="L103" s="33" t="s">
        <v>408</v>
      </c>
      <c r="M103" s="32" t="s">
        <v>35</v>
      </c>
    </row>
    <row r="104" spans="1:13" x14ac:dyDescent="0.25">
      <c r="A104" s="25" t="s">
        <v>329</v>
      </c>
      <c r="B104" s="25">
        <v>1</v>
      </c>
      <c r="C104" s="105" t="s">
        <v>330</v>
      </c>
      <c r="D104" s="10">
        <v>4077</v>
      </c>
      <c r="E104" s="10">
        <v>12</v>
      </c>
      <c r="F104" s="10">
        <v>17</v>
      </c>
      <c r="G104" s="25">
        <v>1</v>
      </c>
      <c r="H104" s="25">
        <v>1</v>
      </c>
      <c r="I104" s="25">
        <v>0</v>
      </c>
      <c r="J104" s="25">
        <v>0</v>
      </c>
      <c r="K104" s="25">
        <v>1</v>
      </c>
      <c r="L104" s="33" t="s">
        <v>408</v>
      </c>
      <c r="M104" s="24">
        <v>14</v>
      </c>
    </row>
    <row r="105" spans="1:13" x14ac:dyDescent="0.25">
      <c r="B105" s="25">
        <v>1</v>
      </c>
      <c r="C105" s="105" t="s">
        <v>14</v>
      </c>
      <c r="D105" s="10">
        <v>4305</v>
      </c>
      <c r="E105" s="10">
        <v>0</v>
      </c>
      <c r="F105" s="10">
        <v>6</v>
      </c>
      <c r="G105" s="25">
        <v>1</v>
      </c>
      <c r="H105" s="25">
        <v>1</v>
      </c>
      <c r="I105" s="25">
        <v>0</v>
      </c>
      <c r="J105" s="25">
        <v>0</v>
      </c>
      <c r="K105" s="25">
        <v>1</v>
      </c>
      <c r="L105" s="33" t="s">
        <v>408</v>
      </c>
      <c r="M105" s="24">
        <v>14</v>
      </c>
    </row>
    <row r="106" spans="1:13" x14ac:dyDescent="0.25">
      <c r="B106" s="25">
        <v>1</v>
      </c>
      <c r="C106" s="105" t="s">
        <v>325</v>
      </c>
      <c r="D106" s="10">
        <v>4105</v>
      </c>
      <c r="E106" s="10">
        <v>3</v>
      </c>
      <c r="F106" s="10">
        <v>0</v>
      </c>
      <c r="G106" s="25">
        <v>1</v>
      </c>
      <c r="H106" s="25">
        <v>1</v>
      </c>
      <c r="I106" s="25">
        <v>0</v>
      </c>
      <c r="J106" s="25">
        <v>0</v>
      </c>
      <c r="K106" s="25">
        <v>1</v>
      </c>
      <c r="L106" s="33" t="s">
        <v>408</v>
      </c>
      <c r="M106" s="24">
        <v>14</v>
      </c>
    </row>
    <row r="107" spans="1:13" x14ac:dyDescent="0.25">
      <c r="B107" s="25">
        <v>1</v>
      </c>
      <c r="C107" s="105" t="s">
        <v>169</v>
      </c>
      <c r="D107" s="10">
        <v>4300</v>
      </c>
      <c r="E107" s="10">
        <v>9</v>
      </c>
      <c r="F107" s="10">
        <v>14</v>
      </c>
      <c r="G107" s="25">
        <v>1</v>
      </c>
      <c r="H107" s="25">
        <v>1</v>
      </c>
      <c r="I107" s="25">
        <v>0</v>
      </c>
      <c r="J107" s="25">
        <v>0</v>
      </c>
      <c r="K107" s="25">
        <v>1</v>
      </c>
      <c r="L107" s="33" t="s">
        <v>408</v>
      </c>
      <c r="M107" s="24">
        <v>14</v>
      </c>
    </row>
    <row r="109" spans="1:13" x14ac:dyDescent="0.25">
      <c r="A109" s="31" t="s">
        <v>331</v>
      </c>
      <c r="B109" s="25">
        <f>SUM(B110:B114)</f>
        <v>5</v>
      </c>
      <c r="C109" s="32" t="s">
        <v>35</v>
      </c>
      <c r="D109" s="32" t="s">
        <v>35</v>
      </c>
      <c r="E109" s="25">
        <f t="shared" ref="E109:K109" si="36">SUM(E110:E114)</f>
        <v>41</v>
      </c>
      <c r="F109" s="25">
        <f t="shared" si="36"/>
        <v>62</v>
      </c>
      <c r="G109" s="30">
        <f t="shared" si="36"/>
        <v>5</v>
      </c>
      <c r="H109" s="30">
        <f t="shared" si="36"/>
        <v>5</v>
      </c>
      <c r="I109" s="30">
        <f t="shared" si="36"/>
        <v>0</v>
      </c>
      <c r="J109" s="30">
        <f t="shared" si="36"/>
        <v>0</v>
      </c>
      <c r="K109" s="30">
        <f t="shared" si="36"/>
        <v>5</v>
      </c>
      <c r="L109" s="33" t="s">
        <v>408</v>
      </c>
      <c r="M109" s="32" t="s">
        <v>35</v>
      </c>
    </row>
    <row r="110" spans="1:13" x14ac:dyDescent="0.25">
      <c r="A110" s="25" t="s">
        <v>402</v>
      </c>
      <c r="B110" s="25">
        <v>1</v>
      </c>
      <c r="C110" s="105" t="s">
        <v>396</v>
      </c>
      <c r="D110" s="10">
        <v>4505</v>
      </c>
      <c r="E110" s="10">
        <v>4</v>
      </c>
      <c r="F110" s="10">
        <v>7</v>
      </c>
      <c r="G110" s="25">
        <v>1</v>
      </c>
      <c r="H110" s="25">
        <v>1</v>
      </c>
      <c r="I110" s="25">
        <v>0</v>
      </c>
      <c r="J110" s="25">
        <v>0</v>
      </c>
      <c r="K110" s="25">
        <v>1</v>
      </c>
      <c r="L110" s="33" t="s">
        <v>408</v>
      </c>
      <c r="M110" s="24">
        <v>14</v>
      </c>
    </row>
    <row r="111" spans="1:13" x14ac:dyDescent="0.25">
      <c r="B111" s="25">
        <v>1</v>
      </c>
      <c r="C111" s="105" t="s">
        <v>397</v>
      </c>
      <c r="D111" s="10">
        <v>4508</v>
      </c>
      <c r="E111" s="10">
        <v>9</v>
      </c>
      <c r="F111" s="10">
        <v>14</v>
      </c>
      <c r="G111" s="25">
        <v>1</v>
      </c>
      <c r="H111" s="25">
        <v>1</v>
      </c>
      <c r="I111" s="25">
        <v>0</v>
      </c>
      <c r="J111" s="25">
        <v>0</v>
      </c>
      <c r="K111" s="25">
        <v>1</v>
      </c>
      <c r="L111" s="33" t="s">
        <v>408</v>
      </c>
      <c r="M111" s="24">
        <v>14</v>
      </c>
    </row>
    <row r="112" spans="1:13" x14ac:dyDescent="0.25">
      <c r="A112" s="23"/>
      <c r="B112" s="25">
        <v>1</v>
      </c>
      <c r="C112" s="105" t="s">
        <v>373</v>
      </c>
      <c r="D112" s="10">
        <v>4509</v>
      </c>
      <c r="E112" s="10">
        <v>10</v>
      </c>
      <c r="F112" s="10">
        <v>15</v>
      </c>
      <c r="G112" s="25">
        <v>1</v>
      </c>
      <c r="H112" s="25">
        <v>1</v>
      </c>
      <c r="I112" s="25">
        <v>0</v>
      </c>
      <c r="J112" s="25">
        <v>0</v>
      </c>
      <c r="K112" s="25">
        <v>1</v>
      </c>
      <c r="L112" s="33" t="s">
        <v>408</v>
      </c>
      <c r="M112" s="24">
        <v>14</v>
      </c>
    </row>
    <row r="113" spans="1:13" x14ac:dyDescent="0.25">
      <c r="B113" s="25">
        <v>1</v>
      </c>
      <c r="C113" s="105" t="s">
        <v>403</v>
      </c>
      <c r="D113" s="10">
        <v>4020</v>
      </c>
      <c r="E113" s="10">
        <v>13</v>
      </c>
      <c r="F113" s="10">
        <v>18</v>
      </c>
      <c r="G113" s="25">
        <v>1</v>
      </c>
      <c r="H113" s="25">
        <v>1</v>
      </c>
      <c r="I113" s="25">
        <v>0</v>
      </c>
      <c r="J113" s="25">
        <v>0</v>
      </c>
      <c r="K113" s="25">
        <v>1</v>
      </c>
      <c r="L113" s="33" t="s">
        <v>408</v>
      </c>
      <c r="M113" s="24">
        <v>14</v>
      </c>
    </row>
    <row r="114" spans="1:13" x14ac:dyDescent="0.25">
      <c r="B114" s="25">
        <v>1</v>
      </c>
      <c r="C114" s="105" t="s">
        <v>374</v>
      </c>
      <c r="D114" s="10">
        <v>4500</v>
      </c>
      <c r="E114" s="10">
        <v>5</v>
      </c>
      <c r="F114" s="10">
        <v>8</v>
      </c>
      <c r="G114" s="25">
        <v>1</v>
      </c>
      <c r="H114" s="25">
        <v>1</v>
      </c>
      <c r="I114" s="25">
        <v>0</v>
      </c>
      <c r="J114" s="25">
        <v>0</v>
      </c>
      <c r="K114" s="25">
        <v>1</v>
      </c>
      <c r="L114" s="33" t="s">
        <v>408</v>
      </c>
      <c r="M114" s="24">
        <v>14</v>
      </c>
    </row>
    <row r="115" spans="1:13" x14ac:dyDescent="0.25">
      <c r="J115" s="13">
        <v>0</v>
      </c>
    </row>
    <row r="116" spans="1:13" x14ac:dyDescent="0.25">
      <c r="A116" s="31" t="s">
        <v>336</v>
      </c>
      <c r="B116" s="25">
        <f>SUM(B117:B117)</f>
        <v>1</v>
      </c>
      <c r="C116" s="32" t="s">
        <v>35</v>
      </c>
      <c r="D116" s="32" t="s">
        <v>35</v>
      </c>
      <c r="E116" s="25">
        <f t="shared" ref="E116:K116" si="37">SUM(E117:E117)</f>
        <v>3</v>
      </c>
      <c r="F116" s="25">
        <f t="shared" si="37"/>
        <v>0</v>
      </c>
      <c r="G116" s="30">
        <f t="shared" si="37"/>
        <v>1</v>
      </c>
      <c r="H116" s="30">
        <f t="shared" si="37"/>
        <v>1</v>
      </c>
      <c r="I116" s="30">
        <f t="shared" si="37"/>
        <v>0</v>
      </c>
      <c r="J116" s="30">
        <f t="shared" si="37"/>
        <v>0</v>
      </c>
      <c r="K116" s="30">
        <f t="shared" si="37"/>
        <v>1</v>
      </c>
      <c r="L116" s="33" t="s">
        <v>408</v>
      </c>
      <c r="M116" s="32" t="s">
        <v>35</v>
      </c>
    </row>
    <row r="117" spans="1:13" x14ac:dyDescent="0.25">
      <c r="A117" s="25" t="s">
        <v>337</v>
      </c>
      <c r="B117" s="25">
        <v>1</v>
      </c>
      <c r="C117" s="105" t="s">
        <v>325</v>
      </c>
      <c r="D117" s="10">
        <v>4105</v>
      </c>
      <c r="E117" s="10">
        <v>3</v>
      </c>
      <c r="F117" s="10">
        <v>0</v>
      </c>
      <c r="G117" s="25">
        <v>1</v>
      </c>
      <c r="H117" s="25">
        <v>1</v>
      </c>
      <c r="I117" s="25">
        <v>0</v>
      </c>
      <c r="J117" s="25">
        <v>0</v>
      </c>
      <c r="K117" s="25">
        <v>1</v>
      </c>
      <c r="L117" s="33" t="s">
        <v>408</v>
      </c>
      <c r="M117" s="24">
        <v>14</v>
      </c>
    </row>
    <row r="119" spans="1:13" x14ac:dyDescent="0.25">
      <c r="A119" s="31" t="s">
        <v>343</v>
      </c>
      <c r="B119" s="25">
        <f>SUM(B120:B120)</f>
        <v>1</v>
      </c>
      <c r="C119" s="32" t="s">
        <v>35</v>
      </c>
      <c r="D119" s="32" t="s">
        <v>35</v>
      </c>
      <c r="E119" s="25">
        <f t="shared" ref="E119:K119" si="38">SUM(E120:E120)</f>
        <v>8</v>
      </c>
      <c r="F119" s="25">
        <f t="shared" si="38"/>
        <v>0</v>
      </c>
      <c r="G119" s="30">
        <f t="shared" si="38"/>
        <v>1</v>
      </c>
      <c r="H119" s="30">
        <f t="shared" si="38"/>
        <v>1</v>
      </c>
      <c r="I119" s="30">
        <f t="shared" si="38"/>
        <v>0</v>
      </c>
      <c r="J119" s="30">
        <f t="shared" si="38"/>
        <v>0</v>
      </c>
      <c r="K119" s="30">
        <f t="shared" si="38"/>
        <v>1</v>
      </c>
      <c r="L119" s="33" t="s">
        <v>408</v>
      </c>
      <c r="M119" s="32" t="s">
        <v>35</v>
      </c>
    </row>
    <row r="120" spans="1:13" x14ac:dyDescent="0.25">
      <c r="A120" s="25" t="s">
        <v>344</v>
      </c>
      <c r="B120" s="25">
        <v>1</v>
      </c>
      <c r="C120" s="105" t="s">
        <v>345</v>
      </c>
      <c r="D120" s="10">
        <v>4068</v>
      </c>
      <c r="E120" s="10">
        <v>8</v>
      </c>
      <c r="F120" s="10">
        <v>0</v>
      </c>
      <c r="G120" s="25">
        <v>1</v>
      </c>
      <c r="H120" s="25">
        <v>1</v>
      </c>
      <c r="I120" s="25">
        <v>0</v>
      </c>
      <c r="J120" s="25">
        <v>0</v>
      </c>
      <c r="K120" s="25">
        <v>1</v>
      </c>
      <c r="L120" s="33" t="s">
        <v>408</v>
      </c>
      <c r="M120" s="24">
        <v>14</v>
      </c>
    </row>
    <row r="122" spans="1:13" x14ac:dyDescent="0.25">
      <c r="A122" s="31" t="s">
        <v>349</v>
      </c>
      <c r="B122" s="25">
        <f>SUM(B123:B124)</f>
        <v>0</v>
      </c>
      <c r="C122" s="32" t="s">
        <v>35</v>
      </c>
      <c r="D122" s="32" t="s">
        <v>35</v>
      </c>
      <c r="E122" s="25">
        <f t="shared" ref="E122:K122" si="39">SUM(E123:E124)</f>
        <v>0</v>
      </c>
      <c r="F122" s="25">
        <f t="shared" si="39"/>
        <v>0</v>
      </c>
      <c r="G122" s="30">
        <f t="shared" si="39"/>
        <v>0</v>
      </c>
      <c r="H122" s="30">
        <f t="shared" si="39"/>
        <v>0</v>
      </c>
      <c r="I122" s="30">
        <f t="shared" si="39"/>
        <v>0</v>
      </c>
      <c r="J122" s="30">
        <f t="shared" si="39"/>
        <v>0</v>
      </c>
      <c r="K122" s="30">
        <f t="shared" si="39"/>
        <v>0</v>
      </c>
      <c r="L122" s="33" t="s">
        <v>411</v>
      </c>
      <c r="M122" s="32" t="s">
        <v>35</v>
      </c>
    </row>
    <row r="123" spans="1:13" x14ac:dyDescent="0.25">
      <c r="A123" s="25" t="s">
        <v>350</v>
      </c>
      <c r="B123" s="25"/>
      <c r="C123" s="105" t="s">
        <v>413</v>
      </c>
      <c r="D123" s="10"/>
      <c r="E123" s="10"/>
      <c r="F123" s="10"/>
      <c r="G123" s="25"/>
      <c r="H123" s="25"/>
      <c r="I123" s="25"/>
      <c r="J123" s="25"/>
      <c r="K123" s="25"/>
      <c r="L123" s="33" t="s">
        <v>411</v>
      </c>
      <c r="M123" s="24"/>
    </row>
    <row r="125" spans="1:13" x14ac:dyDescent="0.25">
      <c r="A125" s="31" t="s">
        <v>404</v>
      </c>
      <c r="B125" s="25">
        <f>SUM(B126:B127)</f>
        <v>2</v>
      </c>
      <c r="C125" s="32" t="s">
        <v>35</v>
      </c>
      <c r="D125" s="32" t="s">
        <v>35</v>
      </c>
      <c r="E125" s="25">
        <f t="shared" ref="E125:K125" si="40">SUM(E126:E127)</f>
        <v>12</v>
      </c>
      <c r="F125" s="25">
        <f t="shared" si="40"/>
        <v>19</v>
      </c>
      <c r="G125" s="30">
        <f t="shared" si="40"/>
        <v>2</v>
      </c>
      <c r="H125" s="30">
        <f t="shared" si="40"/>
        <v>2</v>
      </c>
      <c r="I125" s="30">
        <f t="shared" si="40"/>
        <v>0</v>
      </c>
      <c r="J125" s="30">
        <f t="shared" si="40"/>
        <v>0</v>
      </c>
      <c r="K125" s="30">
        <f t="shared" si="40"/>
        <v>2</v>
      </c>
      <c r="L125" s="33" t="s">
        <v>411</v>
      </c>
      <c r="M125" s="32" t="s">
        <v>35</v>
      </c>
    </row>
    <row r="126" spans="1:13" x14ac:dyDescent="0.25">
      <c r="A126" s="25" t="s">
        <v>354</v>
      </c>
      <c r="B126" s="25">
        <v>1</v>
      </c>
      <c r="C126" s="105" t="s">
        <v>405</v>
      </c>
      <c r="D126" s="10">
        <v>4285</v>
      </c>
      <c r="E126" s="10">
        <v>8</v>
      </c>
      <c r="F126" s="10">
        <v>12</v>
      </c>
      <c r="G126" s="25">
        <v>1</v>
      </c>
      <c r="H126" s="25">
        <v>1</v>
      </c>
      <c r="I126" s="25">
        <v>0</v>
      </c>
      <c r="J126" s="25">
        <v>0</v>
      </c>
      <c r="K126" s="25">
        <v>1</v>
      </c>
      <c r="L126" s="33" t="s">
        <v>411</v>
      </c>
      <c r="M126" s="24">
        <v>14</v>
      </c>
    </row>
    <row r="127" spans="1:13" x14ac:dyDescent="0.25">
      <c r="B127" s="25">
        <v>1</v>
      </c>
      <c r="C127" s="105" t="s">
        <v>169</v>
      </c>
      <c r="D127" s="10">
        <v>4300</v>
      </c>
      <c r="E127" s="10">
        <v>4</v>
      </c>
      <c r="F127" s="10">
        <v>7</v>
      </c>
      <c r="G127" s="25">
        <v>1</v>
      </c>
      <c r="H127" s="25">
        <v>1</v>
      </c>
      <c r="I127" s="25">
        <v>0</v>
      </c>
      <c r="J127" s="25">
        <v>0</v>
      </c>
      <c r="K127" s="25">
        <v>1</v>
      </c>
      <c r="L127" s="33" t="s">
        <v>411</v>
      </c>
      <c r="M127" s="24">
        <v>14</v>
      </c>
    </row>
  </sheetData>
  <mergeCells count="15">
    <mergeCell ref="L4:L6"/>
    <mergeCell ref="M4:M6"/>
    <mergeCell ref="I5:I6"/>
    <mergeCell ref="J5:J6"/>
    <mergeCell ref="K5:K6"/>
    <mergeCell ref="G5:G6"/>
    <mergeCell ref="H5:H6"/>
    <mergeCell ref="A4:A6"/>
    <mergeCell ref="B4:D4"/>
    <mergeCell ref="E4:K4"/>
    <mergeCell ref="B5:B6"/>
    <mergeCell ref="C5:C6"/>
    <mergeCell ref="D5:D6"/>
    <mergeCell ref="F5:F6"/>
    <mergeCell ref="E5:E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70"/>
  <sheetViews>
    <sheetView topLeftCell="A6" zoomScale="85" zoomScaleNormal="85" workbookViewId="0">
      <selection activeCell="K32" sqref="K32"/>
    </sheetView>
  </sheetViews>
  <sheetFormatPr defaultColWidth="9.140625" defaultRowHeight="15" x14ac:dyDescent="0.25"/>
  <cols>
    <col min="1" max="1" width="32.7109375" style="13" bestFit="1" customWidth="1"/>
    <col min="2" max="2" width="21.7109375" style="13" customWidth="1"/>
    <col min="3" max="3" width="41.42578125" style="22" customWidth="1"/>
    <col min="4" max="4" width="18.42578125" style="13" customWidth="1"/>
    <col min="5" max="5" width="17.85546875" style="13" bestFit="1" customWidth="1"/>
    <col min="6" max="7" width="8.85546875" style="13" customWidth="1"/>
    <col min="8" max="9" width="9.140625" style="13"/>
    <col min="10" max="10" width="9.140625" style="13" customWidth="1"/>
    <col min="11" max="22" width="9.140625" style="13"/>
    <col min="23" max="23" width="16.85546875" style="13" customWidth="1"/>
    <col min="24" max="16384" width="9.140625" style="13"/>
  </cols>
  <sheetData>
    <row r="1" spans="1:21" ht="34.5" x14ac:dyDescent="0.25">
      <c r="A1" s="194" t="s">
        <v>7</v>
      </c>
      <c r="B1" s="194"/>
      <c r="C1" s="4" t="s">
        <v>70</v>
      </c>
      <c r="D1" s="4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4" spans="1:21" ht="30" x14ac:dyDescent="0.25">
      <c r="A4" s="120" t="s">
        <v>68</v>
      </c>
      <c r="B4" s="120"/>
      <c r="C4" s="120"/>
      <c r="D4" s="120"/>
      <c r="E4" s="120"/>
      <c r="F4" s="120"/>
      <c r="G4" s="120"/>
      <c r="H4" s="120"/>
      <c r="I4" s="120"/>
    </row>
    <row r="6" spans="1:21" ht="30" customHeight="1" x14ac:dyDescent="0.25">
      <c r="F6" s="140" t="s">
        <v>65</v>
      </c>
      <c r="G6" s="142"/>
      <c r="H6" s="142"/>
      <c r="I6" s="141"/>
    </row>
    <row r="7" spans="1:21" s="19" customFormat="1" ht="49.5" customHeight="1" x14ac:dyDescent="0.25">
      <c r="A7" s="195" t="s">
        <v>69</v>
      </c>
      <c r="B7" s="196"/>
      <c r="C7" s="176" t="s">
        <v>63</v>
      </c>
      <c r="D7" s="176" t="s">
        <v>64</v>
      </c>
      <c r="E7" s="176" t="s">
        <v>66</v>
      </c>
      <c r="F7" s="176" t="s">
        <v>161</v>
      </c>
      <c r="G7" s="176" t="s">
        <v>148</v>
      </c>
      <c r="H7" s="176" t="s">
        <v>144</v>
      </c>
      <c r="I7" s="176" t="s">
        <v>145</v>
      </c>
      <c r="J7" s="85" t="s">
        <v>146</v>
      </c>
    </row>
    <row r="8" spans="1:21" s="19" customFormat="1" ht="19.5" customHeight="1" thickBot="1" x14ac:dyDescent="0.3">
      <c r="A8" s="197"/>
      <c r="B8" s="198"/>
      <c r="C8" s="199"/>
      <c r="D8" s="199"/>
      <c r="E8" s="199"/>
      <c r="F8" s="199"/>
      <c r="G8" s="199"/>
      <c r="H8" s="199"/>
      <c r="I8" s="199"/>
      <c r="J8" s="15"/>
    </row>
    <row r="9" spans="1:21" ht="18.75" customHeight="1" x14ac:dyDescent="0.25">
      <c r="A9" s="179" t="s">
        <v>162</v>
      </c>
      <c r="B9" s="180"/>
      <c r="C9" s="37" t="s">
        <v>56</v>
      </c>
      <c r="D9" s="38">
        <v>74</v>
      </c>
      <c r="E9" s="112">
        <v>135</v>
      </c>
      <c r="F9" s="86">
        <v>135</v>
      </c>
      <c r="G9" s="86">
        <v>135</v>
      </c>
      <c r="H9" s="86">
        <v>135</v>
      </c>
      <c r="I9" s="87">
        <v>135</v>
      </c>
    </row>
    <row r="10" spans="1:21" ht="18.75" customHeight="1" x14ac:dyDescent="0.25">
      <c r="A10" s="181"/>
      <c r="B10" s="182"/>
      <c r="C10" s="88" t="s">
        <v>147</v>
      </c>
      <c r="D10" s="82">
        <v>74</v>
      </c>
      <c r="E10" s="113">
        <v>110</v>
      </c>
      <c r="F10" s="89">
        <v>10</v>
      </c>
      <c r="G10" s="89">
        <v>30</v>
      </c>
      <c r="H10" s="89">
        <v>110</v>
      </c>
      <c r="I10" s="90">
        <v>10</v>
      </c>
    </row>
    <row r="11" spans="1:21" ht="18" customHeight="1" x14ac:dyDescent="0.25">
      <c r="A11" s="181"/>
      <c r="B11" s="182"/>
      <c r="C11" s="27" t="s">
        <v>43</v>
      </c>
      <c r="D11" s="34">
        <v>62</v>
      </c>
      <c r="E11" s="114">
        <v>4</v>
      </c>
      <c r="F11" s="91">
        <v>4</v>
      </c>
      <c r="G11" s="91">
        <v>4</v>
      </c>
      <c r="H11" s="91">
        <v>4</v>
      </c>
      <c r="I11" s="92">
        <v>0</v>
      </c>
    </row>
    <row r="12" spans="1:21" ht="18" customHeight="1" x14ac:dyDescent="0.25">
      <c r="A12" s="181"/>
      <c r="B12" s="182"/>
      <c r="C12" s="27" t="s">
        <v>44</v>
      </c>
      <c r="D12" s="34">
        <v>74</v>
      </c>
      <c r="E12" s="114">
        <v>15</v>
      </c>
      <c r="F12" s="91">
        <v>15</v>
      </c>
      <c r="G12" s="91">
        <v>15</v>
      </c>
      <c r="H12" s="91">
        <v>15</v>
      </c>
      <c r="I12" s="92">
        <v>15</v>
      </c>
    </row>
    <row r="13" spans="1:21" ht="18" customHeight="1" x14ac:dyDescent="0.25">
      <c r="A13" s="181"/>
      <c r="B13" s="182"/>
      <c r="C13" s="27" t="s">
        <v>58</v>
      </c>
      <c r="D13" s="34">
        <v>74</v>
      </c>
      <c r="E13" s="114">
        <v>3</v>
      </c>
      <c r="F13" s="91">
        <v>3</v>
      </c>
      <c r="G13" s="91">
        <v>3</v>
      </c>
      <c r="H13" s="91">
        <v>3</v>
      </c>
      <c r="I13" s="92">
        <v>3</v>
      </c>
    </row>
    <row r="14" spans="1:21" ht="18" customHeight="1" x14ac:dyDescent="0.25">
      <c r="A14" s="181"/>
      <c r="B14" s="182"/>
      <c r="C14" s="27" t="s">
        <v>46</v>
      </c>
      <c r="D14" s="34">
        <v>62</v>
      </c>
      <c r="E14" s="114">
        <v>30</v>
      </c>
      <c r="F14" s="93">
        <v>30</v>
      </c>
      <c r="G14" s="93">
        <v>30</v>
      </c>
      <c r="H14" s="93">
        <v>30</v>
      </c>
      <c r="I14" s="94">
        <v>0</v>
      </c>
    </row>
    <row r="15" spans="1:21" ht="18" customHeight="1" x14ac:dyDescent="0.25">
      <c r="A15" s="181"/>
      <c r="B15" s="182"/>
      <c r="C15" s="27" t="s">
        <v>151</v>
      </c>
      <c r="D15" s="34">
        <v>62</v>
      </c>
      <c r="E15" s="114">
        <v>2</v>
      </c>
      <c r="F15" s="93">
        <v>2</v>
      </c>
      <c r="G15" s="93">
        <v>2</v>
      </c>
      <c r="H15" s="93">
        <v>2</v>
      </c>
      <c r="I15" s="94">
        <v>0</v>
      </c>
    </row>
    <row r="16" spans="1:21" ht="18" customHeight="1" thickBot="1" x14ac:dyDescent="0.3">
      <c r="A16" s="181"/>
      <c r="B16" s="182"/>
      <c r="C16" s="27" t="s">
        <v>59</v>
      </c>
      <c r="D16" s="34">
        <v>62</v>
      </c>
      <c r="E16" s="114">
        <v>40</v>
      </c>
      <c r="F16" s="91">
        <v>40</v>
      </c>
      <c r="G16" s="91">
        <v>40</v>
      </c>
      <c r="H16" s="91">
        <v>40</v>
      </c>
      <c r="I16" s="92">
        <v>0</v>
      </c>
    </row>
    <row r="17" spans="1:19" ht="28.5" customHeight="1" x14ac:dyDescent="0.25">
      <c r="A17" s="181"/>
      <c r="B17" s="182"/>
      <c r="C17" s="101" t="s">
        <v>165</v>
      </c>
      <c r="D17" s="34">
        <v>62</v>
      </c>
      <c r="E17" s="114">
        <v>11</v>
      </c>
      <c r="F17" s="102">
        <v>11</v>
      </c>
      <c r="G17" s="102">
        <v>11</v>
      </c>
      <c r="H17" s="102">
        <v>11</v>
      </c>
      <c r="I17" s="103">
        <v>0</v>
      </c>
      <c r="K17" s="185" t="s">
        <v>159</v>
      </c>
      <c r="L17" s="186"/>
      <c r="M17" s="186"/>
      <c r="N17" s="186"/>
      <c r="O17" s="186"/>
      <c r="P17" s="186"/>
      <c r="Q17" s="186"/>
      <c r="R17" s="187"/>
    </row>
    <row r="18" spans="1:19" ht="28.5" x14ac:dyDescent="0.25">
      <c r="A18" s="181"/>
      <c r="B18" s="182"/>
      <c r="C18" s="101" t="s">
        <v>166</v>
      </c>
      <c r="D18" s="34">
        <v>62</v>
      </c>
      <c r="E18" s="114">
        <v>7</v>
      </c>
      <c r="F18" s="102">
        <v>7</v>
      </c>
      <c r="G18" s="102">
        <v>7</v>
      </c>
      <c r="H18" s="102">
        <v>7</v>
      </c>
      <c r="I18" s="103">
        <v>0</v>
      </c>
      <c r="K18" s="188"/>
      <c r="L18" s="189"/>
      <c r="M18" s="189"/>
      <c r="N18" s="189"/>
      <c r="O18" s="189"/>
      <c r="P18" s="189"/>
      <c r="Q18" s="189"/>
      <c r="R18" s="190"/>
    </row>
    <row r="19" spans="1:19" ht="18" customHeight="1" x14ac:dyDescent="0.25">
      <c r="A19" s="181"/>
      <c r="B19" s="182"/>
      <c r="C19" s="27" t="s">
        <v>62</v>
      </c>
      <c r="D19" s="34">
        <v>62</v>
      </c>
      <c r="E19" s="114">
        <v>10</v>
      </c>
      <c r="F19" s="93">
        <v>10</v>
      </c>
      <c r="G19" s="93">
        <v>10</v>
      </c>
      <c r="H19" s="93">
        <v>10</v>
      </c>
      <c r="I19" s="94">
        <v>0</v>
      </c>
      <c r="K19" s="188"/>
      <c r="L19" s="189"/>
      <c r="M19" s="189"/>
      <c r="N19" s="189"/>
      <c r="O19" s="189"/>
      <c r="P19" s="189"/>
      <c r="Q19" s="189"/>
      <c r="R19" s="190"/>
    </row>
    <row r="20" spans="1:19" ht="18" customHeight="1" x14ac:dyDescent="0.25">
      <c r="A20" s="181"/>
      <c r="B20" s="182"/>
      <c r="C20" s="27" t="s">
        <v>38</v>
      </c>
      <c r="D20" s="34">
        <v>62</v>
      </c>
      <c r="E20" s="114">
        <v>8</v>
      </c>
      <c r="F20" s="93">
        <v>8</v>
      </c>
      <c r="G20" s="93">
        <v>8</v>
      </c>
      <c r="H20" s="93">
        <v>8</v>
      </c>
      <c r="I20" s="94">
        <v>0</v>
      </c>
      <c r="K20" s="188"/>
      <c r="L20" s="189"/>
      <c r="M20" s="189"/>
      <c r="N20" s="189"/>
      <c r="O20" s="189"/>
      <c r="P20" s="189"/>
      <c r="Q20" s="189"/>
      <c r="R20" s="190"/>
    </row>
    <row r="21" spans="1:19" ht="18" customHeight="1" x14ac:dyDescent="0.25">
      <c r="A21" s="181"/>
      <c r="B21" s="182"/>
      <c r="C21" s="27" t="s">
        <v>47</v>
      </c>
      <c r="D21" s="34">
        <v>74</v>
      </c>
      <c r="E21" s="114">
        <v>1</v>
      </c>
      <c r="F21" s="93">
        <v>1</v>
      </c>
      <c r="G21" s="93">
        <v>1</v>
      </c>
      <c r="H21" s="93">
        <v>1</v>
      </c>
      <c r="I21" s="94">
        <v>1</v>
      </c>
      <c r="K21" s="188"/>
      <c r="L21" s="189"/>
      <c r="M21" s="189"/>
      <c r="N21" s="189"/>
      <c r="O21" s="189"/>
      <c r="P21" s="189"/>
      <c r="Q21" s="189"/>
      <c r="R21" s="190"/>
    </row>
    <row r="22" spans="1:19" ht="18" customHeight="1" x14ac:dyDescent="0.25">
      <c r="A22" s="181"/>
      <c r="B22" s="182"/>
      <c r="C22" s="27" t="s">
        <v>48</v>
      </c>
      <c r="D22" s="34">
        <v>74</v>
      </c>
      <c r="E22" s="114">
        <v>1</v>
      </c>
      <c r="F22" s="93">
        <v>1</v>
      </c>
      <c r="G22" s="93">
        <v>1</v>
      </c>
      <c r="H22" s="93">
        <v>1</v>
      </c>
      <c r="I22" s="94">
        <v>1</v>
      </c>
      <c r="K22" s="188"/>
      <c r="L22" s="189"/>
      <c r="M22" s="189"/>
      <c r="N22" s="189"/>
      <c r="O22" s="189"/>
      <c r="P22" s="189"/>
      <c r="Q22" s="189"/>
      <c r="R22" s="190"/>
    </row>
    <row r="23" spans="1:19" ht="18" customHeight="1" x14ac:dyDescent="0.25">
      <c r="A23" s="181"/>
      <c r="B23" s="182"/>
      <c r="C23" s="27" t="s">
        <v>49</v>
      </c>
      <c r="D23" s="34">
        <v>74</v>
      </c>
      <c r="E23" s="114">
        <v>1</v>
      </c>
      <c r="F23" s="93">
        <v>1</v>
      </c>
      <c r="G23" s="93">
        <v>1</v>
      </c>
      <c r="H23" s="93">
        <v>1</v>
      </c>
      <c r="I23" s="94">
        <v>1</v>
      </c>
      <c r="K23" s="188"/>
      <c r="L23" s="189"/>
      <c r="M23" s="189"/>
      <c r="N23" s="189"/>
      <c r="O23" s="189"/>
      <c r="P23" s="189"/>
      <c r="Q23" s="189"/>
      <c r="R23" s="190"/>
      <c r="S23" s="81"/>
    </row>
    <row r="24" spans="1:19" ht="18" customHeight="1" x14ac:dyDescent="0.25">
      <c r="A24" s="181"/>
      <c r="B24" s="182"/>
      <c r="C24" s="27" t="s">
        <v>50</v>
      </c>
      <c r="D24" s="34">
        <v>62</v>
      </c>
      <c r="E24" s="108">
        <v>1</v>
      </c>
      <c r="F24" s="93">
        <v>1</v>
      </c>
      <c r="G24" s="93">
        <v>1</v>
      </c>
      <c r="H24" s="93">
        <v>1</v>
      </c>
      <c r="I24" s="94">
        <v>0</v>
      </c>
      <c r="K24" s="188"/>
      <c r="L24" s="189"/>
      <c r="M24" s="189"/>
      <c r="N24" s="189"/>
      <c r="O24" s="189"/>
      <c r="P24" s="189"/>
      <c r="Q24" s="189"/>
      <c r="R24" s="190"/>
      <c r="S24" s="81"/>
    </row>
    <row r="25" spans="1:19" ht="18" customHeight="1" thickBot="1" x14ac:dyDescent="0.3">
      <c r="A25" s="181"/>
      <c r="B25" s="182"/>
      <c r="C25" s="27" t="s">
        <v>51</v>
      </c>
      <c r="D25" s="34">
        <v>62</v>
      </c>
      <c r="E25" s="108">
        <v>1</v>
      </c>
      <c r="F25" s="93">
        <v>1</v>
      </c>
      <c r="G25" s="93">
        <v>1</v>
      </c>
      <c r="H25" s="93">
        <v>1</v>
      </c>
      <c r="I25" s="94">
        <v>0</v>
      </c>
      <c r="K25" s="191"/>
      <c r="L25" s="192"/>
      <c r="M25" s="192"/>
      <c r="N25" s="192"/>
      <c r="O25" s="192"/>
      <c r="P25" s="192"/>
      <c r="Q25" s="192"/>
      <c r="R25" s="193"/>
    </row>
    <row r="26" spans="1:19" ht="18" customHeight="1" x14ac:dyDescent="0.25">
      <c r="A26" s="181"/>
      <c r="B26" s="182"/>
      <c r="C26" s="27" t="s">
        <v>36</v>
      </c>
      <c r="D26" s="34">
        <v>74</v>
      </c>
      <c r="E26" s="108">
        <v>1</v>
      </c>
      <c r="F26" s="93">
        <v>1</v>
      </c>
      <c r="G26" s="93">
        <v>1</v>
      </c>
      <c r="H26" s="93">
        <v>1</v>
      </c>
      <c r="I26" s="94">
        <v>1</v>
      </c>
    </row>
    <row r="27" spans="1:19" ht="18" customHeight="1" x14ac:dyDescent="0.25">
      <c r="A27" s="181"/>
      <c r="B27" s="182"/>
      <c r="C27" s="27" t="s">
        <v>52</v>
      </c>
      <c r="D27" s="34">
        <v>74</v>
      </c>
      <c r="E27" s="108">
        <v>1</v>
      </c>
      <c r="F27" s="93">
        <v>1</v>
      </c>
      <c r="G27" s="93">
        <v>1</v>
      </c>
      <c r="H27" s="93">
        <v>1</v>
      </c>
      <c r="I27" s="94">
        <v>1</v>
      </c>
    </row>
    <row r="28" spans="1:19" ht="18" customHeight="1" x14ac:dyDescent="0.25">
      <c r="A28" s="181"/>
      <c r="B28" s="182"/>
      <c r="C28" s="27" t="s">
        <v>53</v>
      </c>
      <c r="D28" s="34">
        <v>74</v>
      </c>
      <c r="E28" s="108">
        <v>1</v>
      </c>
      <c r="F28" s="93">
        <v>1</v>
      </c>
      <c r="G28" s="93">
        <v>1</v>
      </c>
      <c r="H28" s="93">
        <v>1</v>
      </c>
      <c r="I28" s="94">
        <v>1</v>
      </c>
    </row>
    <row r="29" spans="1:19" ht="18" customHeight="1" thickBot="1" x14ac:dyDescent="0.3">
      <c r="A29" s="183"/>
      <c r="B29" s="184"/>
      <c r="C29" s="40"/>
      <c r="D29" s="39"/>
      <c r="E29" s="109"/>
      <c r="F29" s="95"/>
      <c r="G29" s="95"/>
      <c r="H29" s="95"/>
      <c r="I29" s="96"/>
    </row>
    <row r="30" spans="1:19" ht="15.75" hidden="1" customHeight="1" x14ac:dyDescent="0.25">
      <c r="C30" s="35"/>
      <c r="D30" s="26"/>
      <c r="E30" s="110"/>
      <c r="F30" s="23" t="e">
        <f>SUM(#REF!*#REF!)*#REF!</f>
        <v>#REF!</v>
      </c>
      <c r="G30" s="23"/>
      <c r="H30" s="23" t="e">
        <f>SUM(#REF!*#REF!)*#REF!</f>
        <v>#REF!</v>
      </c>
      <c r="I30" s="23" t="e">
        <f>SUM(#REF!*#REF!)*#REF!</f>
        <v>#REF!</v>
      </c>
    </row>
    <row r="31" spans="1:19" ht="15" customHeight="1" x14ac:dyDescent="0.25">
      <c r="A31" s="179" t="s">
        <v>163</v>
      </c>
      <c r="B31" s="180"/>
      <c r="C31" s="88" t="s">
        <v>152</v>
      </c>
      <c r="D31" s="82">
        <v>62</v>
      </c>
      <c r="E31" s="107">
        <v>0</v>
      </c>
      <c r="F31" s="89">
        <v>0</v>
      </c>
      <c r="G31" s="89">
        <v>0</v>
      </c>
      <c r="H31" s="89">
        <v>0</v>
      </c>
      <c r="I31" s="90">
        <v>0</v>
      </c>
    </row>
    <row r="32" spans="1:19" ht="15" customHeight="1" x14ac:dyDescent="0.25">
      <c r="A32" s="181"/>
      <c r="B32" s="182"/>
      <c r="C32" s="27" t="s">
        <v>45</v>
      </c>
      <c r="D32" s="34">
        <v>74</v>
      </c>
      <c r="E32" s="108">
        <v>0</v>
      </c>
      <c r="F32" s="91">
        <v>0</v>
      </c>
      <c r="G32" s="91">
        <v>0</v>
      </c>
      <c r="H32" s="91">
        <v>0</v>
      </c>
      <c r="I32" s="92">
        <v>0</v>
      </c>
    </row>
    <row r="33" spans="1:9" ht="15" customHeight="1" x14ac:dyDescent="0.25">
      <c r="A33" s="181"/>
      <c r="B33" s="182"/>
      <c r="C33" s="97" t="s">
        <v>54</v>
      </c>
      <c r="D33" s="98">
        <v>74</v>
      </c>
      <c r="E33" s="111">
        <v>1</v>
      </c>
      <c r="F33" s="99">
        <v>1</v>
      </c>
      <c r="G33" s="99">
        <v>1</v>
      </c>
      <c r="H33" s="99">
        <v>1</v>
      </c>
      <c r="I33" s="100">
        <v>1</v>
      </c>
    </row>
    <row r="34" spans="1:9" ht="15.75" customHeight="1" thickBot="1" x14ac:dyDescent="0.3">
      <c r="A34" s="183"/>
      <c r="B34" s="184"/>
      <c r="C34" s="115" t="s">
        <v>423</v>
      </c>
      <c r="D34" s="116">
        <v>35</v>
      </c>
      <c r="E34" s="116" t="s">
        <v>424</v>
      </c>
      <c r="F34" s="116">
        <v>0</v>
      </c>
      <c r="G34" s="116" t="s">
        <v>424</v>
      </c>
      <c r="H34" s="116" t="s">
        <v>424</v>
      </c>
      <c r="I34" s="117">
        <v>0</v>
      </c>
    </row>
    <row r="35" spans="1:9" x14ac:dyDescent="0.25">
      <c r="A35" s="22"/>
      <c r="C35" s="13"/>
    </row>
    <row r="36" spans="1:9" x14ac:dyDescent="0.25">
      <c r="A36" s="22"/>
      <c r="C36" s="13"/>
    </row>
    <row r="37" spans="1:9" x14ac:dyDescent="0.25">
      <c r="A37" s="22"/>
      <c r="C37" s="13"/>
    </row>
    <row r="38" spans="1:9" x14ac:dyDescent="0.25">
      <c r="A38" s="22"/>
      <c r="C38" s="13"/>
    </row>
    <row r="39" spans="1:9" x14ac:dyDescent="0.25">
      <c r="A39" s="22"/>
      <c r="C39" s="13"/>
    </row>
    <row r="40" spans="1:9" x14ac:dyDescent="0.25">
      <c r="A40" s="22"/>
      <c r="C40" s="13"/>
    </row>
    <row r="41" spans="1:9" x14ac:dyDescent="0.25">
      <c r="A41" s="22"/>
      <c r="C41" s="13"/>
    </row>
    <row r="42" spans="1:9" x14ac:dyDescent="0.25">
      <c r="A42" s="22"/>
      <c r="C42" s="13"/>
    </row>
    <row r="43" spans="1:9" x14ac:dyDescent="0.25">
      <c r="A43" s="22"/>
      <c r="C43" s="13"/>
    </row>
    <row r="44" spans="1:9" x14ac:dyDescent="0.25">
      <c r="A44" s="22"/>
      <c r="C44" s="13"/>
    </row>
    <row r="45" spans="1:9" x14ac:dyDescent="0.25">
      <c r="A45" s="22"/>
      <c r="C45" s="13"/>
    </row>
    <row r="46" spans="1:9" x14ac:dyDescent="0.25">
      <c r="A46" s="22"/>
      <c r="C46" s="13"/>
    </row>
    <row r="47" spans="1:9" x14ac:dyDescent="0.25">
      <c r="A47" s="22"/>
      <c r="C47" s="13"/>
    </row>
    <row r="69" spans="1:3" x14ac:dyDescent="0.25">
      <c r="A69" s="22"/>
      <c r="C69" s="13"/>
    </row>
    <row r="70" spans="1:3" x14ac:dyDescent="0.25">
      <c r="A70" s="22"/>
      <c r="C70" s="13"/>
    </row>
  </sheetData>
  <mergeCells count="14">
    <mergeCell ref="A9:B29"/>
    <mergeCell ref="K17:R25"/>
    <mergeCell ref="A31:B34"/>
    <mergeCell ref="A1:B1"/>
    <mergeCell ref="A4:I4"/>
    <mergeCell ref="A7:B8"/>
    <mergeCell ref="E7:E8"/>
    <mergeCell ref="D7:D8"/>
    <mergeCell ref="C7:C8"/>
    <mergeCell ref="F6:I6"/>
    <mergeCell ref="I7:I8"/>
    <mergeCell ref="H7:H8"/>
    <mergeCell ref="G7:G8"/>
    <mergeCell ref="F7:F8"/>
  </mergeCells>
  <pageMargins left="0.7" right="0.7" top="0.75" bottom="0.75" header="0.3" footer="0.3"/>
  <pageSetup paperSize="9" scale="33" orientation="landscape" r:id="rId1"/>
  <drawing r:id="rId2"/>
</worksheet>
</file>

<file path=customXML/_rels/item2.xml.rels>&#65279;<?xml version="1.0" encoding="utf-8"?><Relationships xmlns="http://schemas.openxmlformats.org/package/2006/relationships"><Relationship Type="http://schemas.openxmlformats.org/officeDocument/2006/relationships/customXmlProps" Target="/customXML/itemProps2.xml" Id="Rd3c4172d526e4b2384ade4b889302c76" /></Relationships>
</file>

<file path=customXML/item2.xml><?xml version="1.0" encoding="utf-8"?>
<metadata xmlns="http://www.objective.com/ecm/document/metadata/0B3863E18DF240919C16D6794A52FDA5" version="1.0.0">
  <systemFields>
    <field name="Objective-Id">
      <value order="0">A7824690</value>
    </field>
    <field name="Objective-Title">
      <value order="0">Request for Tender - SRC006427 - Annexure D - Pricing Schedule Template - Queensland</value>
    </field>
    <field name="Objective-Description">
      <value order="0"/>
    </field>
    <field name="Objective-CreationStamp">
      <value order="0">2026-06-05T05:50:20Z</value>
    </field>
    <field name="Objective-IsApproved">
      <value order="0">false</value>
    </field>
    <field name="Objective-IsPublished">
      <value order="0">true</value>
    </field>
    <field name="Objective-DatePublished">
      <value order="0">2026-06-05T05:50:22Z</value>
    </field>
    <field name="Objective-ModificationStamp">
      <value order="0">2026-06-10T00:40:03Z</value>
    </field>
    <field name="Objective-Owner">
      <value order="0">Michael Pal</value>
    </field>
    <field name="Objective-Path">
      <value order="0">Objective Global Folder:AEC File Plan:Deputy Electoral Commissioner:Service Delivery Group:Event Workforce, Property and Supply Chain Branch: Event Property and Supply Chain:Supply Chain:07. Furniture:SRC006247 - Provision of furniture, warehousing and other equipment for Electoral Events:01. SRC006247 - For Clearance - Provision of furniture, warehousing and other equipment for events:Stage 1 Review:Annexures</value>
    </field>
    <field name="Objective-Parent">
      <value order="0">Annexures</value>
    </field>
    <field name="Objective-State">
      <value order="0">Published</value>
    </field>
    <field name="Objective-VersionId">
      <value order="0">vA10201997</value>
    </field>
    <field name="Objective-Version">
      <value order="0">1.0</value>
    </field>
    <field name="Objective-VersionNumber">
      <value order="0">1</value>
    </field>
    <field name="Objective-VersionComment">
      <value order="0"/>
    </field>
    <field name="Objective-FileNumber">
      <value order="0">2026/3743</value>
    </field>
    <field name="Objective-Classification">
      <value order="0">OFFICIAL</value>
    </field>
    <field name="Objective-Caveats">
      <value order="0"/>
    </field>
  </systemFields>
  <catalogues>
    <catalogue name="Document Type Catalogue" type="type" ori="id:cA91">
      <field name="Objective-Next Review Date">
        <value order="0"/>
      </field>
      <field name="Objective-Document approver">
        <value order="0"/>
      </field>
      <field name="Objective-Approver role">
        <value order="0"/>
      </field>
      <field name="Objective-Date approved">
        <value order="0"/>
      </field>
      <field name="Objective-Version approved">
        <value order="0"/>
      </field>
      <field name="Objective-Approval history">
        <value order="0"/>
      </field>
    </catalogue>
  </catalogues>
</metadata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0B3863E18DF240919C16D6794A52FD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 Group 1 </vt:lpstr>
      <vt:lpstr>Contents</vt:lpstr>
      <vt:lpstr>1. Pricing Schedule</vt:lpstr>
      <vt:lpstr>2. Volume Discounts</vt:lpstr>
      <vt:lpstr>3. Additional Services</vt:lpstr>
      <vt:lpstr>4. Static Polling Places</vt:lpstr>
      <vt:lpstr>5. Pre-Polling Voting Centre</vt:lpstr>
      <vt:lpstr>6. Out-Posted Centre </vt:lpstr>
    </vt:vector>
  </TitlesOfParts>
  <Company>Australian Electoral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Carvalho</dc:creator>
  <cp:lastModifiedBy>Michael Pal</cp:lastModifiedBy>
  <cp:lastPrinted>2021-06-14T06:00:59Z</cp:lastPrinted>
  <dcterms:created xsi:type="dcterms:W3CDTF">2020-11-13T02:58:37Z</dcterms:created>
  <dcterms:modified xsi:type="dcterms:W3CDTF">2026-06-05T05:45:15Z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A7824690</vt:lpwstr>
  </property>
  <property fmtid="{D5CDD505-2E9C-101B-9397-08002B2CF9AE}" pid="4" name="Objective-Title">
    <vt:lpwstr>Request for Tender - SRC006427 - Annexure D - Pricing Schedule Template - Queensland</vt:lpwstr>
  </property>
  <property fmtid="{D5CDD505-2E9C-101B-9397-08002B2CF9AE}" pid="5" name="Objective-Description">
    <vt:lpwstr/>
  </property>
  <property fmtid="{D5CDD505-2E9C-101B-9397-08002B2CF9AE}" pid="6" name="Objective-CreationStamp">
    <vt:filetime>2026-06-05T05:50:20Z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2026-06-05T05:50:22Z</vt:filetime>
  </property>
  <property fmtid="{D5CDD505-2E9C-101B-9397-08002B2CF9AE}" pid="10" name="Objective-ModificationStamp">
    <vt:filetime>2026-06-10T00:40:03Z</vt:filetime>
  </property>
  <property fmtid="{D5CDD505-2E9C-101B-9397-08002B2CF9AE}" pid="11" name="Objective-Owner">
    <vt:lpwstr>Michael Pal</vt:lpwstr>
  </property>
  <property fmtid="{D5CDD505-2E9C-101B-9397-08002B2CF9AE}" pid="12" name="Objective-Path">
    <vt:lpwstr>Objective Global Folder:AEC File Plan:Deputy Electoral Commissioner:Service Delivery Group:Event Workforce, Property and Supply Chain Branch: Event Property and Supply Chain:Supply Chain:07. Furniture:SRC006247 - Provision of furniture, warehousing and other equipment for Electoral Events:01. SRC006247 - For Clearance - Provision of furniture, warehousing and other equipment for events:Stage 1 Review:Annexures</vt:lpwstr>
  </property>
  <property fmtid="{D5CDD505-2E9C-101B-9397-08002B2CF9AE}" pid="13" name="Objective-Parent">
    <vt:lpwstr>Annexures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vA10201997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/>
  </property>
  <property fmtid="{D5CDD505-2E9C-101B-9397-08002B2CF9AE}" pid="19" name="Objective-FileNumber">
    <vt:lpwstr>2026/3743</vt:lpwstr>
  </property>
  <property fmtid="{D5CDD505-2E9C-101B-9397-08002B2CF9AE}" pid="20" name="Objective-Classification">
    <vt:lpwstr>OFFICIAL</vt:lpwstr>
  </property>
  <property fmtid="{D5CDD505-2E9C-101B-9397-08002B2CF9AE}" pid="21" name="Objective-Caveats">
    <vt:lpwstr/>
  </property>
  <property fmtid="{D5CDD505-2E9C-101B-9397-08002B2CF9AE}" pid="22" name="Objective-Comment">
    <vt:lpwstr/>
  </property>
  <property fmtid="{D5CDD505-2E9C-101B-9397-08002B2CF9AE}" pid="23" name="MSIP_Label_cbfd5943-f87e-40ae-9ab7-ca0a2fbb12c2_Enabled">
    <vt:lpwstr>true</vt:lpwstr>
  </property>
  <property fmtid="{D5CDD505-2E9C-101B-9397-08002B2CF9AE}" pid="24" name="MSIP_Label_cbfd5943-f87e-40ae-9ab7-ca0a2fbb12c2_SetDate">
    <vt:lpwstr>2026-03-03T23:57:45Z</vt:lpwstr>
  </property>
  <property fmtid="{D5CDD505-2E9C-101B-9397-08002B2CF9AE}" pid="25" name="MSIP_Label_cbfd5943-f87e-40ae-9ab7-ca0a2fbb12c2_Method">
    <vt:lpwstr>Privileged</vt:lpwstr>
  </property>
  <property fmtid="{D5CDD505-2E9C-101B-9397-08002B2CF9AE}" pid="26" name="MSIP_Label_cbfd5943-f87e-40ae-9ab7-ca0a2fbb12c2_Name">
    <vt:lpwstr>OFFICIAL</vt:lpwstr>
  </property>
  <property fmtid="{D5CDD505-2E9C-101B-9397-08002B2CF9AE}" pid="27" name="MSIP_Label_cbfd5943-f87e-40ae-9ab7-ca0a2fbb12c2_SiteId">
    <vt:lpwstr>c1eefc4f-a78a-4616-a218-48ba01757af3</vt:lpwstr>
  </property>
  <property fmtid="{D5CDD505-2E9C-101B-9397-08002B2CF9AE}" pid="28" name="MSIP_Label_cbfd5943-f87e-40ae-9ab7-ca0a2fbb12c2_ActionId">
    <vt:lpwstr>a8d5e407-f36d-46a8-a163-17c2b18239ff</vt:lpwstr>
  </property>
  <property fmtid="{D5CDD505-2E9C-101B-9397-08002B2CF9AE}" pid="29" name="MSIP_Label_cbfd5943-f87e-40ae-9ab7-ca0a2fbb12c2_ContentBits">
    <vt:lpwstr>0</vt:lpwstr>
  </property>
  <property fmtid="{D5CDD505-2E9C-101B-9397-08002B2CF9AE}" pid="30" name="MSIP_Label_cbfd5943-f87e-40ae-9ab7-ca0a2fbb12c2_Tag">
    <vt:lpwstr>10, 0, 1, 1</vt:lpwstr>
  </property>
  <property fmtid="{D5CDD505-2E9C-101B-9397-08002B2CF9AE}" pid="31" name="Objective-Next Review Date">
    <vt:lpwstr/>
  </property>
  <property fmtid="{D5CDD505-2E9C-101B-9397-08002B2CF9AE}" pid="32" name="Objective-Document approver">
    <vt:lpwstr/>
  </property>
  <property fmtid="{D5CDD505-2E9C-101B-9397-08002B2CF9AE}" pid="33" name="Objective-Approver role">
    <vt:lpwstr/>
  </property>
  <property fmtid="{D5CDD505-2E9C-101B-9397-08002B2CF9AE}" pid="34" name="Objective-Date approved">
    <vt:lpwstr/>
  </property>
  <property fmtid="{D5CDD505-2E9C-101B-9397-08002B2CF9AE}" pid="35" name="Objective-Version approved">
    <vt:lpwstr/>
  </property>
  <property fmtid="{D5CDD505-2E9C-101B-9397-08002B2CF9AE}" pid="36" name="Objective-Approval history">
    <vt:lpwstr/>
  </property>
</Properties>
</file>