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AFB376F3-7435-4AA1-9971-F999CD7FCC6E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2" i="9" l="1"/>
  <c r="E42" i="9"/>
  <c r="B42" i="9"/>
  <c r="F31" i="9"/>
  <c r="E31" i="9"/>
  <c r="B31" i="9"/>
  <c r="F22" i="9"/>
  <c r="E22" i="9"/>
  <c r="B22" i="9"/>
  <c r="K20" i="11"/>
  <c r="J20" i="11"/>
  <c r="I20" i="11"/>
  <c r="H20" i="11"/>
  <c r="G20" i="11"/>
  <c r="F20" i="11"/>
  <c r="E20" i="11"/>
  <c r="B20" i="11"/>
  <c r="K17" i="11" l="1"/>
  <c r="J17" i="11"/>
  <c r="I17" i="11"/>
  <c r="H17" i="11"/>
  <c r="G17" i="11"/>
  <c r="F17" i="11"/>
  <c r="E17" i="11"/>
  <c r="B17" i="11"/>
  <c r="I30" i="6"/>
  <c r="H30" i="6"/>
  <c r="F30" i="6"/>
  <c r="B18" i="9"/>
  <c r="E18" i="9"/>
  <c r="F18" i="9"/>
  <c r="K14" i="11"/>
  <c r="J14" i="11"/>
  <c r="I14" i="11"/>
  <c r="H14" i="11"/>
  <c r="G14" i="11"/>
  <c r="F14" i="11"/>
  <c r="E14" i="11"/>
  <c r="B14" i="11"/>
  <c r="K11" i="11"/>
  <c r="J11" i="11"/>
  <c r="I11" i="11"/>
  <c r="H11" i="11"/>
  <c r="G11" i="11"/>
  <c r="F11" i="11"/>
  <c r="E11" i="11"/>
  <c r="B11" i="11"/>
  <c r="B8" i="11"/>
  <c r="K8" i="11"/>
  <c r="J8" i="11"/>
  <c r="I8" i="11"/>
  <c r="H8" i="11"/>
  <c r="G8" i="11"/>
  <c r="F8" i="11"/>
  <c r="E8" i="11"/>
  <c r="B7" i="9" l="1"/>
  <c r="E7" i="9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F20AB86F-971C-4821-9ED2-5D9F1B612C59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tc={D2DCCDDE-86A2-4C60-BA4B-5EBB69D74454}</author>
    <author>tc={13F521F7-3DD5-4FAF-8239-7C9769158326}</author>
  </authors>
  <commentList>
    <comment ref="C17" authorId="0" shapeId="0" xr:uid="{D2DCCDDE-86A2-4C60-BA4B-5EBB69D74454}">
      <text>
        <t>[Threaded comment]
Your version of Excel allows you to read this threaded comment; however, any edits to it will get removed if the file is opened in a newer version of Excel. Learn more: https://go.microsoft.com/fwlink/?linkid=870924
Comment:
    TAS have purchased commercial shelving from DEXION for senate papers</t>
      </text>
    </comment>
    <comment ref="C20" authorId="1" shapeId="0" xr:uid="{13F521F7-3DD5-4FAF-8239-7C97691583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TAS have sufficient flatbeds in stock</t>
      </text>
    </comment>
  </commentList>
</comments>
</file>

<file path=xl/sharedStrings.xml><?xml version="1.0" encoding="utf-8"?>
<sst xmlns="http://schemas.openxmlformats.org/spreadsheetml/2006/main" count="390" uniqueCount="227">
  <si>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</si>
  <si>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</si>
  <si>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</si>
  <si>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</si>
  <si>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</si>
  <si>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</si>
  <si>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</si>
  <si>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</si>
  <si>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</si>
  <si>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</si>
  <si>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</si>
  <si>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</si>
  <si>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</si>
  <si>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</si>
  <si>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</si>
  <si>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</si>
  <si>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</si>
  <si>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</si>
  <si>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</si>
  <si>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</si>
  <si>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</si>
  <si>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</si>
  <si>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</si>
  <si>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</si>
  <si>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</si>
  <si>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</si>
  <si>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</si>
  <si>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</si>
  <si>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</si>
  <si>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</si>
  <si>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</si>
  <si>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</si>
  <si>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</si>
  <si>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</si>
  <si>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</si>
  <si>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Outer Metropolitan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</si>
  <si>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</si>
  <si>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</si>
  <si>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</si>
  <si>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</si>
  <si>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</si>
  <si>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</si>
  <si>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</si>
  <si>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</si>
  <si>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</si>
  <si>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</si>
  <si>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</si>
  <si>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</si>
  <si>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</si>
  <si>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</si>
  <si>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</si>
  <si>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</si>
  <si>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</si>
  <si>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</si>
  <si>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</si>
  <si>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</si>
  <si>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</si>
  <si>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</si>
  <si>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</si>
  <si>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</si>
  <si>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</si>
  <si>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</si>
  <si>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</si>
  <si>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</si>
  <si>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</si>
  <si>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</si>
  <si>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</si>
  <si>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</si>
  <si>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</si>
  <si>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</si>
  <si>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</si>
  <si>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</si>
  <si>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</si>
  <si>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</si>
  <si>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</si>
  <si>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</si>
  <si>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</si>
  <si>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</si>
  <si>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</si>
  <si>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</si>
  <si>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</si>
  <si>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</si>
  <si>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</si>
  <si>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</si>
  <si>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</si>
  <si>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</si>
  <si>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</si>
  <si>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</si>
  <si>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</si>
  <si>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</si>
  <si>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</si>
  <si>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</si>
  <si>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</si>
  <si>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</si>
  <si>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</si>
  <si>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</si>
  <si>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</si>
  <si>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</si>
  <si>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</si>
  <si>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</si>
  <si>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</si>
  <si>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</si>
  <si>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</si>
  <si>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</si>
  <si>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</si>
  <si>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</si>
  <si>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</si>
  <si>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</si>
  <si>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</si>
  <si>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</si>
  <si>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</si>
  <si>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</si>
  <si>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</si>
  <si>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</si>
  <si>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</si>
  <si>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</si>
  <si>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</si>
  <si>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</si>
  <si>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</si>
  <si>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</si>
  <si>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</si>
  <si>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</si>
  <si>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</si>
  <si>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</si>
  <si>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</si>
  <si>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</si>
  <si>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</si>
  <si>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</si>
  <si>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</si>
  <si>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</si>
  <si>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</si>
  <si>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 xml:space="preserve">Timber top table that has structural support (wont sag) 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</si>
  <si>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</si>
  <si>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</si>
  <si>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</si>
  <si>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</si>
  <si>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</si>
  <si>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</si>
  <si>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</si>
  <si>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</si>
  <si>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</si>
  <si>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</si>
  <si>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</si>
  <si>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</si>
  <si>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</si>
  <si>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</si>
  <si>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</si>
  <si>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</si>
  <si>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</si>
  <si>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</si>
  <si>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</si>
  <si>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</si>
  <si>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</si>
  <si>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</si>
  <si>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</si>
  <si>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</si>
  <si>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</si>
  <si>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</si>
  <si>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</si>
  <si>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</si>
  <si>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</si>
  <si>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</si>
  <si>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</si>
  <si>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</si>
  <si>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</si>
  <si>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TAS</t>
  </si>
  <si>
    <t>Shelving bays, large 
(H2400 x D1200x W2400)</t>
  </si>
  <si>
    <t>Shelving bays, small 
(H1800 x D600 x W1200)</t>
  </si>
  <si>
    <t>INVERMAY</t>
  </si>
  <si>
    <t>BASS</t>
  </si>
  <si>
    <t xml:space="preserve">BASS Details </t>
  </si>
  <si>
    <t>BRADDON</t>
  </si>
  <si>
    <t xml:space="preserve">BRADDON Details </t>
  </si>
  <si>
    <t>CLARK</t>
  </si>
  <si>
    <t xml:space="preserve">CLARK Details </t>
  </si>
  <si>
    <t>FRANKLIN</t>
  </si>
  <si>
    <t xml:space="preserve">FRANKLIN Details </t>
  </si>
  <si>
    <t>BURNIE</t>
  </si>
  <si>
    <t>HOBART</t>
  </si>
  <si>
    <t>KINGSTON</t>
  </si>
  <si>
    <t>Provincial</t>
  </si>
  <si>
    <t>Rural</t>
  </si>
  <si>
    <t>Inner‑metropolitan [en.wikipedia.org], [results.aec.gov.au]</t>
  </si>
  <si>
    <t>LYONS</t>
  </si>
  <si>
    <t xml:space="preserve">LYONS Details </t>
  </si>
  <si>
    <t>Nil</t>
  </si>
  <si>
    <t>DILSTON</t>
  </si>
  <si>
    <t>GEORGE TOWN</t>
  </si>
  <si>
    <t>GLENGARRY</t>
  </si>
  <si>
    <t>GRAVELLY BEACH</t>
  </si>
  <si>
    <t>KINGS MEADOWS</t>
  </si>
  <si>
    <t>LEGANA</t>
  </si>
  <si>
    <t>LILYDALE</t>
  </si>
  <si>
    <t>SOUTH LAUNCESTON</t>
  </si>
  <si>
    <t>GRASSY</t>
  </si>
  <si>
    <t>WYNYARD</t>
  </si>
  <si>
    <t>CHIGWELL</t>
  </si>
  <si>
    <t>CLAREMONT</t>
  </si>
  <si>
    <t>GLENORCHY</t>
  </si>
  <si>
    <t>MOONAH</t>
  </si>
  <si>
    <t>SANDY BAY</t>
  </si>
  <si>
    <t>SOUTH HOBART</t>
  </si>
  <si>
    <t>TAROONA</t>
  </si>
  <si>
    <t>CYGNET</t>
  </si>
  <si>
    <t>DOVER</t>
  </si>
  <si>
    <t>HOWDEN</t>
  </si>
  <si>
    <t>LAUDERDALE</t>
  </si>
  <si>
    <t>LINDISFARNE</t>
  </si>
  <si>
    <t>RISDON VALE</t>
  </si>
  <si>
    <t>ROKEBY</t>
  </si>
  <si>
    <t>SEVEN MILE BEACH</t>
  </si>
  <si>
    <t>WARRANE</t>
  </si>
  <si>
    <t>BAGDAD</t>
  </si>
  <si>
    <t>CARRICK</t>
  </si>
  <si>
    <t>EVANDALE</t>
  </si>
  <si>
    <t>GAGEBROOK</t>
  </si>
  <si>
    <t>HADSPEN</t>
  </si>
  <si>
    <t>MAGRA</t>
  </si>
  <si>
    <t>NEW NORFOLK</t>
  </si>
  <si>
    <t>OLD BEACH</t>
  </si>
  <si>
    <t>OUSE</t>
  </si>
  <si>
    <t>SORELL</t>
  </si>
  <si>
    <t>Inner‑metropolitan</t>
  </si>
  <si>
    <t>Portable toilets and associated servicing</t>
  </si>
  <si>
    <t>Please specify type. If more than one form of unit available please add further rows and describe.</t>
  </si>
  <si>
    <t>Portable Toilets and associated servicing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</si>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</sst>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44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7" fillId="35" borderId="11" xfId="0" applyFont="1" applyFill="1" applyBorder="1" applyAlignment="1">
      <alignment horizontal="left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6" fillId="39" borderId="11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26" fillId="40" borderId="23" xfId="0" applyFont="1" applyFill="1" applyBorder="1" applyAlignment="1">
      <alignment horizontal="center" vertical="center" wrapText="1"/>
    </xf>
    <xf numFmtId="0" fontId="26" fillId="40" borderId="27" xfId="0" applyFont="1" applyFill="1" applyBorder="1" applyAlignment="1">
      <alignment horizontal="center" vertical="center" wrapText="1"/>
    </xf>
    <xf numFmtId="0" fontId="26" fillId="40" borderId="20" xfId="0" applyFont="1" applyFill="1" applyBorder="1" applyAlignment="1">
      <alignment horizontal="center" vertical="center" wrapText="1"/>
    </xf>
    <xf numFmtId="0" fontId="26" fillId="40" borderId="29" xfId="0" applyFont="1" applyFill="1" applyBorder="1" applyAlignment="1">
      <alignment horizontal="center" vertical="center" wrapText="1"/>
    </xf>
    <xf numFmtId="0" fontId="26" fillId="40" borderId="30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/>
    </xf>
    <xf numFmtId="0" fontId="23" fillId="38" borderId="35" xfId="0" applyFont="1" applyFill="1" applyBorder="1" applyAlignment="1">
      <alignment horizontal="center" vertical="center"/>
    </xf>
    <xf numFmtId="0" fontId="23" fillId="38" borderId="43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 vertical="center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calcChain" Target="calcChain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microsoft.com/office/2017/10/relationships/person" Target="persons/perso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f1e1e5c0bfdd412c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BA4C8D3B-3734-4941-B49F-664A9B8C4C57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h Andreassen" id="{042D92E3-EC9C-4384-A223-4CB539AD3F90}" userId="S::Josh.Andreassen@aec.gov.au::1bb1954e-2876-4f17-9887-e2558b8a9f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7" dT="2026-03-26T03:38:52.44" personId="{042D92E3-EC9C-4384-A223-4CB539AD3F90}" id="{D2DCCDDE-86A2-4C60-BA4B-5EBB69D74454}">
    <text>TAS have purchased commercial shelving from DEXION for senate papers</text>
  </threadedComment>
  <threadedComment ref="C20" dT="2026-03-26T03:40:09.11" personId="{042D92E3-EC9C-4384-A223-4CB539AD3F90}" id="{13F521F7-3DD5-4FAF-8239-7C9769158326}">
    <text>TAS have sufficient flatbeds in stock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23" t="s">
        <v>0</v>
      </c>
      <c r="B8" s="123" t="s">
        <v>9</v>
      </c>
      <c r="C8" s="123"/>
      <c r="D8" s="122" t="s">
        <v>10</v>
      </c>
      <c r="E8" s="122"/>
      <c r="F8" s="122"/>
      <c r="G8" s="122" t="s">
        <v>5</v>
      </c>
      <c r="H8" s="122" t="s">
        <v>4</v>
      </c>
      <c r="I8" s="122" t="s">
        <v>31</v>
      </c>
      <c r="J8" s="122" t="s">
        <v>32</v>
      </c>
    </row>
    <row r="9" spans="1:45" ht="30" x14ac:dyDescent="0.25">
      <c r="A9" s="123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22"/>
      <c r="H9" s="122"/>
      <c r="I9" s="122"/>
      <c r="J9" s="122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20" t="s">
        <v>72</v>
      </c>
      <c r="B2" s="120"/>
      <c r="C2" s="120"/>
      <c r="D2" s="120"/>
      <c r="E2" s="120"/>
      <c r="F2" s="120"/>
      <c r="G2" s="120"/>
      <c r="H2" s="120"/>
    </row>
    <row r="4" spans="1:8" ht="18" x14ac:dyDescent="0.25">
      <c r="A4" s="45" t="s">
        <v>73</v>
      </c>
      <c r="B4" s="46" t="s">
        <v>74</v>
      </c>
      <c r="C4" s="121" t="s">
        <v>75</v>
      </c>
      <c r="D4" s="121"/>
      <c r="E4" s="121"/>
      <c r="F4" s="121"/>
      <c r="G4" s="121"/>
      <c r="H4" s="121"/>
    </row>
    <row r="5" spans="1:8" ht="15.75" x14ac:dyDescent="0.25">
      <c r="A5" s="47">
        <v>1</v>
      </c>
      <c r="B5" s="48" t="s">
        <v>76</v>
      </c>
      <c r="C5" s="115" t="s">
        <v>140</v>
      </c>
      <c r="D5" s="115"/>
      <c r="E5" s="115"/>
      <c r="F5" s="115"/>
      <c r="G5" s="115"/>
      <c r="H5" s="115"/>
    </row>
    <row r="6" spans="1:8" ht="15.75" x14ac:dyDescent="0.25">
      <c r="A6" s="47">
        <v>2</v>
      </c>
      <c r="B6" s="48" t="s">
        <v>77</v>
      </c>
      <c r="C6" s="115" t="s">
        <v>139</v>
      </c>
      <c r="D6" s="115"/>
      <c r="E6" s="115"/>
      <c r="F6" s="115"/>
      <c r="G6" s="115"/>
      <c r="H6" s="115"/>
    </row>
    <row r="7" spans="1:8" ht="15.75" x14ac:dyDescent="0.25">
      <c r="A7" s="47">
        <v>3</v>
      </c>
      <c r="B7" s="48" t="s">
        <v>78</v>
      </c>
      <c r="C7" s="115" t="s">
        <v>141</v>
      </c>
      <c r="D7" s="115"/>
      <c r="E7" s="115"/>
      <c r="F7" s="115"/>
      <c r="G7" s="115"/>
      <c r="H7" s="115"/>
    </row>
    <row r="8" spans="1:8" ht="15.75" x14ac:dyDescent="0.25">
      <c r="A8" s="47">
        <v>4</v>
      </c>
      <c r="B8" s="48" t="s">
        <v>33</v>
      </c>
      <c r="C8" s="115" t="s">
        <v>79</v>
      </c>
      <c r="D8" s="115"/>
      <c r="E8" s="115"/>
      <c r="F8" s="115"/>
      <c r="G8" s="115"/>
      <c r="H8" s="115"/>
    </row>
    <row r="9" spans="1:8" ht="15.75" x14ac:dyDescent="0.25">
      <c r="A9" s="47">
        <v>5</v>
      </c>
      <c r="B9" s="48" t="s">
        <v>80</v>
      </c>
      <c r="C9" s="115" t="s">
        <v>81</v>
      </c>
      <c r="D9" s="115"/>
      <c r="E9" s="115"/>
      <c r="F9" s="115"/>
      <c r="G9" s="115"/>
      <c r="H9" s="115"/>
    </row>
    <row r="10" spans="1:8" ht="15.75" x14ac:dyDescent="0.25">
      <c r="A10" s="47">
        <v>6</v>
      </c>
      <c r="B10" s="48" t="s">
        <v>71</v>
      </c>
      <c r="C10" s="115" t="s">
        <v>82</v>
      </c>
      <c r="D10" s="115"/>
      <c r="E10" s="115"/>
      <c r="F10" s="115"/>
      <c r="G10" s="115"/>
      <c r="H10" s="115"/>
    </row>
    <row r="13" spans="1:8" ht="18" x14ac:dyDescent="0.25">
      <c r="A13" s="116" t="s">
        <v>142</v>
      </c>
      <c r="B13" s="116"/>
      <c r="C13" s="116"/>
      <c r="D13" s="116"/>
      <c r="E13" s="116"/>
      <c r="F13" s="116"/>
      <c r="G13" s="116"/>
      <c r="H13" s="116"/>
    </row>
    <row r="14" spans="1:8" x14ac:dyDescent="0.25">
      <c r="A14" s="117" t="s">
        <v>84</v>
      </c>
      <c r="B14" s="118"/>
      <c r="C14" s="118"/>
      <c r="D14" s="118"/>
      <c r="E14" s="118"/>
      <c r="F14" s="118"/>
      <c r="G14" s="118"/>
      <c r="H14" s="119"/>
    </row>
    <row r="15" spans="1:8" x14ac:dyDescent="0.25">
      <c r="A15" s="109" t="s">
        <v>85</v>
      </c>
      <c r="B15" s="111"/>
      <c r="C15" s="112" t="s">
        <v>86</v>
      </c>
      <c r="D15" s="113"/>
      <c r="E15" s="113"/>
      <c r="F15" s="113"/>
      <c r="G15" s="113"/>
      <c r="H15" s="114"/>
    </row>
    <row r="16" spans="1:8" x14ac:dyDescent="0.25">
      <c r="A16" s="109" t="s">
        <v>87</v>
      </c>
      <c r="B16" s="111"/>
      <c r="C16" s="112" t="s">
        <v>88</v>
      </c>
      <c r="D16" s="113"/>
      <c r="E16" s="113"/>
      <c r="F16" s="113"/>
      <c r="G16" s="113"/>
      <c r="H16" s="114"/>
    </row>
    <row r="17" spans="1:8" x14ac:dyDescent="0.25">
      <c r="A17" s="109" t="s">
        <v>89</v>
      </c>
      <c r="B17" s="111"/>
      <c r="C17" s="112" t="s">
        <v>90</v>
      </c>
      <c r="D17" s="113"/>
      <c r="E17" s="113"/>
      <c r="F17" s="113"/>
      <c r="G17" s="113"/>
      <c r="H17" s="114"/>
    </row>
    <row r="18" spans="1:8" x14ac:dyDescent="0.25">
      <c r="A18" s="109" t="s">
        <v>91</v>
      </c>
      <c r="B18" s="110"/>
      <c r="C18" s="112" t="s">
        <v>92</v>
      </c>
      <c r="D18" s="113"/>
      <c r="E18" s="113"/>
      <c r="F18" s="113"/>
      <c r="G18" s="113"/>
      <c r="H18" s="114"/>
    </row>
  </sheetData>
  <mergeCells count="18">
    <mergeCell ref="C8:H8"/>
    <mergeCell ref="A2:H2"/>
    <mergeCell ref="C4:H4"/>
    <mergeCell ref="C5:H5"/>
    <mergeCell ref="C6:H6"/>
    <mergeCell ref="C7:H7"/>
    <mergeCell ref="C9:H9"/>
    <mergeCell ref="C10:H10"/>
    <mergeCell ref="A13:H13"/>
    <mergeCell ref="A14:H14"/>
    <mergeCell ref="A15:B15"/>
    <mergeCell ref="C15:H15"/>
    <mergeCell ref="A18:B18"/>
    <mergeCell ref="A17:B17"/>
    <mergeCell ref="A16:B16"/>
    <mergeCell ref="C18:H18"/>
    <mergeCell ref="C17:H17"/>
    <mergeCell ref="C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topLeftCell="A29" zoomScale="80" zoomScaleNormal="80" workbookViewId="0">
      <selection activeCell="E64" sqref="E64"/>
    </sheetView>
  </sheetViews>
  <sheetFormatPr defaultColWidth="9.140625" defaultRowHeight="15" x14ac:dyDescent="0.25"/>
  <cols>
    <col min="1" max="1" width="11.5703125" style="14" customWidth="1"/>
    <col min="2" max="2" width="22.42578125" style="13" customWidth="1"/>
    <col min="3" max="3" width="18.85546875" style="13" customWidth="1"/>
    <col min="4" max="4" width="42.14062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165</v>
      </c>
      <c r="B1" s="4" t="s">
        <v>93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4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4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5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44"/>
      <c r="K3" s="144"/>
    </row>
    <row r="4" spans="1:27" ht="36" customHeight="1" x14ac:dyDescent="0.25">
      <c r="A4" s="145" t="s">
        <v>83</v>
      </c>
      <c r="B4" s="145"/>
      <c r="C4" s="145"/>
      <c r="D4" s="145"/>
      <c r="E4" s="145"/>
      <c r="F4" s="145"/>
      <c r="G4" s="14"/>
      <c r="H4" s="145" t="s">
        <v>143</v>
      </c>
      <c r="I4" s="145"/>
      <c r="J4" s="145"/>
      <c r="K4" s="145"/>
      <c r="L4" s="145"/>
      <c r="M4" s="145"/>
      <c r="N4" s="145"/>
      <c r="O4" s="145"/>
      <c r="P4" s="145"/>
    </row>
    <row r="6" spans="1:27" ht="18" x14ac:dyDescent="0.25">
      <c r="A6" s="146" t="s">
        <v>94</v>
      </c>
      <c r="B6" s="147"/>
      <c r="C6" s="148"/>
      <c r="D6" s="149" t="s">
        <v>95</v>
      </c>
      <c r="E6" s="149"/>
      <c r="F6" s="149"/>
      <c r="G6" s="20"/>
      <c r="H6" s="150" t="s">
        <v>96</v>
      </c>
      <c r="I6" s="151"/>
      <c r="J6" s="150" t="s">
        <v>97</v>
      </c>
      <c r="K6" s="152"/>
      <c r="L6" s="150" t="s">
        <v>159</v>
      </c>
      <c r="M6" s="152"/>
      <c r="N6" s="152"/>
      <c r="O6" s="79" t="s">
        <v>151</v>
      </c>
      <c r="P6" s="73" t="s">
        <v>98</v>
      </c>
    </row>
    <row r="7" spans="1:27" s="50" customFormat="1" ht="74.25" customHeight="1" x14ac:dyDescent="0.25">
      <c r="A7" s="21" t="s">
        <v>99</v>
      </c>
      <c r="B7" s="21" t="s">
        <v>100</v>
      </c>
      <c r="C7" s="21" t="s">
        <v>101</v>
      </c>
      <c r="D7" s="21" t="s">
        <v>102</v>
      </c>
      <c r="E7" s="21" t="s">
        <v>103</v>
      </c>
      <c r="F7" s="21" t="s">
        <v>104</v>
      </c>
      <c r="G7" s="49"/>
      <c r="H7" s="21" t="s">
        <v>105</v>
      </c>
      <c r="I7" s="21" t="s">
        <v>106</v>
      </c>
      <c r="J7" s="21" t="s">
        <v>107</v>
      </c>
      <c r="K7" s="21" t="s">
        <v>108</v>
      </c>
      <c r="L7" s="21" t="s">
        <v>157</v>
      </c>
      <c r="M7" s="21" t="s">
        <v>156</v>
      </c>
      <c r="N7" s="21" t="s">
        <v>158</v>
      </c>
      <c r="O7" s="21" t="s">
        <v>150</v>
      </c>
      <c r="P7" s="21" t="s">
        <v>109</v>
      </c>
    </row>
    <row r="9" spans="1:27" ht="15" customHeight="1" x14ac:dyDescent="0.25">
      <c r="A9" s="124">
        <v>1</v>
      </c>
      <c r="B9" s="124" t="s">
        <v>110</v>
      </c>
      <c r="C9" s="140">
        <v>1</v>
      </c>
      <c r="D9" s="25" t="s">
        <v>57</v>
      </c>
      <c r="E9" s="25" t="s">
        <v>111</v>
      </c>
      <c r="F9" s="51"/>
      <c r="G9" s="26"/>
      <c r="H9" s="52"/>
      <c r="I9" s="52"/>
      <c r="J9" s="52"/>
      <c r="K9" s="52"/>
      <c r="L9" s="141"/>
      <c r="M9" s="80"/>
      <c r="N9" s="80"/>
      <c r="O9" s="80"/>
      <c r="P9" s="76"/>
    </row>
    <row r="10" spans="1:27" ht="20.25" customHeight="1" x14ac:dyDescent="0.25">
      <c r="A10" s="124"/>
      <c r="B10" s="124"/>
      <c r="C10" s="140"/>
      <c r="D10" s="25" t="s">
        <v>58</v>
      </c>
      <c r="E10" s="25" t="s">
        <v>112</v>
      </c>
      <c r="F10" s="27"/>
      <c r="G10" s="26"/>
      <c r="H10" s="53"/>
      <c r="I10" s="53"/>
      <c r="J10" s="53"/>
      <c r="K10" s="53"/>
      <c r="L10" s="142"/>
      <c r="M10" s="81"/>
      <c r="N10" s="81"/>
      <c r="O10" s="81"/>
      <c r="P10" s="76"/>
    </row>
    <row r="11" spans="1:27" ht="15" customHeight="1" x14ac:dyDescent="0.35">
      <c r="A11" s="54"/>
      <c r="B11" s="54"/>
      <c r="C11" s="26"/>
      <c r="D11" s="127" t="s">
        <v>113</v>
      </c>
      <c r="E11" s="25" t="s">
        <v>114</v>
      </c>
      <c r="F11" s="128"/>
      <c r="G11" s="26"/>
      <c r="H11" s="131" t="s">
        <v>144</v>
      </c>
      <c r="I11" s="132"/>
      <c r="J11" s="132"/>
      <c r="K11" s="42"/>
      <c r="L11" s="52"/>
      <c r="M11" s="52"/>
      <c r="N11" s="52"/>
      <c r="O11" s="52"/>
      <c r="P11" s="78"/>
    </row>
    <row r="12" spans="1:27" ht="15" customHeight="1" x14ac:dyDescent="0.35">
      <c r="A12" s="54"/>
      <c r="B12" s="54"/>
      <c r="C12" s="26"/>
      <c r="D12" s="127"/>
      <c r="E12" s="25" t="s">
        <v>115</v>
      </c>
      <c r="F12" s="129"/>
      <c r="G12" s="26"/>
      <c r="H12" s="133"/>
      <c r="I12" s="134"/>
      <c r="J12" s="134"/>
      <c r="K12" s="29"/>
      <c r="L12" s="52"/>
      <c r="M12" s="52"/>
      <c r="N12" s="52"/>
      <c r="O12" s="52"/>
      <c r="P12" s="78"/>
    </row>
    <row r="13" spans="1:27" ht="15" customHeight="1" x14ac:dyDescent="0.35">
      <c r="A13" s="54"/>
      <c r="B13" s="54"/>
      <c r="C13" s="26"/>
      <c r="D13" s="127"/>
      <c r="E13" s="25" t="s">
        <v>116</v>
      </c>
      <c r="F13" s="129"/>
      <c r="G13" s="26"/>
      <c r="H13" s="133"/>
      <c r="I13" s="134"/>
      <c r="J13" s="134"/>
      <c r="K13" s="29"/>
      <c r="L13" s="52"/>
      <c r="M13" s="52"/>
      <c r="N13" s="52"/>
      <c r="O13" s="52"/>
      <c r="P13" s="78"/>
    </row>
    <row r="14" spans="1:27" ht="15" customHeight="1" x14ac:dyDescent="0.35">
      <c r="A14" s="54"/>
      <c r="B14" s="54"/>
      <c r="C14" s="26"/>
      <c r="D14" s="127"/>
      <c r="E14" s="25" t="s">
        <v>117</v>
      </c>
      <c r="F14" s="130"/>
      <c r="G14" s="26"/>
      <c r="H14" s="135"/>
      <c r="I14" s="136"/>
      <c r="J14" s="136"/>
      <c r="K14" s="55"/>
      <c r="L14" s="52"/>
      <c r="M14" s="52"/>
      <c r="N14" s="52"/>
      <c r="O14" s="52"/>
      <c r="P14" s="78"/>
    </row>
    <row r="15" spans="1:27" ht="15" customHeight="1" x14ac:dyDescent="0.35">
      <c r="A15" s="54"/>
      <c r="B15" s="54"/>
      <c r="C15" s="26"/>
      <c r="D15" s="3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7"/>
    </row>
    <row r="16" spans="1:27" ht="15.75" customHeight="1" x14ac:dyDescent="0.25">
      <c r="A16" s="57"/>
      <c r="B16" s="5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7"/>
    </row>
    <row r="17" spans="1:16" ht="15" customHeight="1" x14ac:dyDescent="0.25">
      <c r="A17" s="124">
        <v>2</v>
      </c>
      <c r="B17" s="124" t="s">
        <v>118</v>
      </c>
      <c r="C17" s="143" t="s">
        <v>119</v>
      </c>
      <c r="D17" s="25" t="s">
        <v>57</v>
      </c>
      <c r="E17" s="25" t="s">
        <v>111</v>
      </c>
      <c r="F17" s="51"/>
      <c r="G17" s="26"/>
      <c r="H17" s="52"/>
      <c r="I17" s="52"/>
      <c r="J17" s="52"/>
      <c r="K17" s="52"/>
      <c r="L17" s="43"/>
      <c r="M17" s="43"/>
      <c r="N17" s="43"/>
      <c r="O17" s="43"/>
      <c r="P17" s="78"/>
    </row>
    <row r="18" spans="1:16" ht="15" customHeight="1" x14ac:dyDescent="0.25">
      <c r="A18" s="124"/>
      <c r="B18" s="124"/>
      <c r="C18" s="143"/>
      <c r="D18" s="25" t="s">
        <v>58</v>
      </c>
      <c r="E18" s="25" t="s">
        <v>112</v>
      </c>
      <c r="F18" s="27"/>
      <c r="G18" s="26"/>
      <c r="H18" s="52"/>
      <c r="I18" s="52"/>
      <c r="J18" s="52"/>
      <c r="K18" s="52"/>
      <c r="L18" s="28"/>
      <c r="M18" s="28"/>
      <c r="N18" s="28"/>
      <c r="O18" s="28"/>
      <c r="P18" s="78"/>
    </row>
    <row r="19" spans="1:16" ht="15" customHeight="1" x14ac:dyDescent="0.25">
      <c r="A19" s="124"/>
      <c r="B19" s="124"/>
      <c r="C19" s="143"/>
      <c r="D19" s="30" t="s">
        <v>120</v>
      </c>
      <c r="E19" s="25" t="s">
        <v>121</v>
      </c>
      <c r="F19" s="25"/>
      <c r="G19" s="26"/>
      <c r="H19" s="52"/>
      <c r="I19" s="52"/>
      <c r="J19" s="52"/>
      <c r="K19" s="52"/>
      <c r="L19" s="28"/>
      <c r="M19" s="28"/>
      <c r="N19" s="28"/>
      <c r="O19" s="28"/>
      <c r="P19" s="78"/>
    </row>
    <row r="20" spans="1:16" ht="15" customHeight="1" x14ac:dyDescent="0.25">
      <c r="A20" s="124"/>
      <c r="B20" s="124"/>
      <c r="C20" s="143"/>
      <c r="D20" s="30" t="s">
        <v>43</v>
      </c>
      <c r="E20" s="25"/>
      <c r="F20" s="30"/>
      <c r="G20" s="26"/>
      <c r="H20" s="52"/>
      <c r="I20" s="52"/>
      <c r="J20" s="52"/>
      <c r="K20" s="52"/>
      <c r="L20" s="28"/>
      <c r="M20" s="28"/>
      <c r="N20" s="28"/>
      <c r="O20" s="28"/>
      <c r="P20" s="78"/>
    </row>
    <row r="21" spans="1:16" ht="15" customHeight="1" x14ac:dyDescent="0.25">
      <c r="A21" s="124"/>
      <c r="B21" s="124"/>
      <c r="C21" s="143"/>
      <c r="D21" s="30" t="s">
        <v>37</v>
      </c>
      <c r="E21" s="25" t="s">
        <v>122</v>
      </c>
      <c r="F21" s="51"/>
      <c r="G21" s="26"/>
      <c r="H21" s="52"/>
      <c r="I21" s="52"/>
      <c r="J21" s="52"/>
      <c r="K21" s="52"/>
      <c r="L21" s="28"/>
      <c r="M21" s="28"/>
      <c r="N21" s="28"/>
      <c r="O21" s="28"/>
      <c r="P21" s="78"/>
    </row>
    <row r="22" spans="1:16" ht="15" customHeight="1" x14ac:dyDescent="0.25">
      <c r="A22" s="124"/>
      <c r="B22" s="124"/>
      <c r="C22" s="143"/>
      <c r="D22" s="30" t="s">
        <v>38</v>
      </c>
      <c r="E22" s="25" t="s">
        <v>123</v>
      </c>
      <c r="F22" s="51"/>
      <c r="G22" s="26"/>
      <c r="H22" s="52"/>
      <c r="I22" s="52"/>
      <c r="J22" s="52"/>
      <c r="K22" s="52"/>
      <c r="L22" s="28"/>
      <c r="M22" s="28"/>
      <c r="N22" s="28"/>
      <c r="O22" s="28"/>
      <c r="P22" s="78"/>
    </row>
    <row r="23" spans="1:16" ht="15" customHeight="1" x14ac:dyDescent="0.25">
      <c r="A23" s="124"/>
      <c r="B23" s="124"/>
      <c r="C23" s="143"/>
      <c r="D23" s="30" t="s">
        <v>40</v>
      </c>
      <c r="E23" s="25"/>
      <c r="F23" s="51"/>
      <c r="G23" s="26"/>
      <c r="H23" s="52"/>
      <c r="I23" s="52"/>
      <c r="J23" s="52"/>
      <c r="K23" s="52"/>
      <c r="L23" s="28"/>
      <c r="M23" s="28"/>
      <c r="N23" s="28"/>
      <c r="O23" s="28"/>
      <c r="P23" s="78"/>
    </row>
    <row r="24" spans="1:16" ht="15" customHeight="1" x14ac:dyDescent="0.25">
      <c r="A24" s="124"/>
      <c r="B24" s="124"/>
      <c r="C24" s="143"/>
      <c r="D24" s="30" t="s">
        <v>41</v>
      </c>
      <c r="E24" s="24" t="s">
        <v>124</v>
      </c>
      <c r="F24" s="51"/>
      <c r="G24" s="26"/>
      <c r="H24" s="52"/>
      <c r="I24" s="52"/>
      <c r="J24" s="52"/>
      <c r="K24" s="52"/>
      <c r="L24" s="28"/>
      <c r="M24" s="28"/>
      <c r="N24" s="28"/>
      <c r="O24" s="28"/>
      <c r="P24" s="78"/>
    </row>
    <row r="25" spans="1:16" ht="15" customHeight="1" x14ac:dyDescent="0.25">
      <c r="A25" s="124"/>
      <c r="B25" s="124"/>
      <c r="C25" s="143"/>
      <c r="D25" s="30" t="s">
        <v>42</v>
      </c>
      <c r="E25" s="25" t="s">
        <v>125</v>
      </c>
      <c r="F25" s="51"/>
      <c r="G25" s="26"/>
      <c r="H25" s="53"/>
      <c r="I25" s="53"/>
      <c r="J25" s="53"/>
      <c r="K25" s="52"/>
      <c r="L25" s="28"/>
      <c r="M25" s="28"/>
      <c r="N25" s="28"/>
      <c r="O25" s="28"/>
      <c r="P25" s="78"/>
    </row>
    <row r="26" spans="1:16" ht="15" customHeight="1" x14ac:dyDescent="0.25">
      <c r="A26" s="124"/>
      <c r="B26" s="124"/>
      <c r="C26" s="143"/>
      <c r="D26" s="30" t="s">
        <v>63</v>
      </c>
      <c r="E26" s="30" t="s">
        <v>126</v>
      </c>
      <c r="F26" s="51"/>
      <c r="G26" s="26"/>
      <c r="H26" s="53"/>
      <c r="I26" s="53"/>
      <c r="J26" s="53"/>
      <c r="K26" s="52"/>
      <c r="L26" s="28"/>
      <c r="M26" s="28"/>
      <c r="N26" s="28"/>
      <c r="O26" s="28"/>
      <c r="P26" s="78"/>
    </row>
    <row r="27" spans="1:16" ht="15" customHeight="1" x14ac:dyDescent="0.25">
      <c r="A27" s="124"/>
      <c r="B27" s="124"/>
      <c r="C27" s="143"/>
      <c r="D27" s="30" t="s">
        <v>62</v>
      </c>
      <c r="E27" s="30" t="s">
        <v>127</v>
      </c>
      <c r="F27" s="51"/>
      <c r="G27" s="26"/>
      <c r="H27" s="53"/>
      <c r="I27" s="53"/>
      <c r="J27" s="53"/>
      <c r="K27" s="52"/>
      <c r="L27" s="28"/>
      <c r="M27" s="28"/>
      <c r="N27" s="28"/>
      <c r="O27" s="28"/>
      <c r="P27" s="78"/>
    </row>
    <row r="28" spans="1:16" ht="15" customHeight="1" x14ac:dyDescent="0.25">
      <c r="A28" s="124"/>
      <c r="B28" s="124"/>
      <c r="C28" s="143"/>
      <c r="D28" s="30" t="s">
        <v>128</v>
      </c>
      <c r="E28" s="25" t="s">
        <v>129</v>
      </c>
      <c r="F28" s="59"/>
      <c r="G28" s="26"/>
      <c r="H28" s="52"/>
      <c r="I28" s="52"/>
      <c r="J28" s="52"/>
      <c r="K28" s="52"/>
      <c r="L28" s="56"/>
      <c r="M28" s="56"/>
      <c r="N28" s="56"/>
      <c r="O28" s="56"/>
      <c r="P28" s="78"/>
    </row>
    <row r="29" spans="1:16" ht="15" customHeight="1" x14ac:dyDescent="0.25">
      <c r="A29" s="60"/>
      <c r="B29" s="60"/>
      <c r="C29" s="26"/>
      <c r="D29" s="127" t="s">
        <v>113</v>
      </c>
      <c r="E29" s="25" t="s">
        <v>114</v>
      </c>
      <c r="F29" s="128"/>
      <c r="G29" s="26"/>
      <c r="H29" s="131" t="s">
        <v>144</v>
      </c>
      <c r="I29" s="132"/>
      <c r="J29" s="132"/>
      <c r="K29" s="29"/>
      <c r="L29" s="52"/>
      <c r="M29" s="52"/>
      <c r="N29" s="52"/>
      <c r="O29" s="52"/>
      <c r="P29" s="78"/>
    </row>
    <row r="30" spans="1:16" ht="15" customHeight="1" x14ac:dyDescent="0.25">
      <c r="A30" s="60"/>
      <c r="B30" s="60"/>
      <c r="C30" s="26"/>
      <c r="D30" s="127"/>
      <c r="E30" s="25" t="s">
        <v>115</v>
      </c>
      <c r="F30" s="129"/>
      <c r="G30" s="26"/>
      <c r="H30" s="133"/>
      <c r="I30" s="134"/>
      <c r="J30" s="134"/>
      <c r="K30" s="29"/>
      <c r="L30" s="52"/>
      <c r="M30" s="52"/>
      <c r="N30" s="52"/>
      <c r="O30" s="52"/>
      <c r="P30" s="78"/>
    </row>
    <row r="31" spans="1:16" ht="21" x14ac:dyDescent="0.25">
      <c r="A31" s="60"/>
      <c r="B31" s="60"/>
      <c r="C31" s="26"/>
      <c r="D31" s="127"/>
      <c r="E31" s="25" t="s">
        <v>116</v>
      </c>
      <c r="F31" s="129"/>
      <c r="G31" s="26"/>
      <c r="H31" s="133"/>
      <c r="I31" s="134"/>
      <c r="J31" s="134"/>
      <c r="K31" s="29"/>
      <c r="L31" s="52"/>
      <c r="M31" s="52"/>
      <c r="N31" s="52"/>
      <c r="O31" s="52"/>
      <c r="P31" s="78"/>
    </row>
    <row r="32" spans="1:16" ht="15" customHeight="1" x14ac:dyDescent="0.25">
      <c r="A32" s="60"/>
      <c r="B32" s="60"/>
      <c r="C32" s="26"/>
      <c r="D32" s="127"/>
      <c r="E32" s="25" t="s">
        <v>117</v>
      </c>
      <c r="F32" s="130"/>
      <c r="G32" s="26"/>
      <c r="H32" s="135"/>
      <c r="I32" s="136"/>
      <c r="J32" s="136"/>
      <c r="K32" s="55"/>
      <c r="L32" s="52"/>
      <c r="M32" s="52"/>
      <c r="N32" s="52"/>
      <c r="O32" s="52"/>
      <c r="P32" s="78"/>
    </row>
    <row r="33" spans="1:16" ht="15" customHeight="1" x14ac:dyDescent="0.25">
      <c r="A33" s="60"/>
      <c r="B33" s="60"/>
      <c r="C33" s="61"/>
      <c r="D33" s="37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7"/>
    </row>
    <row r="34" spans="1:16" ht="19.5" customHeight="1" thickBot="1" x14ac:dyDescent="0.3">
      <c r="A34" s="57"/>
      <c r="B34" s="58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7"/>
    </row>
    <row r="35" spans="1:16" ht="15" customHeight="1" x14ac:dyDescent="0.25">
      <c r="A35" s="124">
        <v>3</v>
      </c>
      <c r="B35" s="125" t="s">
        <v>130</v>
      </c>
      <c r="C35" s="137" t="s">
        <v>161</v>
      </c>
      <c r="D35" s="38" t="s">
        <v>57</v>
      </c>
      <c r="E35" s="25" t="s">
        <v>111</v>
      </c>
      <c r="F35" s="51"/>
      <c r="G35" s="26"/>
      <c r="H35" s="62"/>
      <c r="I35" s="62"/>
      <c r="J35" s="52"/>
      <c r="K35" s="52"/>
      <c r="L35" s="63"/>
      <c r="M35" s="84"/>
      <c r="N35" s="84"/>
      <c r="O35" s="84"/>
      <c r="P35" s="78"/>
    </row>
    <row r="36" spans="1:16" ht="15" customHeight="1" x14ac:dyDescent="0.25">
      <c r="A36" s="124"/>
      <c r="B36" s="126"/>
      <c r="C36" s="138"/>
      <c r="D36" s="89" t="s">
        <v>148</v>
      </c>
      <c r="E36" s="25" t="s">
        <v>112</v>
      </c>
      <c r="F36" s="27"/>
      <c r="G36" s="26"/>
      <c r="H36" s="62"/>
      <c r="I36" s="62"/>
      <c r="J36" s="52"/>
      <c r="K36" s="52"/>
      <c r="L36" s="64"/>
      <c r="M36" s="85"/>
      <c r="N36" s="85"/>
      <c r="O36" s="85"/>
      <c r="P36" s="78"/>
    </row>
    <row r="37" spans="1:16" ht="15" customHeight="1" x14ac:dyDescent="0.25">
      <c r="A37" s="124"/>
      <c r="B37" s="126"/>
      <c r="C37" s="138"/>
      <c r="D37" s="27" t="s">
        <v>44</v>
      </c>
      <c r="E37" s="30" t="s">
        <v>131</v>
      </c>
      <c r="F37" s="27"/>
      <c r="G37" s="26"/>
      <c r="H37" s="62"/>
      <c r="I37" s="62"/>
      <c r="J37" s="52"/>
      <c r="K37" s="52"/>
      <c r="L37" s="64"/>
      <c r="M37" s="85"/>
      <c r="N37" s="85"/>
      <c r="O37" s="85"/>
      <c r="P37" s="78"/>
    </row>
    <row r="38" spans="1:16" ht="15" customHeight="1" x14ac:dyDescent="0.25">
      <c r="A38" s="124"/>
      <c r="B38" s="126"/>
      <c r="C38" s="138"/>
      <c r="D38" s="27" t="s">
        <v>45</v>
      </c>
      <c r="E38" s="30"/>
      <c r="F38" s="30"/>
      <c r="G38" s="26"/>
      <c r="H38" s="62"/>
      <c r="I38" s="62"/>
      <c r="J38" s="52"/>
      <c r="K38" s="52"/>
      <c r="L38" s="64"/>
      <c r="M38" s="85"/>
      <c r="N38" s="85"/>
      <c r="O38" s="85"/>
      <c r="P38" s="78"/>
    </row>
    <row r="39" spans="1:16" ht="15" customHeight="1" x14ac:dyDescent="0.25">
      <c r="A39" s="124"/>
      <c r="B39" s="126"/>
      <c r="C39" s="138"/>
      <c r="D39" s="27" t="s">
        <v>59</v>
      </c>
      <c r="E39" s="30" t="s">
        <v>132</v>
      </c>
      <c r="F39" s="51"/>
      <c r="G39" s="26"/>
      <c r="H39" s="62"/>
      <c r="I39" s="62"/>
      <c r="J39" s="52"/>
      <c r="K39" s="52"/>
      <c r="L39" s="64"/>
      <c r="M39" s="85"/>
      <c r="N39" s="85"/>
      <c r="O39" s="85"/>
      <c r="P39" s="78"/>
    </row>
    <row r="40" spans="1:16" ht="15" customHeight="1" x14ac:dyDescent="0.25">
      <c r="A40" s="124"/>
      <c r="B40" s="126"/>
      <c r="C40" s="138"/>
      <c r="D40" s="27" t="s">
        <v>46</v>
      </c>
      <c r="E40" s="30"/>
      <c r="F40" s="51"/>
      <c r="G40" s="26"/>
      <c r="H40" s="62"/>
      <c r="I40" s="62"/>
      <c r="J40" s="52"/>
      <c r="K40" s="52"/>
      <c r="L40" s="64"/>
      <c r="M40" s="85"/>
      <c r="N40" s="85"/>
      <c r="O40" s="85"/>
      <c r="P40" s="78"/>
    </row>
    <row r="41" spans="1:16" ht="15" customHeight="1" x14ac:dyDescent="0.25">
      <c r="A41" s="124"/>
      <c r="B41" s="126"/>
      <c r="C41" s="138"/>
      <c r="D41" s="27" t="s">
        <v>47</v>
      </c>
      <c r="E41" s="30"/>
      <c r="F41" s="51"/>
      <c r="G41" s="26"/>
      <c r="H41" s="62"/>
      <c r="I41" s="62"/>
      <c r="J41" s="52"/>
      <c r="K41" s="52"/>
      <c r="L41" s="64"/>
      <c r="M41" s="85"/>
      <c r="N41" s="85"/>
      <c r="O41" s="85"/>
      <c r="P41" s="78"/>
    </row>
    <row r="42" spans="1:16" ht="15" customHeight="1" x14ac:dyDescent="0.25">
      <c r="A42" s="124"/>
      <c r="B42" s="126"/>
      <c r="C42" s="138"/>
      <c r="D42" s="27" t="s">
        <v>60</v>
      </c>
      <c r="E42" s="30" t="s">
        <v>133</v>
      </c>
      <c r="F42" s="51"/>
      <c r="G42" s="26"/>
      <c r="H42" s="62"/>
      <c r="I42" s="62"/>
      <c r="J42" s="52"/>
      <c r="K42" s="52"/>
      <c r="L42" s="64"/>
      <c r="M42" s="85"/>
      <c r="N42" s="85"/>
      <c r="O42" s="85"/>
      <c r="P42" s="78"/>
    </row>
    <row r="43" spans="1:16" ht="15" customHeight="1" x14ac:dyDescent="0.25">
      <c r="A43" s="124"/>
      <c r="B43" s="126"/>
      <c r="C43" s="138"/>
      <c r="D43" s="27" t="s">
        <v>61</v>
      </c>
      <c r="E43" s="30" t="s">
        <v>134</v>
      </c>
      <c r="F43" s="27"/>
      <c r="G43" s="26"/>
      <c r="H43" s="62"/>
      <c r="I43" s="62"/>
      <c r="J43" s="52"/>
      <c r="K43" s="52"/>
      <c r="L43" s="64"/>
      <c r="M43" s="85"/>
      <c r="N43" s="85"/>
      <c r="O43" s="85"/>
      <c r="P43" s="78"/>
    </row>
    <row r="44" spans="1:16" ht="15" customHeight="1" x14ac:dyDescent="0.25">
      <c r="A44" s="124"/>
      <c r="B44" s="126"/>
      <c r="C44" s="138"/>
      <c r="D44" s="27" t="s">
        <v>62</v>
      </c>
      <c r="E44" s="30" t="s">
        <v>127</v>
      </c>
      <c r="F44" s="51"/>
      <c r="G44" s="26"/>
      <c r="H44" s="62"/>
      <c r="I44" s="62"/>
      <c r="J44" s="52"/>
      <c r="K44" s="52"/>
      <c r="L44" s="64"/>
      <c r="M44" s="85"/>
      <c r="N44" s="85"/>
      <c r="O44" s="85"/>
      <c r="P44" s="78"/>
    </row>
    <row r="45" spans="1:16" ht="15" customHeight="1" x14ac:dyDescent="0.25">
      <c r="A45" s="124"/>
      <c r="B45" s="126"/>
      <c r="C45" s="138"/>
      <c r="D45" s="27" t="s">
        <v>63</v>
      </c>
      <c r="E45" s="30" t="s">
        <v>126</v>
      </c>
      <c r="F45" s="51"/>
      <c r="G45" s="26"/>
      <c r="H45" s="62"/>
      <c r="I45" s="62"/>
      <c r="J45" s="52"/>
      <c r="K45" s="52"/>
      <c r="L45" s="64"/>
      <c r="M45" s="85"/>
      <c r="N45" s="85"/>
      <c r="O45" s="85"/>
      <c r="P45" s="78"/>
    </row>
    <row r="46" spans="1:16" ht="15" customHeight="1" x14ac:dyDescent="0.25">
      <c r="A46" s="124"/>
      <c r="B46" s="126"/>
      <c r="C46" s="138"/>
      <c r="D46" s="27" t="s">
        <v>39</v>
      </c>
      <c r="E46" s="30" t="s">
        <v>135</v>
      </c>
      <c r="F46" s="51"/>
      <c r="G46" s="26"/>
      <c r="H46" s="62"/>
      <c r="I46" s="62"/>
      <c r="J46" s="52"/>
      <c r="K46" s="52"/>
      <c r="L46" s="64"/>
      <c r="M46" s="85"/>
      <c r="N46" s="85"/>
      <c r="O46" s="85"/>
      <c r="P46" s="78"/>
    </row>
    <row r="47" spans="1:16" ht="15" customHeight="1" x14ac:dyDescent="0.25">
      <c r="A47" s="124"/>
      <c r="B47" s="126"/>
      <c r="C47" s="138"/>
      <c r="D47" s="27" t="s">
        <v>48</v>
      </c>
      <c r="E47" s="30"/>
      <c r="F47" s="51"/>
      <c r="G47" s="26"/>
      <c r="H47" s="62"/>
      <c r="I47" s="62"/>
      <c r="J47" s="52"/>
      <c r="K47" s="52"/>
      <c r="L47" s="64"/>
      <c r="M47" s="85"/>
      <c r="N47" s="85"/>
      <c r="O47" s="85"/>
      <c r="P47" s="78"/>
    </row>
    <row r="48" spans="1:16" ht="15" customHeight="1" x14ac:dyDescent="0.25">
      <c r="A48" s="124"/>
      <c r="B48" s="126"/>
      <c r="C48" s="138"/>
      <c r="D48" s="27" t="s">
        <v>49</v>
      </c>
      <c r="E48" s="30"/>
      <c r="F48" s="51"/>
      <c r="G48" s="26"/>
      <c r="H48" s="62"/>
      <c r="I48" s="62"/>
      <c r="J48" s="52"/>
      <c r="K48" s="52"/>
      <c r="L48" s="64"/>
      <c r="M48" s="85"/>
      <c r="N48" s="85"/>
      <c r="O48" s="85"/>
      <c r="P48" s="78"/>
    </row>
    <row r="49" spans="1:16" ht="15" customHeight="1" x14ac:dyDescent="0.25">
      <c r="A49" s="124"/>
      <c r="B49" s="126"/>
      <c r="C49" s="138"/>
      <c r="D49" s="27" t="s">
        <v>50</v>
      </c>
      <c r="E49" s="30" t="s">
        <v>136</v>
      </c>
      <c r="F49" s="51"/>
      <c r="G49" s="26"/>
      <c r="H49" s="62"/>
      <c r="I49" s="62"/>
      <c r="J49" s="52"/>
      <c r="K49" s="52"/>
      <c r="L49" s="64"/>
      <c r="M49" s="85"/>
      <c r="N49" s="85"/>
      <c r="O49" s="85"/>
      <c r="P49" s="78"/>
    </row>
    <row r="50" spans="1:16" ht="15" customHeight="1" x14ac:dyDescent="0.25">
      <c r="A50" s="124"/>
      <c r="B50" s="126"/>
      <c r="C50" s="138"/>
      <c r="D50" s="27" t="s">
        <v>51</v>
      </c>
      <c r="E50" s="25"/>
      <c r="F50" s="51"/>
      <c r="G50" s="26"/>
      <c r="H50" s="52"/>
      <c r="I50" s="52"/>
      <c r="J50" s="52"/>
      <c r="K50" s="52"/>
      <c r="L50" s="65"/>
      <c r="M50" s="28"/>
      <c r="N50" s="28"/>
      <c r="O50" s="28"/>
      <c r="P50" s="78"/>
    </row>
    <row r="51" spans="1:16" ht="15" customHeight="1" x14ac:dyDescent="0.25">
      <c r="A51" s="124"/>
      <c r="B51" s="126"/>
      <c r="C51" s="138"/>
      <c r="D51" s="27" t="s">
        <v>52</v>
      </c>
      <c r="E51" s="25"/>
      <c r="F51" s="30"/>
      <c r="G51" s="26"/>
      <c r="H51" s="52"/>
      <c r="I51" s="52"/>
      <c r="J51" s="52"/>
      <c r="K51" s="52"/>
      <c r="L51" s="65"/>
      <c r="M51" s="28"/>
      <c r="N51" s="28"/>
      <c r="O51" s="28"/>
      <c r="P51" s="78"/>
    </row>
    <row r="52" spans="1:16" ht="15" customHeight="1" x14ac:dyDescent="0.25">
      <c r="A52" s="124"/>
      <c r="B52" s="126"/>
      <c r="C52" s="138"/>
      <c r="D52" s="27" t="s">
        <v>37</v>
      </c>
      <c r="E52" s="25" t="s">
        <v>137</v>
      </c>
      <c r="F52" s="51"/>
      <c r="G52" s="26"/>
      <c r="H52" s="52"/>
      <c r="I52" s="52"/>
      <c r="J52" s="52"/>
      <c r="K52" s="52"/>
      <c r="L52" s="65"/>
      <c r="M52" s="28"/>
      <c r="N52" s="28"/>
      <c r="O52" s="28"/>
      <c r="P52" s="78"/>
    </row>
    <row r="53" spans="1:16" ht="15" customHeight="1" x14ac:dyDescent="0.25">
      <c r="A53" s="124"/>
      <c r="B53" s="126"/>
      <c r="C53" s="138"/>
      <c r="D53" s="27" t="s">
        <v>53</v>
      </c>
      <c r="E53" s="25" t="s">
        <v>123</v>
      </c>
      <c r="F53" s="51"/>
      <c r="G53" s="26"/>
      <c r="H53" s="52"/>
      <c r="I53" s="52"/>
      <c r="J53" s="52"/>
      <c r="K53" s="52"/>
      <c r="L53" s="65"/>
      <c r="M53" s="28"/>
      <c r="N53" s="28"/>
      <c r="O53" s="28"/>
      <c r="P53" s="78"/>
    </row>
    <row r="54" spans="1:16" ht="17.25" customHeight="1" x14ac:dyDescent="0.25">
      <c r="A54" s="124"/>
      <c r="B54" s="126"/>
      <c r="C54" s="138"/>
      <c r="D54" s="27" t="s">
        <v>54</v>
      </c>
      <c r="E54" s="25"/>
      <c r="F54" s="51"/>
      <c r="G54" s="26"/>
      <c r="H54" s="62"/>
      <c r="I54" s="62"/>
      <c r="J54" s="52"/>
      <c r="K54" s="52"/>
      <c r="L54" s="64"/>
      <c r="M54" s="85"/>
      <c r="N54" s="85"/>
      <c r="O54" s="85"/>
      <c r="P54" s="78"/>
    </row>
    <row r="55" spans="1:16" ht="17.25" customHeight="1" thickBot="1" x14ac:dyDescent="0.3">
      <c r="A55" s="124"/>
      <c r="B55" s="126"/>
      <c r="C55" s="138"/>
      <c r="D55" s="41" t="s">
        <v>55</v>
      </c>
      <c r="E55" s="24" t="s">
        <v>124</v>
      </c>
      <c r="F55" s="51"/>
      <c r="G55" s="26"/>
      <c r="H55" s="62"/>
      <c r="I55" s="62"/>
      <c r="J55" s="52"/>
      <c r="K55" s="52"/>
      <c r="L55" s="64"/>
      <c r="M55" s="85"/>
      <c r="N55" s="85"/>
      <c r="O55" s="85"/>
      <c r="P55" s="78"/>
    </row>
    <row r="56" spans="1:16" ht="42" customHeight="1" x14ac:dyDescent="0.25">
      <c r="A56" s="124"/>
      <c r="B56" s="126"/>
      <c r="C56" s="139"/>
      <c r="D56" s="27" t="s">
        <v>223</v>
      </c>
      <c r="E56" s="105" t="s">
        <v>224</v>
      </c>
      <c r="F56" s="105"/>
      <c r="G56" s="26"/>
      <c r="H56" s="62"/>
      <c r="I56" s="62"/>
      <c r="J56" s="52"/>
      <c r="K56" s="52"/>
      <c r="L56" s="64"/>
      <c r="M56" s="85"/>
      <c r="N56" s="85"/>
      <c r="O56" s="85"/>
      <c r="P56" s="78"/>
    </row>
    <row r="57" spans="1:16" ht="15" customHeight="1" x14ac:dyDescent="0.25">
      <c r="A57" s="13"/>
      <c r="C57" s="26"/>
      <c r="D57" s="127" t="s">
        <v>113</v>
      </c>
      <c r="E57" s="25" t="s">
        <v>114</v>
      </c>
      <c r="F57" s="128"/>
      <c r="G57" s="26"/>
      <c r="H57" s="131" t="s">
        <v>144</v>
      </c>
      <c r="I57" s="132"/>
      <c r="J57" s="132"/>
      <c r="K57" s="29"/>
      <c r="L57" s="66"/>
      <c r="M57" s="66"/>
      <c r="N57" s="66"/>
      <c r="O57" s="66"/>
      <c r="P57" s="76"/>
    </row>
    <row r="58" spans="1:16" ht="15" customHeight="1" x14ac:dyDescent="0.25">
      <c r="A58" s="13"/>
      <c r="C58" s="26"/>
      <c r="D58" s="127"/>
      <c r="E58" s="25" t="s">
        <v>115</v>
      </c>
      <c r="F58" s="129"/>
      <c r="G58" s="26"/>
      <c r="H58" s="133"/>
      <c r="I58" s="134"/>
      <c r="J58" s="134"/>
      <c r="K58" s="29"/>
      <c r="L58" s="52"/>
      <c r="M58" s="52"/>
      <c r="N58" s="52"/>
      <c r="O58" s="52"/>
      <c r="P58" s="76"/>
    </row>
    <row r="59" spans="1:16" x14ac:dyDescent="0.25">
      <c r="A59" s="13"/>
      <c r="C59" s="26"/>
      <c r="D59" s="127"/>
      <c r="E59" s="25" t="s">
        <v>116</v>
      </c>
      <c r="F59" s="129"/>
      <c r="G59" s="26"/>
      <c r="H59" s="133"/>
      <c r="I59" s="134"/>
      <c r="J59" s="134"/>
      <c r="K59" s="29"/>
      <c r="L59" s="52"/>
      <c r="M59" s="52"/>
      <c r="N59" s="52"/>
      <c r="O59" s="52"/>
      <c r="P59" s="76"/>
    </row>
    <row r="60" spans="1:16" ht="15" customHeight="1" x14ac:dyDescent="0.25">
      <c r="A60" s="13"/>
      <c r="C60" s="26"/>
      <c r="D60" s="127"/>
      <c r="E60" s="25" t="s">
        <v>117</v>
      </c>
      <c r="F60" s="130"/>
      <c r="G60" s="26"/>
      <c r="H60" s="135"/>
      <c r="I60" s="136"/>
      <c r="J60" s="136"/>
      <c r="K60" s="55"/>
      <c r="L60" s="52"/>
      <c r="M60" s="52"/>
      <c r="N60" s="52"/>
      <c r="O60" s="52"/>
      <c r="P60" s="76"/>
    </row>
  </sheetData>
  <mergeCells count="27">
    <mergeCell ref="J3:K3"/>
    <mergeCell ref="A4:F4"/>
    <mergeCell ref="H4:P4"/>
    <mergeCell ref="A6:C6"/>
    <mergeCell ref="D6:F6"/>
    <mergeCell ref="H6:I6"/>
    <mergeCell ref="J6:K6"/>
    <mergeCell ref="L6:N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A35:A56"/>
    <mergeCell ref="B35:B56"/>
    <mergeCell ref="D57:D60"/>
    <mergeCell ref="F57:F60"/>
    <mergeCell ref="H57:J60"/>
    <mergeCell ref="C35:C5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165</v>
      </c>
      <c r="B1" s="4" t="s">
        <v>154</v>
      </c>
      <c r="C1" s="4"/>
      <c r="D1" s="4"/>
      <c r="E1" s="4"/>
      <c r="F1" s="4"/>
    </row>
    <row r="2" spans="1:6" s="13" customFormat="1" ht="34.5" x14ac:dyDescent="0.25">
      <c r="A2" s="44"/>
      <c r="B2" s="18"/>
      <c r="C2" s="18"/>
      <c r="D2" s="18"/>
      <c r="E2" s="18"/>
      <c r="F2" s="18"/>
    </row>
    <row r="3" spans="1:6" s="13" customFormat="1" ht="15" customHeight="1" x14ac:dyDescent="0.25">
      <c r="F3" s="67"/>
    </row>
    <row r="4" spans="1:6" ht="18" x14ac:dyDescent="0.25">
      <c r="A4" s="153" t="s">
        <v>138</v>
      </c>
      <c r="B4" s="154"/>
      <c r="C4" s="154"/>
      <c r="D4" s="154"/>
      <c r="E4" s="154"/>
      <c r="F4" s="155"/>
    </row>
    <row r="5" spans="1:6" ht="22.5" customHeight="1" x14ac:dyDescent="0.25">
      <c r="A5" s="156"/>
      <c r="B5" s="157"/>
      <c r="C5" s="157"/>
      <c r="D5" s="157"/>
      <c r="E5" s="157"/>
      <c r="F5" s="158"/>
    </row>
    <row r="6" spans="1:6" ht="22.5" customHeight="1" x14ac:dyDescent="0.25">
      <c r="B6" s="68"/>
      <c r="C6" s="68"/>
      <c r="D6" s="69"/>
      <c r="E6" s="70"/>
      <c r="F6" s="70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>
      <selection activeCell="G24" sqref="G24"/>
    </sheetView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165</v>
      </c>
      <c r="B1" s="4" t="s">
        <v>155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59" t="s">
        <v>138</v>
      </c>
      <c r="B4" s="159"/>
      <c r="C4" s="159"/>
      <c r="D4" s="159"/>
    </row>
    <row r="5" spans="1:25" ht="22.5" customHeight="1" x14ac:dyDescent="0.25">
      <c r="A5" s="160"/>
      <c r="B5" s="160"/>
      <c r="C5" s="160"/>
      <c r="D5" s="160"/>
    </row>
    <row r="6" spans="1:25" x14ac:dyDescent="0.25">
      <c r="B6" s="71"/>
      <c r="C6" s="72"/>
      <c r="D6" s="67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2"/>
  <sheetViews>
    <sheetView zoomScale="85" zoomScaleNormal="85" workbookViewId="0">
      <selection activeCell="T5" sqref="T5"/>
    </sheetView>
  </sheetViews>
  <sheetFormatPr defaultColWidth="9.140625" defaultRowHeight="15" outlineLevelRow="1" x14ac:dyDescent="0.25"/>
  <cols>
    <col min="1" max="1" width="16.5703125" style="13" customWidth="1"/>
    <col min="2" max="3" width="16.28515625" style="13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165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61" t="s">
        <v>0</v>
      </c>
      <c r="B4" s="150" t="s">
        <v>10</v>
      </c>
      <c r="C4" s="152"/>
      <c r="D4" s="151"/>
      <c r="E4" s="150" t="s">
        <v>9</v>
      </c>
      <c r="F4" s="152"/>
      <c r="G4" s="163" t="s">
        <v>68</v>
      </c>
      <c r="H4" s="163" t="s">
        <v>4</v>
      </c>
    </row>
    <row r="5" spans="1:30" ht="30" customHeight="1" x14ac:dyDescent="0.25">
      <c r="A5" s="162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62"/>
      <c r="H5" s="162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169</v>
      </c>
      <c r="B7" s="25">
        <f>SUM(B8:B16)</f>
        <v>9</v>
      </c>
      <c r="C7" s="32" t="s">
        <v>36</v>
      </c>
      <c r="D7" s="32" t="s">
        <v>36</v>
      </c>
      <c r="E7" s="30">
        <f>SUM(E8:E16)</f>
        <v>65</v>
      </c>
      <c r="F7" s="30">
        <f>SUM(F8:F16)</f>
        <v>32</v>
      </c>
      <c r="G7" s="33" t="s">
        <v>180</v>
      </c>
      <c r="H7" s="25">
        <v>1</v>
      </c>
    </row>
    <row r="8" spans="1:30" outlineLevel="1" x14ac:dyDescent="0.25">
      <c r="A8" s="25" t="s">
        <v>170</v>
      </c>
      <c r="B8" s="25">
        <v>1</v>
      </c>
      <c r="C8" s="10" t="s">
        <v>186</v>
      </c>
      <c r="D8" s="10">
        <v>7252</v>
      </c>
      <c r="E8" s="10">
        <v>8</v>
      </c>
      <c r="F8" s="25">
        <v>10</v>
      </c>
      <c r="G8" s="33" t="s">
        <v>180</v>
      </c>
      <c r="H8" s="25">
        <v>1</v>
      </c>
    </row>
    <row r="9" spans="1:30" outlineLevel="1" x14ac:dyDescent="0.25">
      <c r="A9" s="26"/>
      <c r="B9" s="25">
        <v>1</v>
      </c>
      <c r="C9" s="10" t="s">
        <v>187</v>
      </c>
      <c r="D9" s="10">
        <v>7253</v>
      </c>
      <c r="E9" s="10">
        <v>10</v>
      </c>
      <c r="F9" s="25">
        <v>0</v>
      </c>
      <c r="G9" s="33" t="s">
        <v>180</v>
      </c>
      <c r="H9" s="25">
        <v>1</v>
      </c>
    </row>
    <row r="10" spans="1:30" outlineLevel="1" x14ac:dyDescent="0.25">
      <c r="A10" s="26"/>
      <c r="B10" s="25">
        <v>1</v>
      </c>
      <c r="C10" s="10" t="s">
        <v>188</v>
      </c>
      <c r="D10" s="10">
        <v>7275</v>
      </c>
      <c r="E10" s="10">
        <v>6</v>
      </c>
      <c r="F10" s="25">
        <v>0</v>
      </c>
      <c r="G10" s="33" t="s">
        <v>180</v>
      </c>
      <c r="H10" s="25">
        <v>1</v>
      </c>
    </row>
    <row r="11" spans="1:30" outlineLevel="1" x14ac:dyDescent="0.25">
      <c r="A11" s="26"/>
      <c r="B11" s="25">
        <v>1</v>
      </c>
      <c r="C11" s="10" t="s">
        <v>189</v>
      </c>
      <c r="D11" s="10">
        <v>7276</v>
      </c>
      <c r="E11" s="10">
        <v>3</v>
      </c>
      <c r="F11" s="25">
        <v>0</v>
      </c>
      <c r="G11" s="33" t="s">
        <v>180</v>
      </c>
      <c r="H11" s="25">
        <v>1</v>
      </c>
    </row>
    <row r="12" spans="1:30" outlineLevel="1" x14ac:dyDescent="0.25">
      <c r="A12" s="26"/>
      <c r="B12" s="25">
        <v>1</v>
      </c>
      <c r="C12" s="10" t="s">
        <v>168</v>
      </c>
      <c r="D12" s="10">
        <v>7248</v>
      </c>
      <c r="E12" s="10">
        <v>3</v>
      </c>
      <c r="F12" s="25">
        <v>0</v>
      </c>
      <c r="G12" s="33" t="s">
        <v>180</v>
      </c>
      <c r="H12" s="25">
        <v>1</v>
      </c>
    </row>
    <row r="13" spans="1:30" outlineLevel="1" x14ac:dyDescent="0.25">
      <c r="A13" s="26"/>
      <c r="B13" s="25">
        <v>1</v>
      </c>
      <c r="C13" s="10" t="s">
        <v>190</v>
      </c>
      <c r="D13" s="10">
        <v>7249</v>
      </c>
      <c r="E13" s="10">
        <v>10</v>
      </c>
      <c r="F13" s="25">
        <v>12</v>
      </c>
      <c r="G13" s="33" t="s">
        <v>180</v>
      </c>
      <c r="H13" s="25">
        <v>1</v>
      </c>
    </row>
    <row r="14" spans="1:30" outlineLevel="1" x14ac:dyDescent="0.25">
      <c r="A14" s="26"/>
      <c r="B14" s="25">
        <v>1</v>
      </c>
      <c r="C14" s="10" t="s">
        <v>191</v>
      </c>
      <c r="D14" s="10">
        <v>7277</v>
      </c>
      <c r="E14" s="10">
        <v>9</v>
      </c>
      <c r="F14" s="25">
        <v>0</v>
      </c>
      <c r="G14" s="33" t="s">
        <v>180</v>
      </c>
      <c r="H14" s="25">
        <v>1</v>
      </c>
    </row>
    <row r="15" spans="1:30" outlineLevel="1" x14ac:dyDescent="0.25">
      <c r="A15" s="26"/>
      <c r="B15" s="25">
        <v>1</v>
      </c>
      <c r="C15" s="10" t="s">
        <v>192</v>
      </c>
      <c r="D15" s="10">
        <v>7268</v>
      </c>
      <c r="E15" s="10">
        <v>8</v>
      </c>
      <c r="F15" s="25">
        <v>10</v>
      </c>
      <c r="G15" s="33" t="s">
        <v>180</v>
      </c>
      <c r="H15" s="25">
        <v>1</v>
      </c>
    </row>
    <row r="16" spans="1:30" outlineLevel="1" x14ac:dyDescent="0.25">
      <c r="A16" s="26"/>
      <c r="B16" s="25">
        <v>1</v>
      </c>
      <c r="C16" s="10" t="s">
        <v>193</v>
      </c>
      <c r="D16" s="10">
        <v>7249</v>
      </c>
      <c r="E16" s="10">
        <v>8</v>
      </c>
      <c r="F16" s="25">
        <v>0</v>
      </c>
      <c r="G16" s="33" t="s">
        <v>180</v>
      </c>
      <c r="H16" s="25">
        <v>1</v>
      </c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31" t="s">
        <v>171</v>
      </c>
      <c r="B18" s="25">
        <f>SUM(B19:B20)</f>
        <v>2</v>
      </c>
      <c r="C18" s="32" t="s">
        <v>36</v>
      </c>
      <c r="D18" s="32" t="s">
        <v>36</v>
      </c>
      <c r="E18" s="30">
        <f>SUM(E19:E20)</f>
        <v>4</v>
      </c>
      <c r="F18" s="30">
        <f>SUM(F19:F20)</f>
        <v>11</v>
      </c>
      <c r="G18" s="33" t="s">
        <v>181</v>
      </c>
      <c r="H18" s="25">
        <v>1</v>
      </c>
    </row>
    <row r="19" spans="1:8" outlineLevel="1" x14ac:dyDescent="0.25">
      <c r="A19" s="25" t="s">
        <v>172</v>
      </c>
      <c r="B19" s="25">
        <v>1</v>
      </c>
      <c r="C19" s="10" t="s">
        <v>194</v>
      </c>
      <c r="D19" s="10">
        <v>7256</v>
      </c>
      <c r="E19" s="10">
        <v>4</v>
      </c>
      <c r="F19" s="25">
        <v>2</v>
      </c>
      <c r="G19" s="33" t="s">
        <v>181</v>
      </c>
      <c r="H19" s="25">
        <v>1</v>
      </c>
    </row>
    <row r="20" spans="1:8" outlineLevel="1" x14ac:dyDescent="0.25">
      <c r="A20" s="26"/>
      <c r="B20" s="25">
        <v>1</v>
      </c>
      <c r="C20" s="10" t="s">
        <v>195</v>
      </c>
      <c r="D20" s="10">
        <v>7325</v>
      </c>
      <c r="E20" s="10">
        <v>0</v>
      </c>
      <c r="F20" s="25">
        <v>9</v>
      </c>
      <c r="G20" s="33" t="s">
        <v>181</v>
      </c>
      <c r="H20" s="25">
        <v>1</v>
      </c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31" t="s">
        <v>173</v>
      </c>
      <c r="B22" s="25">
        <f>SUM(B23:B29)</f>
        <v>7</v>
      </c>
      <c r="C22" s="32" t="s">
        <v>36</v>
      </c>
      <c r="D22" s="32" t="s">
        <v>36</v>
      </c>
      <c r="E22" s="30">
        <f>SUM(E23:E29)</f>
        <v>46</v>
      </c>
      <c r="F22" s="30">
        <f>SUM(F23:F29)</f>
        <v>0</v>
      </c>
      <c r="G22" s="33" t="s">
        <v>222</v>
      </c>
      <c r="H22" s="25">
        <v>1</v>
      </c>
    </row>
    <row r="23" spans="1:8" outlineLevel="1" x14ac:dyDescent="0.25">
      <c r="A23" s="25" t="s">
        <v>174</v>
      </c>
      <c r="B23" s="25">
        <v>1</v>
      </c>
      <c r="C23" s="10" t="s">
        <v>196</v>
      </c>
      <c r="D23" s="10">
        <v>7011</v>
      </c>
      <c r="E23" s="10">
        <v>6</v>
      </c>
      <c r="F23" s="25">
        <v>0</v>
      </c>
      <c r="G23" s="33" t="s">
        <v>222</v>
      </c>
      <c r="H23" s="25">
        <v>1</v>
      </c>
    </row>
    <row r="24" spans="1:8" outlineLevel="1" x14ac:dyDescent="0.25">
      <c r="A24" s="26"/>
      <c r="B24" s="25">
        <v>1</v>
      </c>
      <c r="C24" s="10" t="s">
        <v>197</v>
      </c>
      <c r="D24" s="10">
        <v>7011</v>
      </c>
      <c r="E24" s="10">
        <v>8</v>
      </c>
      <c r="F24" s="25">
        <v>0</v>
      </c>
      <c r="G24" s="33" t="s">
        <v>222</v>
      </c>
      <c r="H24" s="25">
        <v>1</v>
      </c>
    </row>
    <row r="25" spans="1:8" outlineLevel="1" x14ac:dyDescent="0.25">
      <c r="A25" s="26"/>
      <c r="B25" s="25">
        <v>1</v>
      </c>
      <c r="C25" s="10" t="s">
        <v>198</v>
      </c>
      <c r="D25" s="10">
        <v>7010</v>
      </c>
      <c r="E25" s="10">
        <v>9</v>
      </c>
      <c r="F25" s="25">
        <v>0</v>
      </c>
      <c r="G25" s="33" t="s">
        <v>222</v>
      </c>
      <c r="H25" s="25">
        <v>1</v>
      </c>
    </row>
    <row r="26" spans="1:8" outlineLevel="1" x14ac:dyDescent="0.25">
      <c r="A26" s="26"/>
      <c r="B26" s="25">
        <v>1</v>
      </c>
      <c r="C26" s="10" t="s">
        <v>199</v>
      </c>
      <c r="D26" s="10">
        <v>7009</v>
      </c>
      <c r="E26" s="10">
        <v>8</v>
      </c>
      <c r="F26" s="25">
        <v>0</v>
      </c>
      <c r="G26" s="33" t="s">
        <v>222</v>
      </c>
      <c r="H26" s="25">
        <v>1</v>
      </c>
    </row>
    <row r="27" spans="1:8" outlineLevel="1" x14ac:dyDescent="0.25">
      <c r="A27" s="26"/>
      <c r="B27" s="25">
        <v>1</v>
      </c>
      <c r="C27" s="10" t="s">
        <v>200</v>
      </c>
      <c r="D27" s="10">
        <v>7005</v>
      </c>
      <c r="E27" s="10">
        <v>3</v>
      </c>
      <c r="F27" s="25">
        <v>0</v>
      </c>
      <c r="G27" s="33" t="s">
        <v>222</v>
      </c>
      <c r="H27" s="25">
        <v>1</v>
      </c>
    </row>
    <row r="28" spans="1:8" outlineLevel="1" x14ac:dyDescent="0.25">
      <c r="A28" s="26"/>
      <c r="B28" s="25">
        <v>1</v>
      </c>
      <c r="C28" s="10" t="s">
        <v>201</v>
      </c>
      <c r="D28" s="10">
        <v>7004</v>
      </c>
      <c r="E28" s="10">
        <v>6</v>
      </c>
      <c r="F28" s="25">
        <v>0</v>
      </c>
      <c r="G28" s="33" t="s">
        <v>222</v>
      </c>
      <c r="H28" s="25">
        <v>1</v>
      </c>
    </row>
    <row r="29" spans="1:8" outlineLevel="1" x14ac:dyDescent="0.25">
      <c r="A29" s="26"/>
      <c r="B29" s="25">
        <v>1</v>
      </c>
      <c r="C29" s="10" t="s">
        <v>202</v>
      </c>
      <c r="D29" s="10">
        <v>7053</v>
      </c>
      <c r="E29" s="10">
        <v>6</v>
      </c>
      <c r="F29" s="25">
        <v>0</v>
      </c>
      <c r="G29" s="33" t="s">
        <v>222</v>
      </c>
      <c r="H29" s="25">
        <v>1</v>
      </c>
    </row>
    <row r="31" spans="1:8" x14ac:dyDescent="0.25">
      <c r="A31" s="31" t="s">
        <v>175</v>
      </c>
      <c r="B31" s="25">
        <f>SUM(B32:B40)</f>
        <v>9</v>
      </c>
      <c r="C31" s="32" t="s">
        <v>36</v>
      </c>
      <c r="D31" s="32" t="s">
        <v>36</v>
      </c>
      <c r="E31" s="30">
        <f>SUM(E32:E40)</f>
        <v>54</v>
      </c>
      <c r="F31" s="30">
        <f>SUM(F32:F40)</f>
        <v>0</v>
      </c>
      <c r="G31" s="33" t="s">
        <v>35</v>
      </c>
      <c r="H31" s="25">
        <v>1</v>
      </c>
    </row>
    <row r="32" spans="1:8" outlineLevel="1" x14ac:dyDescent="0.25">
      <c r="A32" s="25" t="s">
        <v>176</v>
      </c>
      <c r="B32" s="25">
        <v>1</v>
      </c>
      <c r="C32" s="10" t="s">
        <v>203</v>
      </c>
      <c r="D32" s="10">
        <v>7112</v>
      </c>
      <c r="E32" s="10">
        <v>4</v>
      </c>
      <c r="F32" s="25">
        <v>0</v>
      </c>
      <c r="G32" s="33" t="s">
        <v>35</v>
      </c>
      <c r="H32" s="25">
        <v>1</v>
      </c>
    </row>
    <row r="33" spans="1:8" outlineLevel="1" x14ac:dyDescent="0.25">
      <c r="A33" s="26"/>
      <c r="B33" s="25">
        <v>1</v>
      </c>
      <c r="C33" s="10" t="s">
        <v>204</v>
      </c>
      <c r="D33" s="10">
        <v>7117</v>
      </c>
      <c r="E33" s="10">
        <v>6</v>
      </c>
      <c r="F33" s="25">
        <v>0</v>
      </c>
      <c r="G33" s="33" t="s">
        <v>35</v>
      </c>
      <c r="H33" s="25">
        <v>1</v>
      </c>
    </row>
    <row r="34" spans="1:8" outlineLevel="1" x14ac:dyDescent="0.25">
      <c r="A34" s="26"/>
      <c r="B34" s="25">
        <v>1</v>
      </c>
      <c r="C34" s="10" t="s">
        <v>205</v>
      </c>
      <c r="D34" s="10">
        <v>7054</v>
      </c>
      <c r="E34" s="10">
        <v>5</v>
      </c>
      <c r="F34" s="25">
        <v>0</v>
      </c>
      <c r="G34" s="33" t="s">
        <v>35</v>
      </c>
      <c r="H34" s="25">
        <v>1</v>
      </c>
    </row>
    <row r="35" spans="1:8" outlineLevel="1" x14ac:dyDescent="0.25">
      <c r="A35" s="26"/>
      <c r="B35" s="25">
        <v>1</v>
      </c>
      <c r="C35" s="10" t="s">
        <v>206</v>
      </c>
      <c r="D35" s="10">
        <v>7021</v>
      </c>
      <c r="E35" s="10">
        <v>8</v>
      </c>
      <c r="F35" s="25">
        <v>0</v>
      </c>
      <c r="G35" s="33" t="s">
        <v>35</v>
      </c>
      <c r="H35" s="25">
        <v>1</v>
      </c>
    </row>
    <row r="36" spans="1:8" outlineLevel="1" x14ac:dyDescent="0.25">
      <c r="A36" s="26"/>
      <c r="B36" s="25">
        <v>1</v>
      </c>
      <c r="C36" s="10" t="s">
        <v>207</v>
      </c>
      <c r="D36" s="10">
        <v>7015</v>
      </c>
      <c r="E36" s="10">
        <v>5</v>
      </c>
      <c r="F36" s="25">
        <v>0</v>
      </c>
      <c r="G36" s="33" t="s">
        <v>35</v>
      </c>
      <c r="H36" s="25">
        <v>1</v>
      </c>
    </row>
    <row r="37" spans="1:8" outlineLevel="1" x14ac:dyDescent="0.25">
      <c r="A37" s="26"/>
      <c r="B37" s="25">
        <v>1</v>
      </c>
      <c r="C37" s="10" t="s">
        <v>208</v>
      </c>
      <c r="D37" s="10">
        <v>7016</v>
      </c>
      <c r="E37" s="10">
        <v>4</v>
      </c>
      <c r="F37" s="25">
        <v>0</v>
      </c>
      <c r="G37" s="33" t="s">
        <v>35</v>
      </c>
      <c r="H37" s="25">
        <v>1</v>
      </c>
    </row>
    <row r="38" spans="1:8" outlineLevel="1" x14ac:dyDescent="0.25">
      <c r="A38" s="26"/>
      <c r="B38" s="25">
        <v>1</v>
      </c>
      <c r="C38" s="10" t="s">
        <v>209</v>
      </c>
      <c r="D38" s="10">
        <v>7019</v>
      </c>
      <c r="E38" s="10">
        <v>11</v>
      </c>
      <c r="F38" s="25">
        <v>0</v>
      </c>
      <c r="G38" s="33" t="s">
        <v>35</v>
      </c>
      <c r="H38" s="25">
        <v>1</v>
      </c>
    </row>
    <row r="39" spans="1:8" outlineLevel="1" x14ac:dyDescent="0.25">
      <c r="A39" s="26"/>
      <c r="B39" s="25">
        <v>1</v>
      </c>
      <c r="C39" s="10" t="s">
        <v>210</v>
      </c>
      <c r="D39" s="10">
        <v>7170</v>
      </c>
      <c r="E39" s="10">
        <v>5</v>
      </c>
      <c r="F39" s="25">
        <v>0</v>
      </c>
      <c r="G39" s="33" t="s">
        <v>35</v>
      </c>
      <c r="H39" s="25">
        <v>1</v>
      </c>
    </row>
    <row r="40" spans="1:8" outlineLevel="1" x14ac:dyDescent="0.25">
      <c r="A40" s="26"/>
      <c r="B40" s="25">
        <v>1</v>
      </c>
      <c r="C40" s="10" t="s">
        <v>211</v>
      </c>
      <c r="D40" s="10">
        <v>7018</v>
      </c>
      <c r="E40" s="10">
        <v>6</v>
      </c>
      <c r="F40" s="25">
        <v>0</v>
      </c>
      <c r="G40" s="33" t="s">
        <v>35</v>
      </c>
      <c r="H40" s="25">
        <v>1</v>
      </c>
    </row>
    <row r="42" spans="1:8" x14ac:dyDescent="0.25">
      <c r="A42" s="31" t="s">
        <v>183</v>
      </c>
      <c r="B42" s="25">
        <f>SUM(B43:B52)</f>
        <v>10</v>
      </c>
      <c r="C42" s="32" t="s">
        <v>36</v>
      </c>
      <c r="D42" s="32" t="s">
        <v>36</v>
      </c>
      <c r="E42" s="30">
        <f>SUM(E43:E52)</f>
        <v>45</v>
      </c>
      <c r="F42" s="30">
        <f>SUM(F43:F52)</f>
        <v>0</v>
      </c>
      <c r="G42" s="33" t="s">
        <v>181</v>
      </c>
      <c r="H42" s="25">
        <v>1</v>
      </c>
    </row>
    <row r="43" spans="1:8" outlineLevel="1" x14ac:dyDescent="0.25">
      <c r="A43" s="25" t="s">
        <v>184</v>
      </c>
      <c r="B43" s="25">
        <v>1</v>
      </c>
      <c r="C43" s="10" t="s">
        <v>212</v>
      </c>
      <c r="D43" s="10">
        <v>7030</v>
      </c>
      <c r="E43" s="10">
        <v>5</v>
      </c>
      <c r="F43" s="25">
        <v>0</v>
      </c>
      <c r="G43" s="33" t="s">
        <v>181</v>
      </c>
      <c r="H43" s="25">
        <v>1</v>
      </c>
    </row>
    <row r="44" spans="1:8" outlineLevel="1" x14ac:dyDescent="0.25">
      <c r="A44" s="26"/>
      <c r="B44" s="25">
        <v>1</v>
      </c>
      <c r="C44" s="10" t="s">
        <v>213</v>
      </c>
      <c r="D44" s="10">
        <v>7291</v>
      </c>
      <c r="E44" s="10">
        <v>5</v>
      </c>
      <c r="F44" s="25">
        <v>0</v>
      </c>
      <c r="G44" s="33" t="s">
        <v>181</v>
      </c>
      <c r="H44" s="25">
        <v>1</v>
      </c>
    </row>
    <row r="45" spans="1:8" outlineLevel="1" x14ac:dyDescent="0.25">
      <c r="A45" s="26"/>
      <c r="B45" s="25">
        <v>1</v>
      </c>
      <c r="C45" s="10" t="s">
        <v>214</v>
      </c>
      <c r="D45" s="10">
        <v>7212</v>
      </c>
      <c r="E45" s="10">
        <v>4</v>
      </c>
      <c r="F45" s="25">
        <v>0</v>
      </c>
      <c r="G45" s="33" t="s">
        <v>181</v>
      </c>
      <c r="H45" s="25">
        <v>1</v>
      </c>
    </row>
    <row r="46" spans="1:8" outlineLevel="1" x14ac:dyDescent="0.25">
      <c r="A46" s="26"/>
      <c r="B46" s="25">
        <v>1</v>
      </c>
      <c r="C46" s="10" t="s">
        <v>215</v>
      </c>
      <c r="D46" s="10">
        <v>7030</v>
      </c>
      <c r="E46" s="10">
        <v>3</v>
      </c>
      <c r="F46" s="25">
        <v>0</v>
      </c>
      <c r="G46" s="33" t="s">
        <v>181</v>
      </c>
      <c r="H46" s="25">
        <v>1</v>
      </c>
    </row>
    <row r="47" spans="1:8" outlineLevel="1" x14ac:dyDescent="0.25">
      <c r="A47" s="26"/>
      <c r="B47" s="25">
        <v>1</v>
      </c>
      <c r="C47" s="10" t="s">
        <v>216</v>
      </c>
      <c r="D47" s="10">
        <v>7290</v>
      </c>
      <c r="E47" s="10">
        <v>4</v>
      </c>
      <c r="F47" s="25">
        <v>0</v>
      </c>
      <c r="G47" s="33" t="s">
        <v>181</v>
      </c>
      <c r="H47" s="25">
        <v>1</v>
      </c>
    </row>
    <row r="48" spans="1:8" outlineLevel="1" x14ac:dyDescent="0.25">
      <c r="A48" s="26"/>
      <c r="B48" s="25">
        <v>1</v>
      </c>
      <c r="C48" s="10" t="s">
        <v>217</v>
      </c>
      <c r="D48" s="10">
        <v>7140</v>
      </c>
      <c r="E48" s="10">
        <v>3</v>
      </c>
      <c r="F48" s="25">
        <v>0</v>
      </c>
      <c r="G48" s="33" t="s">
        <v>181</v>
      </c>
      <c r="H48" s="25">
        <v>1</v>
      </c>
    </row>
    <row r="49" spans="1:8" outlineLevel="1" x14ac:dyDescent="0.25">
      <c r="A49" s="26"/>
      <c r="B49" s="25">
        <v>1</v>
      </c>
      <c r="C49" s="10" t="s">
        <v>218</v>
      </c>
      <c r="D49" s="10">
        <v>7140</v>
      </c>
      <c r="E49" s="10">
        <v>7</v>
      </c>
      <c r="F49" s="25">
        <v>0</v>
      </c>
      <c r="G49" s="33" t="s">
        <v>181</v>
      </c>
      <c r="H49" s="25">
        <v>1</v>
      </c>
    </row>
    <row r="50" spans="1:8" outlineLevel="1" x14ac:dyDescent="0.25">
      <c r="A50" s="26"/>
      <c r="B50" s="25">
        <v>1</v>
      </c>
      <c r="C50" s="10" t="s">
        <v>219</v>
      </c>
      <c r="D50" s="10">
        <v>7017</v>
      </c>
      <c r="E50" s="10">
        <v>6</v>
      </c>
      <c r="F50" s="25">
        <v>0</v>
      </c>
      <c r="G50" s="33" t="s">
        <v>181</v>
      </c>
      <c r="H50" s="25">
        <v>1</v>
      </c>
    </row>
    <row r="51" spans="1:8" outlineLevel="1" x14ac:dyDescent="0.25">
      <c r="A51" s="26"/>
      <c r="B51" s="25">
        <v>1</v>
      </c>
      <c r="C51" s="10" t="s">
        <v>220</v>
      </c>
      <c r="D51" s="10">
        <v>7140</v>
      </c>
      <c r="E51" s="10">
        <v>4</v>
      </c>
      <c r="F51" s="25">
        <v>0</v>
      </c>
      <c r="G51" s="33" t="s">
        <v>181</v>
      </c>
      <c r="H51" s="25">
        <v>1</v>
      </c>
    </row>
    <row r="52" spans="1:8" outlineLevel="1" x14ac:dyDescent="0.25">
      <c r="A52" s="26"/>
      <c r="B52" s="25">
        <v>1</v>
      </c>
      <c r="C52" s="10" t="s">
        <v>221</v>
      </c>
      <c r="D52" s="10">
        <v>7172</v>
      </c>
      <c r="E52" s="10">
        <v>4</v>
      </c>
      <c r="F52" s="25">
        <v>0</v>
      </c>
      <c r="G52" s="33" t="s">
        <v>181</v>
      </c>
      <c r="H52" s="25">
        <v>1</v>
      </c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21"/>
  <sheetViews>
    <sheetView zoomScale="85" zoomScaleNormal="85" workbookViewId="0">
      <selection activeCell="C26" sqref="C26"/>
    </sheetView>
  </sheetViews>
  <sheetFormatPr defaultColWidth="9.140625" defaultRowHeight="15" outlineLevelRow="1" x14ac:dyDescent="0.25"/>
  <cols>
    <col min="1" max="1" width="21" style="13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165</v>
      </c>
      <c r="B1" s="4" t="s">
        <v>56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61" t="s">
        <v>0</v>
      </c>
      <c r="B4" s="149" t="s">
        <v>10</v>
      </c>
      <c r="C4" s="149"/>
      <c r="D4" s="149"/>
      <c r="E4" s="149" t="s">
        <v>9</v>
      </c>
      <c r="F4" s="149"/>
      <c r="G4" s="149"/>
      <c r="H4" s="149"/>
      <c r="I4" s="149"/>
      <c r="J4" s="149"/>
      <c r="K4" s="149"/>
      <c r="L4" s="164" t="s">
        <v>68</v>
      </c>
      <c r="M4" s="164" t="s">
        <v>4</v>
      </c>
    </row>
    <row r="5" spans="1:48" ht="30" customHeight="1" x14ac:dyDescent="0.25">
      <c r="A5" s="166"/>
      <c r="B5" s="165" t="s">
        <v>3</v>
      </c>
      <c r="C5" s="165" t="s">
        <v>8</v>
      </c>
      <c r="D5" s="165" t="s">
        <v>13</v>
      </c>
      <c r="E5" s="167" t="s">
        <v>1</v>
      </c>
      <c r="F5" s="167" t="s">
        <v>148</v>
      </c>
      <c r="G5" s="165" t="s">
        <v>37</v>
      </c>
      <c r="H5" s="165" t="s">
        <v>38</v>
      </c>
      <c r="I5" s="165" t="s">
        <v>40</v>
      </c>
      <c r="J5" s="165" t="s">
        <v>41</v>
      </c>
      <c r="K5" s="165" t="s">
        <v>42</v>
      </c>
      <c r="L5" s="164"/>
      <c r="M5" s="164"/>
    </row>
    <row r="6" spans="1:48" ht="15" customHeight="1" x14ac:dyDescent="0.25">
      <c r="A6" s="162"/>
      <c r="B6" s="165"/>
      <c r="C6" s="165"/>
      <c r="D6" s="165"/>
      <c r="E6" s="168"/>
      <c r="F6" s="168"/>
      <c r="G6" s="165"/>
      <c r="H6" s="165"/>
      <c r="I6" s="165"/>
      <c r="J6" s="165"/>
      <c r="K6" s="165"/>
      <c r="L6" s="164"/>
      <c r="M6" s="164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169</v>
      </c>
      <c r="B8" s="25">
        <f>SUM(B9:B9)</f>
        <v>1</v>
      </c>
      <c r="C8" s="32" t="s">
        <v>36</v>
      </c>
      <c r="D8" s="32" t="s">
        <v>36</v>
      </c>
      <c r="E8" s="25">
        <f t="shared" ref="E8:K8" si="0">SUM(E9:E9)</f>
        <v>4</v>
      </c>
      <c r="F8" s="25">
        <f t="shared" si="0"/>
        <v>0</v>
      </c>
      <c r="G8" s="30">
        <f t="shared" si="0"/>
        <v>1</v>
      </c>
      <c r="H8" s="30">
        <f t="shared" si="0"/>
        <v>1</v>
      </c>
      <c r="I8" s="30">
        <f t="shared" si="0"/>
        <v>1</v>
      </c>
      <c r="J8" s="30">
        <f t="shared" si="0"/>
        <v>1</v>
      </c>
      <c r="K8" s="30">
        <f t="shared" si="0"/>
        <v>1</v>
      </c>
      <c r="L8" s="34" t="s">
        <v>180</v>
      </c>
      <c r="M8" s="32" t="s">
        <v>36</v>
      </c>
    </row>
    <row r="9" spans="1:48" s="26" customFormat="1" ht="14.25" outlineLevel="1" x14ac:dyDescent="0.2">
      <c r="A9" s="25" t="s">
        <v>170</v>
      </c>
      <c r="B9" s="25">
        <v>1</v>
      </c>
      <c r="C9" s="25" t="s">
        <v>168</v>
      </c>
      <c r="D9" s="25">
        <v>7248</v>
      </c>
      <c r="E9" s="25">
        <v>4</v>
      </c>
      <c r="F9" s="25">
        <v>0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34" t="s">
        <v>180</v>
      </c>
      <c r="M9" s="24">
        <v>14</v>
      </c>
    </row>
    <row r="10" spans="1:48" s="26" customFormat="1" ht="14.25" x14ac:dyDescent="0.2"/>
    <row r="11" spans="1:48" s="26" customFormat="1" ht="14.25" customHeight="1" x14ac:dyDescent="0.25">
      <c r="A11" s="31" t="s">
        <v>171</v>
      </c>
      <c r="B11" s="25">
        <f>SUM(B12:B12)</f>
        <v>1</v>
      </c>
      <c r="C11" s="32" t="s">
        <v>36</v>
      </c>
      <c r="D11" s="32" t="s">
        <v>36</v>
      </c>
      <c r="E11" s="25">
        <f t="shared" ref="E11:K11" si="1">SUM(E12:E12)</f>
        <v>9</v>
      </c>
      <c r="F11" s="25">
        <f t="shared" si="1"/>
        <v>13</v>
      </c>
      <c r="G11" s="30">
        <f t="shared" si="1"/>
        <v>1</v>
      </c>
      <c r="H11" s="30">
        <f t="shared" si="1"/>
        <v>1</v>
      </c>
      <c r="I11" s="30">
        <f t="shared" si="1"/>
        <v>1</v>
      </c>
      <c r="J11" s="30">
        <f t="shared" si="1"/>
        <v>1</v>
      </c>
      <c r="K11" s="30">
        <f t="shared" si="1"/>
        <v>1</v>
      </c>
      <c r="L11" s="34" t="s">
        <v>181</v>
      </c>
      <c r="M11" s="32" t="s">
        <v>36</v>
      </c>
    </row>
    <row r="12" spans="1:48" s="26" customFormat="1" ht="14.25" outlineLevel="1" x14ac:dyDescent="0.2">
      <c r="A12" s="25" t="s">
        <v>172</v>
      </c>
      <c r="B12" s="25">
        <v>1</v>
      </c>
      <c r="C12" s="25" t="s">
        <v>177</v>
      </c>
      <c r="D12" s="25">
        <v>7320</v>
      </c>
      <c r="E12" s="25">
        <v>9</v>
      </c>
      <c r="F12" s="25">
        <v>13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34" t="s">
        <v>181</v>
      </c>
      <c r="M12" s="24">
        <v>14</v>
      </c>
    </row>
    <row r="14" spans="1:48" s="26" customFormat="1" ht="14.25" customHeight="1" x14ac:dyDescent="0.25">
      <c r="A14" s="31" t="s">
        <v>173</v>
      </c>
      <c r="B14" s="25">
        <f>SUM(B15:B15)</f>
        <v>1</v>
      </c>
      <c r="C14" s="32" t="s">
        <v>36</v>
      </c>
      <c r="D14" s="32" t="s">
        <v>36</v>
      </c>
      <c r="E14" s="25">
        <f t="shared" ref="E14:K14" si="2">SUM(E15:E15)</f>
        <v>3</v>
      </c>
      <c r="F14" s="25">
        <f t="shared" si="2"/>
        <v>0</v>
      </c>
      <c r="G14" s="30">
        <f t="shared" si="2"/>
        <v>1</v>
      </c>
      <c r="H14" s="30">
        <f t="shared" si="2"/>
        <v>1</v>
      </c>
      <c r="I14" s="30">
        <f t="shared" si="2"/>
        <v>1</v>
      </c>
      <c r="J14" s="30">
        <f t="shared" si="2"/>
        <v>1</v>
      </c>
      <c r="K14" s="30">
        <f t="shared" si="2"/>
        <v>1</v>
      </c>
      <c r="L14" s="34" t="s">
        <v>182</v>
      </c>
      <c r="M14" s="32" t="s">
        <v>36</v>
      </c>
    </row>
    <row r="15" spans="1:48" s="26" customFormat="1" ht="14.25" outlineLevel="1" x14ac:dyDescent="0.2">
      <c r="A15" s="25" t="s">
        <v>174</v>
      </c>
      <c r="B15" s="25">
        <v>1</v>
      </c>
      <c r="C15" s="25" t="s">
        <v>178</v>
      </c>
      <c r="D15" s="25">
        <v>7000</v>
      </c>
      <c r="E15" s="25">
        <v>3</v>
      </c>
      <c r="F15" s="25">
        <v>0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34" t="s">
        <v>182</v>
      </c>
      <c r="M15" s="24">
        <v>14</v>
      </c>
    </row>
    <row r="17" spans="1:13" s="26" customFormat="1" ht="14.25" customHeight="1" x14ac:dyDescent="0.25">
      <c r="A17" s="31" t="s">
        <v>175</v>
      </c>
      <c r="B17" s="25">
        <f>SUM(B18:B18)</f>
        <v>1</v>
      </c>
      <c r="C17" s="32" t="s">
        <v>36</v>
      </c>
      <c r="D17" s="32" t="s">
        <v>36</v>
      </c>
      <c r="E17" s="25">
        <f t="shared" ref="E17:K17" si="3">SUM(E18:E18)</f>
        <v>4</v>
      </c>
      <c r="F17" s="25">
        <f t="shared" si="3"/>
        <v>0</v>
      </c>
      <c r="G17" s="30">
        <f t="shared" si="3"/>
        <v>1</v>
      </c>
      <c r="H17" s="30">
        <f t="shared" si="3"/>
        <v>1</v>
      </c>
      <c r="I17" s="30">
        <f t="shared" si="3"/>
        <v>1</v>
      </c>
      <c r="J17" s="30">
        <f t="shared" si="3"/>
        <v>1</v>
      </c>
      <c r="K17" s="30">
        <f t="shared" si="3"/>
        <v>1</v>
      </c>
      <c r="L17" s="34" t="s">
        <v>35</v>
      </c>
      <c r="M17" s="32" t="s">
        <v>36</v>
      </c>
    </row>
    <row r="18" spans="1:13" s="26" customFormat="1" ht="14.25" outlineLevel="1" x14ac:dyDescent="0.2">
      <c r="A18" s="25" t="s">
        <v>176</v>
      </c>
      <c r="B18" s="25">
        <v>1</v>
      </c>
      <c r="C18" s="25" t="s">
        <v>179</v>
      </c>
      <c r="D18" s="25">
        <v>7050</v>
      </c>
      <c r="E18" s="25">
        <v>4</v>
      </c>
      <c r="F18" s="25">
        <v>0</v>
      </c>
      <c r="G18" s="25">
        <v>1</v>
      </c>
      <c r="H18" s="25">
        <v>1</v>
      </c>
      <c r="I18" s="25">
        <v>1</v>
      </c>
      <c r="J18" s="25">
        <v>1</v>
      </c>
      <c r="K18" s="25">
        <v>1</v>
      </c>
      <c r="L18" s="34" t="s">
        <v>35</v>
      </c>
      <c r="M18" s="24">
        <v>14</v>
      </c>
    </row>
    <row r="20" spans="1:13" s="26" customFormat="1" ht="14.25" customHeight="1" x14ac:dyDescent="0.25">
      <c r="A20" s="31" t="s">
        <v>183</v>
      </c>
      <c r="B20" s="25">
        <f>SUM(B21:B21)</f>
        <v>0</v>
      </c>
      <c r="C20" s="32" t="s">
        <v>36</v>
      </c>
      <c r="D20" s="32" t="s">
        <v>36</v>
      </c>
      <c r="E20" s="25">
        <f t="shared" ref="E20:K20" si="4">SUM(E21:E21)</f>
        <v>0</v>
      </c>
      <c r="F20" s="25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  <c r="J20" s="30">
        <f t="shared" si="4"/>
        <v>0</v>
      </c>
      <c r="K20" s="30">
        <f t="shared" si="4"/>
        <v>0</v>
      </c>
      <c r="L20" s="34" t="s">
        <v>181</v>
      </c>
      <c r="M20" s="32" t="s">
        <v>36</v>
      </c>
    </row>
    <row r="21" spans="1:13" s="26" customFormat="1" ht="14.25" outlineLevel="1" x14ac:dyDescent="0.2">
      <c r="A21" s="25" t="s">
        <v>184</v>
      </c>
      <c r="B21" s="25"/>
      <c r="C21" s="25" t="s">
        <v>185</v>
      </c>
      <c r="D21" s="25"/>
      <c r="E21" s="25"/>
      <c r="F21" s="25"/>
      <c r="G21" s="25"/>
      <c r="H21" s="25"/>
      <c r="I21" s="25"/>
      <c r="J21" s="25"/>
      <c r="K21" s="25"/>
      <c r="L21" s="34"/>
      <c r="M21" s="24">
        <v>14</v>
      </c>
    </row>
  </sheetData>
  <mergeCells count="15"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  <mergeCell ref="L4:L6"/>
    <mergeCell ref="M4:M6"/>
    <mergeCell ref="I5:I6"/>
    <mergeCell ref="J5:J6"/>
    <mergeCell ref="K5:K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14" zoomScale="85" zoomScaleNormal="85" workbookViewId="0">
      <selection activeCell="D41" sqref="D41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45.7109375" style="22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84" t="s">
        <v>165</v>
      </c>
      <c r="B1" s="184"/>
      <c r="C1" s="4" t="s">
        <v>71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20" t="s">
        <v>69</v>
      </c>
      <c r="B4" s="120"/>
      <c r="C4" s="120"/>
      <c r="D4" s="120"/>
      <c r="E4" s="120"/>
      <c r="F4" s="120"/>
      <c r="G4" s="120"/>
      <c r="H4" s="120"/>
      <c r="I4" s="120"/>
    </row>
    <row r="6" spans="1:21" ht="30" customHeight="1" x14ac:dyDescent="0.25">
      <c r="F6" s="150" t="s">
        <v>66</v>
      </c>
      <c r="G6" s="152"/>
      <c r="H6" s="152"/>
      <c r="I6" s="151"/>
    </row>
    <row r="7" spans="1:21" s="19" customFormat="1" ht="49.5" customHeight="1" x14ac:dyDescent="0.25">
      <c r="A7" s="185" t="s">
        <v>70</v>
      </c>
      <c r="B7" s="186"/>
      <c r="C7" s="167" t="s">
        <v>64</v>
      </c>
      <c r="D7" s="167" t="s">
        <v>65</v>
      </c>
      <c r="E7" s="167" t="s">
        <v>67</v>
      </c>
      <c r="F7" s="167" t="s">
        <v>162</v>
      </c>
      <c r="G7" s="167" t="s">
        <v>149</v>
      </c>
      <c r="H7" s="167" t="s">
        <v>145</v>
      </c>
      <c r="I7" s="167" t="s">
        <v>146</v>
      </c>
      <c r="J7" s="86" t="s">
        <v>147</v>
      </c>
    </row>
    <row r="8" spans="1:21" s="19" customFormat="1" ht="19.5" customHeight="1" thickBot="1" x14ac:dyDescent="0.3">
      <c r="A8" s="187"/>
      <c r="B8" s="188"/>
      <c r="C8" s="189"/>
      <c r="D8" s="189"/>
      <c r="E8" s="189"/>
      <c r="F8" s="189"/>
      <c r="G8" s="189"/>
      <c r="H8" s="189"/>
      <c r="I8" s="189"/>
      <c r="J8" s="15"/>
    </row>
    <row r="9" spans="1:21" ht="18.75" customHeight="1" x14ac:dyDescent="0.25">
      <c r="A9" s="169" t="s">
        <v>163</v>
      </c>
      <c r="B9" s="170"/>
      <c r="C9" s="38" t="s">
        <v>57</v>
      </c>
      <c r="D9" s="39">
        <v>74</v>
      </c>
      <c r="E9" s="39">
        <v>135</v>
      </c>
      <c r="F9" s="87">
        <v>15</v>
      </c>
      <c r="G9" s="87">
        <v>30</v>
      </c>
      <c r="H9" s="87">
        <v>135</v>
      </c>
      <c r="I9" s="88">
        <v>15</v>
      </c>
    </row>
    <row r="10" spans="1:21" ht="18.75" customHeight="1" x14ac:dyDescent="0.25">
      <c r="A10" s="171"/>
      <c r="B10" s="172"/>
      <c r="C10" s="89" t="s">
        <v>148</v>
      </c>
      <c r="D10" s="83">
        <v>74</v>
      </c>
      <c r="E10" s="83">
        <v>110</v>
      </c>
      <c r="F10" s="90">
        <v>10</v>
      </c>
      <c r="G10" s="90">
        <v>30</v>
      </c>
      <c r="H10" s="90">
        <v>135</v>
      </c>
      <c r="I10" s="91">
        <v>10</v>
      </c>
    </row>
    <row r="11" spans="1:21" ht="18" customHeight="1" x14ac:dyDescent="0.25">
      <c r="A11" s="171"/>
      <c r="B11" s="172"/>
      <c r="C11" s="27" t="s">
        <v>44</v>
      </c>
      <c r="D11" s="35">
        <v>62</v>
      </c>
      <c r="E11" s="35">
        <v>4</v>
      </c>
      <c r="F11" s="92">
        <v>2</v>
      </c>
      <c r="G11" s="92">
        <v>4</v>
      </c>
      <c r="H11" s="92">
        <v>4</v>
      </c>
      <c r="I11" s="93">
        <v>0</v>
      </c>
    </row>
    <row r="12" spans="1:21" ht="18" customHeight="1" x14ac:dyDescent="0.25">
      <c r="A12" s="171"/>
      <c r="B12" s="172"/>
      <c r="C12" s="27" t="s">
        <v>45</v>
      </c>
      <c r="D12" s="35">
        <v>74</v>
      </c>
      <c r="E12" s="35">
        <v>10</v>
      </c>
      <c r="F12" s="92">
        <v>10</v>
      </c>
      <c r="G12" s="92">
        <v>10</v>
      </c>
      <c r="H12" s="92">
        <v>10</v>
      </c>
      <c r="I12" s="93">
        <v>10</v>
      </c>
    </row>
    <row r="13" spans="1:21" ht="18" customHeight="1" x14ac:dyDescent="0.25">
      <c r="A13" s="171"/>
      <c r="B13" s="172"/>
      <c r="C13" s="27" t="s">
        <v>59</v>
      </c>
      <c r="D13" s="35">
        <v>74</v>
      </c>
      <c r="E13" s="35">
        <v>3</v>
      </c>
      <c r="F13" s="92">
        <v>3</v>
      </c>
      <c r="G13" s="92">
        <v>3</v>
      </c>
      <c r="H13" s="92">
        <v>3</v>
      </c>
      <c r="I13" s="93">
        <v>3</v>
      </c>
    </row>
    <row r="14" spans="1:21" ht="18" customHeight="1" x14ac:dyDescent="0.25">
      <c r="A14" s="171"/>
      <c r="B14" s="172"/>
      <c r="C14" s="27" t="s">
        <v>47</v>
      </c>
      <c r="D14" s="35">
        <v>62</v>
      </c>
      <c r="E14" s="35">
        <v>30</v>
      </c>
      <c r="F14" s="94">
        <v>30</v>
      </c>
      <c r="G14" s="94">
        <v>30</v>
      </c>
      <c r="H14" s="94">
        <v>30</v>
      </c>
      <c r="I14" s="95">
        <v>0</v>
      </c>
    </row>
    <row r="15" spans="1:21" ht="18" customHeight="1" x14ac:dyDescent="0.25">
      <c r="A15" s="171"/>
      <c r="B15" s="172"/>
      <c r="C15" s="27" t="s">
        <v>152</v>
      </c>
      <c r="D15" s="35">
        <v>62</v>
      </c>
      <c r="E15" s="35">
        <v>2</v>
      </c>
      <c r="F15" s="94">
        <v>2</v>
      </c>
      <c r="G15" s="94">
        <v>2</v>
      </c>
      <c r="H15" s="94">
        <v>2</v>
      </c>
      <c r="I15" s="95">
        <v>0</v>
      </c>
    </row>
    <row r="16" spans="1:21" ht="18" customHeight="1" thickBot="1" x14ac:dyDescent="0.3">
      <c r="A16" s="171"/>
      <c r="B16" s="172"/>
      <c r="C16" s="27" t="s">
        <v>60</v>
      </c>
      <c r="D16" s="35">
        <v>62</v>
      </c>
      <c r="E16" s="35">
        <v>40</v>
      </c>
      <c r="F16" s="92">
        <v>40</v>
      </c>
      <c r="G16" s="92">
        <v>40</v>
      </c>
      <c r="H16" s="92">
        <v>40</v>
      </c>
      <c r="I16" s="93">
        <v>0</v>
      </c>
    </row>
    <row r="17" spans="1:19" ht="28.5" customHeight="1" x14ac:dyDescent="0.25">
      <c r="A17" s="171"/>
      <c r="B17" s="172"/>
      <c r="C17" s="102" t="s">
        <v>166</v>
      </c>
      <c r="D17" s="35">
        <v>62</v>
      </c>
      <c r="E17" s="35">
        <v>0</v>
      </c>
      <c r="F17" s="103">
        <v>0</v>
      </c>
      <c r="G17" s="103">
        <v>0</v>
      </c>
      <c r="H17" s="103">
        <v>0</v>
      </c>
      <c r="I17" s="104">
        <v>0</v>
      </c>
      <c r="K17" s="175" t="s">
        <v>160</v>
      </c>
      <c r="L17" s="176"/>
      <c r="M17" s="176"/>
      <c r="N17" s="176"/>
      <c r="O17" s="176"/>
      <c r="P17" s="176"/>
      <c r="Q17" s="176"/>
      <c r="R17" s="177"/>
    </row>
    <row r="18" spans="1:19" ht="28.5" x14ac:dyDescent="0.25">
      <c r="A18" s="171"/>
      <c r="B18" s="172"/>
      <c r="C18" s="102" t="s">
        <v>167</v>
      </c>
      <c r="D18" s="35">
        <v>62</v>
      </c>
      <c r="E18" s="35">
        <v>7</v>
      </c>
      <c r="F18" s="103">
        <v>7</v>
      </c>
      <c r="G18" s="103">
        <v>7</v>
      </c>
      <c r="H18" s="103">
        <v>7</v>
      </c>
      <c r="I18" s="104">
        <v>0</v>
      </c>
      <c r="K18" s="178"/>
      <c r="L18" s="179"/>
      <c r="M18" s="179"/>
      <c r="N18" s="179"/>
      <c r="O18" s="179"/>
      <c r="P18" s="179"/>
      <c r="Q18" s="179"/>
      <c r="R18" s="180"/>
    </row>
    <row r="19" spans="1:19" ht="18" customHeight="1" x14ac:dyDescent="0.25">
      <c r="A19" s="171"/>
      <c r="B19" s="172"/>
      <c r="C19" s="27" t="s">
        <v>63</v>
      </c>
      <c r="D19" s="35">
        <v>62</v>
      </c>
      <c r="E19" s="35">
        <v>10</v>
      </c>
      <c r="F19" s="94">
        <v>10</v>
      </c>
      <c r="G19" s="94">
        <v>10</v>
      </c>
      <c r="H19" s="94">
        <v>10</v>
      </c>
      <c r="I19" s="95">
        <v>0</v>
      </c>
      <c r="K19" s="178"/>
      <c r="L19" s="179"/>
      <c r="M19" s="179"/>
      <c r="N19" s="179"/>
      <c r="O19" s="179"/>
      <c r="P19" s="179"/>
      <c r="Q19" s="179"/>
      <c r="R19" s="180"/>
    </row>
    <row r="20" spans="1:19" ht="18" customHeight="1" x14ac:dyDescent="0.25">
      <c r="A20" s="171"/>
      <c r="B20" s="172"/>
      <c r="C20" s="27" t="s">
        <v>39</v>
      </c>
      <c r="D20" s="35">
        <v>62</v>
      </c>
      <c r="E20" s="35">
        <v>0</v>
      </c>
      <c r="F20" s="94">
        <v>0</v>
      </c>
      <c r="G20" s="94">
        <v>0</v>
      </c>
      <c r="H20" s="94">
        <v>0</v>
      </c>
      <c r="I20" s="95">
        <v>0</v>
      </c>
      <c r="K20" s="178"/>
      <c r="L20" s="179"/>
      <c r="M20" s="179"/>
      <c r="N20" s="179"/>
      <c r="O20" s="179"/>
      <c r="P20" s="179"/>
      <c r="Q20" s="179"/>
      <c r="R20" s="180"/>
    </row>
    <row r="21" spans="1:19" ht="18" customHeight="1" x14ac:dyDescent="0.25">
      <c r="A21" s="171"/>
      <c r="B21" s="172"/>
      <c r="C21" s="27" t="s">
        <v>48</v>
      </c>
      <c r="D21" s="35">
        <v>74</v>
      </c>
      <c r="E21" s="35">
        <v>1</v>
      </c>
      <c r="F21" s="94">
        <v>1</v>
      </c>
      <c r="G21" s="94">
        <v>1</v>
      </c>
      <c r="H21" s="94">
        <v>1</v>
      </c>
      <c r="I21" s="95">
        <v>1</v>
      </c>
      <c r="K21" s="178"/>
      <c r="L21" s="179"/>
      <c r="M21" s="179"/>
      <c r="N21" s="179"/>
      <c r="O21" s="179"/>
      <c r="P21" s="179"/>
      <c r="Q21" s="179"/>
      <c r="R21" s="180"/>
    </row>
    <row r="22" spans="1:19" ht="18" customHeight="1" x14ac:dyDescent="0.25">
      <c r="A22" s="171"/>
      <c r="B22" s="172"/>
      <c r="C22" s="27" t="s">
        <v>49</v>
      </c>
      <c r="D22" s="35">
        <v>74</v>
      </c>
      <c r="E22" s="35">
        <v>1</v>
      </c>
      <c r="F22" s="94">
        <v>1</v>
      </c>
      <c r="G22" s="94">
        <v>1</v>
      </c>
      <c r="H22" s="94">
        <v>1</v>
      </c>
      <c r="I22" s="95">
        <v>1</v>
      </c>
      <c r="K22" s="178"/>
      <c r="L22" s="179"/>
      <c r="M22" s="179"/>
      <c r="N22" s="179"/>
      <c r="O22" s="179"/>
      <c r="P22" s="179"/>
      <c r="Q22" s="179"/>
      <c r="R22" s="180"/>
    </row>
    <row r="23" spans="1:19" ht="18" customHeight="1" x14ac:dyDescent="0.25">
      <c r="A23" s="171"/>
      <c r="B23" s="172"/>
      <c r="C23" s="27" t="s">
        <v>50</v>
      </c>
      <c r="D23" s="35">
        <v>74</v>
      </c>
      <c r="E23" s="35">
        <v>1</v>
      </c>
      <c r="F23" s="94">
        <v>1</v>
      </c>
      <c r="G23" s="94">
        <v>1</v>
      </c>
      <c r="H23" s="94">
        <v>1</v>
      </c>
      <c r="I23" s="95">
        <v>1</v>
      </c>
      <c r="K23" s="178"/>
      <c r="L23" s="179"/>
      <c r="M23" s="179"/>
      <c r="N23" s="179"/>
      <c r="O23" s="179"/>
      <c r="P23" s="179"/>
      <c r="Q23" s="179"/>
      <c r="R23" s="180"/>
      <c r="S23" s="82"/>
    </row>
    <row r="24" spans="1:19" ht="18" customHeight="1" x14ac:dyDescent="0.25">
      <c r="A24" s="171"/>
      <c r="B24" s="172"/>
      <c r="C24" s="27" t="s">
        <v>51</v>
      </c>
      <c r="D24" s="35">
        <v>62</v>
      </c>
      <c r="E24" s="35">
        <v>1</v>
      </c>
      <c r="F24" s="94">
        <v>1</v>
      </c>
      <c r="G24" s="94">
        <v>1</v>
      </c>
      <c r="H24" s="94">
        <v>1</v>
      </c>
      <c r="I24" s="95">
        <v>0</v>
      </c>
      <c r="K24" s="178"/>
      <c r="L24" s="179"/>
      <c r="M24" s="179"/>
      <c r="N24" s="179"/>
      <c r="O24" s="179"/>
      <c r="P24" s="179"/>
      <c r="Q24" s="179"/>
      <c r="R24" s="180"/>
      <c r="S24" s="82"/>
    </row>
    <row r="25" spans="1:19" ht="18" customHeight="1" thickBot="1" x14ac:dyDescent="0.3">
      <c r="A25" s="171"/>
      <c r="B25" s="172"/>
      <c r="C25" s="27" t="s">
        <v>52</v>
      </c>
      <c r="D25" s="35">
        <v>62</v>
      </c>
      <c r="E25" s="35">
        <v>1</v>
      </c>
      <c r="F25" s="94">
        <v>1</v>
      </c>
      <c r="G25" s="94">
        <v>1</v>
      </c>
      <c r="H25" s="94">
        <v>1</v>
      </c>
      <c r="I25" s="95">
        <v>0</v>
      </c>
      <c r="K25" s="181"/>
      <c r="L25" s="182"/>
      <c r="M25" s="182"/>
      <c r="N25" s="182"/>
      <c r="O25" s="182"/>
      <c r="P25" s="182"/>
      <c r="Q25" s="182"/>
      <c r="R25" s="183"/>
    </row>
    <row r="26" spans="1:19" ht="18" customHeight="1" x14ac:dyDescent="0.25">
      <c r="A26" s="171"/>
      <c r="B26" s="172"/>
      <c r="C26" s="27" t="s">
        <v>37</v>
      </c>
      <c r="D26" s="35">
        <v>74</v>
      </c>
      <c r="E26" s="35">
        <v>1</v>
      </c>
      <c r="F26" s="94">
        <v>1</v>
      </c>
      <c r="G26" s="94">
        <v>1</v>
      </c>
      <c r="H26" s="94">
        <v>1</v>
      </c>
      <c r="I26" s="95">
        <v>1</v>
      </c>
    </row>
    <row r="27" spans="1:19" ht="18" customHeight="1" x14ac:dyDescent="0.25">
      <c r="A27" s="171"/>
      <c r="B27" s="172"/>
      <c r="C27" s="27" t="s">
        <v>53</v>
      </c>
      <c r="D27" s="35">
        <v>74</v>
      </c>
      <c r="E27" s="35">
        <v>1</v>
      </c>
      <c r="F27" s="94">
        <v>1</v>
      </c>
      <c r="G27" s="94">
        <v>1</v>
      </c>
      <c r="H27" s="94">
        <v>1</v>
      </c>
      <c r="I27" s="95">
        <v>1</v>
      </c>
    </row>
    <row r="28" spans="1:19" ht="18" customHeight="1" x14ac:dyDescent="0.25">
      <c r="A28" s="171"/>
      <c r="B28" s="172"/>
      <c r="C28" s="27" t="s">
        <v>54</v>
      </c>
      <c r="D28" s="35">
        <v>74</v>
      </c>
      <c r="E28" s="35">
        <v>1</v>
      </c>
      <c r="F28" s="94">
        <v>1</v>
      </c>
      <c r="G28" s="94">
        <v>1</v>
      </c>
      <c r="H28" s="94">
        <v>1</v>
      </c>
      <c r="I28" s="95">
        <v>1</v>
      </c>
    </row>
    <row r="29" spans="1:19" ht="18" customHeight="1" thickBot="1" x14ac:dyDescent="0.3">
      <c r="A29" s="173"/>
      <c r="B29" s="174"/>
      <c r="C29" s="41"/>
      <c r="D29" s="40"/>
      <c r="E29" s="40"/>
      <c r="F29" s="96"/>
      <c r="G29" s="96"/>
      <c r="H29" s="96"/>
      <c r="I29" s="97"/>
    </row>
    <row r="30" spans="1:19" ht="15.75" hidden="1" customHeight="1" x14ac:dyDescent="0.25">
      <c r="C30" s="36"/>
      <c r="D30" s="26"/>
      <c r="E30" s="26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ht="15" customHeight="1" x14ac:dyDescent="0.25">
      <c r="A31" s="169" t="s">
        <v>164</v>
      </c>
      <c r="B31" s="170"/>
      <c r="C31" s="89" t="s">
        <v>153</v>
      </c>
      <c r="D31" s="83">
        <v>62</v>
      </c>
      <c r="E31" s="83">
        <v>10</v>
      </c>
      <c r="F31" s="90">
        <v>10</v>
      </c>
      <c r="G31" s="90">
        <v>10</v>
      </c>
      <c r="H31" s="90">
        <v>10</v>
      </c>
      <c r="I31" s="91">
        <v>0</v>
      </c>
    </row>
    <row r="32" spans="1:19" ht="15" customHeight="1" x14ac:dyDescent="0.25">
      <c r="A32" s="171"/>
      <c r="B32" s="172"/>
      <c r="C32" s="27" t="s">
        <v>46</v>
      </c>
      <c r="D32" s="35">
        <v>74</v>
      </c>
      <c r="E32" s="35">
        <v>12</v>
      </c>
      <c r="F32" s="92">
        <v>12</v>
      </c>
      <c r="G32" s="92">
        <v>12</v>
      </c>
      <c r="H32" s="92">
        <v>12</v>
      </c>
      <c r="I32" s="93">
        <v>12</v>
      </c>
    </row>
    <row r="33" spans="1:9" ht="15" customHeight="1" x14ac:dyDescent="0.25">
      <c r="A33" s="171"/>
      <c r="B33" s="172"/>
      <c r="C33" s="98" t="s">
        <v>55</v>
      </c>
      <c r="D33" s="99">
        <v>74</v>
      </c>
      <c r="E33" s="99">
        <v>1</v>
      </c>
      <c r="F33" s="100">
        <v>1</v>
      </c>
      <c r="G33" s="100">
        <v>1</v>
      </c>
      <c r="H33" s="100">
        <v>1</v>
      </c>
      <c r="I33" s="101">
        <v>1</v>
      </c>
    </row>
    <row r="34" spans="1:9" ht="15.75" customHeight="1" thickBot="1" x14ac:dyDescent="0.3">
      <c r="A34" s="173"/>
      <c r="B34" s="174"/>
      <c r="C34" s="106" t="s">
        <v>225</v>
      </c>
      <c r="D34" s="107">
        <v>35</v>
      </c>
      <c r="E34" s="107" t="s">
        <v>226</v>
      </c>
      <c r="F34" s="107">
        <v>0</v>
      </c>
      <c r="G34" s="107" t="s">
        <v>226</v>
      </c>
      <c r="H34" s="107" t="s">
        <v>226</v>
      </c>
      <c r="I34" s="108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  <legacyDrawing r:id="rId3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A7824700</value>
    </field>
    <field name="Objective-Title">
      <value order="0">Request for Tender - SRC006427 - Annexure D - Pricing Schedule Template - Tasmania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2026-06-05T05:50:22Z</value>
    </field>
    <field name="Objective-ModificationStamp">
      <value order="0">2026-06-10T00:40:03Z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vA10202005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A7824700</vt:lpwstr>
  </property>
  <property fmtid="{D5CDD505-2E9C-101B-9397-08002B2CF9AE}" pid="4" name="Objective-Title">
    <vt:lpwstr>Request for Tender - SRC006427 - Annexure D - Pricing Schedule Template - Tasmania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2026-06-05T05:50:22Z</vt:filetime>
  </property>
  <property fmtid="{D5CDD505-2E9C-101B-9397-08002B2CF9AE}" pid="10" name="Objective-ModificationStamp">
    <vt:filetime>2026-06-10T00:40:03Z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vA10202005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