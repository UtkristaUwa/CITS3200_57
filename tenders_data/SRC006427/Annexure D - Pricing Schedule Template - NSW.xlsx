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pal\Music\"/>
    </mc:Choice>
  </mc:AlternateContent>
  <xr:revisionPtr revIDLastSave="0" documentId="8_{BD0A5352-8B43-45FF-BFA7-236E21889B1A}" xr6:coauthVersionLast="47" xr6:coauthVersionMax="47" xr10:uidLastSave="{00000000-0000-0000-0000-000000000000}"/>
  <bookViews>
    <workbookView xWindow="28680" yWindow="-120" windowWidth="29040" windowHeight="15720" tabRatio="759" firstSheet="1" activeTab="1" xr2:uid="{00000000-000D-0000-FFFF-FFFF00000000}"/>
  </bookViews>
  <sheets>
    <sheet name="Product Group 1 " sheetId="1" state="hidden" r:id="rId1"/>
    <sheet name="Contents" sheetId="12" r:id="rId2"/>
    <sheet name="1. Pricing Schedule" sheetId="13" r:id="rId3"/>
    <sheet name="2. Volume Discounts" sheetId="14" r:id="rId4"/>
    <sheet name="3. Additional Services" sheetId="15" r:id="rId5"/>
    <sheet name="4. Static Polling Places" sheetId="9" r:id="rId6"/>
    <sheet name="5. Pre-Polling Voting Centre" sheetId="11" r:id="rId7"/>
    <sheet name="6. Out-Posted Centre 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2" i="11" l="1"/>
  <c r="H84" i="11"/>
  <c r="H74" i="11"/>
  <c r="K171" i="11"/>
  <c r="J171" i="11"/>
  <c r="I171" i="11"/>
  <c r="H171" i="11"/>
  <c r="G171" i="11"/>
  <c r="F171" i="11"/>
  <c r="E171" i="11"/>
  <c r="B171" i="11"/>
  <c r="K168" i="11"/>
  <c r="J168" i="11"/>
  <c r="I168" i="11"/>
  <c r="H168" i="11"/>
  <c r="G168" i="11"/>
  <c r="F168" i="11"/>
  <c r="E168" i="11"/>
  <c r="B168" i="11"/>
  <c r="K133" i="11"/>
  <c r="J133" i="11"/>
  <c r="I133" i="11"/>
  <c r="H133" i="11"/>
  <c r="G133" i="11"/>
  <c r="F133" i="11"/>
  <c r="E133" i="11"/>
  <c r="B133" i="11"/>
  <c r="K74" i="11"/>
  <c r="J74" i="11"/>
  <c r="I74" i="11"/>
  <c r="G74" i="11"/>
  <c r="F74" i="11"/>
  <c r="E74" i="11"/>
  <c r="B74" i="11"/>
  <c r="K26" i="11"/>
  <c r="J26" i="11"/>
  <c r="I26" i="11"/>
  <c r="H26" i="11"/>
  <c r="G26" i="11"/>
  <c r="F26" i="11"/>
  <c r="E26" i="11"/>
  <c r="B26" i="11"/>
  <c r="K14" i="11"/>
  <c r="J14" i="11"/>
  <c r="I14" i="11"/>
  <c r="H14" i="11"/>
  <c r="G14" i="11"/>
  <c r="F14" i="11"/>
  <c r="E14" i="11"/>
  <c r="B14" i="11"/>
  <c r="I30" i="6"/>
  <c r="H30" i="6"/>
  <c r="F30" i="6"/>
  <c r="K184" i="11"/>
  <c r="J184" i="11"/>
  <c r="I184" i="11"/>
  <c r="H184" i="11"/>
  <c r="G184" i="11"/>
  <c r="F184" i="11"/>
  <c r="E184" i="11"/>
  <c r="B184" i="11"/>
  <c r="K179" i="11"/>
  <c r="J179" i="11"/>
  <c r="I179" i="11"/>
  <c r="H179" i="11"/>
  <c r="G179" i="11"/>
  <c r="F179" i="11"/>
  <c r="E179" i="11"/>
  <c r="B179" i="11"/>
  <c r="K174" i="11"/>
  <c r="J174" i="11"/>
  <c r="I174" i="11"/>
  <c r="H174" i="11"/>
  <c r="G174" i="11"/>
  <c r="F174" i="11"/>
  <c r="E174" i="11"/>
  <c r="B174" i="11"/>
  <c r="K164" i="11"/>
  <c r="J164" i="11"/>
  <c r="I164" i="11"/>
  <c r="H164" i="11"/>
  <c r="G164" i="11"/>
  <c r="F164" i="11"/>
  <c r="E164" i="11"/>
  <c r="B164" i="11"/>
  <c r="K159" i="11"/>
  <c r="J159" i="11"/>
  <c r="I159" i="11"/>
  <c r="H159" i="11"/>
  <c r="G159" i="11"/>
  <c r="F159" i="11"/>
  <c r="E159" i="11"/>
  <c r="B159" i="11"/>
  <c r="K155" i="11"/>
  <c r="J155" i="11"/>
  <c r="I155" i="11"/>
  <c r="H155" i="11"/>
  <c r="G155" i="11"/>
  <c r="F155" i="11"/>
  <c r="E155" i="11"/>
  <c r="B155" i="11"/>
  <c r="K151" i="11"/>
  <c r="J151" i="11"/>
  <c r="I151" i="11"/>
  <c r="H151" i="11"/>
  <c r="G151" i="11"/>
  <c r="F151" i="11"/>
  <c r="E151" i="11"/>
  <c r="B151" i="11"/>
  <c r="K148" i="11"/>
  <c r="J148" i="11"/>
  <c r="I148" i="11"/>
  <c r="H148" i="11"/>
  <c r="G148" i="11"/>
  <c r="F148" i="11"/>
  <c r="E148" i="11"/>
  <c r="B148" i="11"/>
  <c r="K145" i="11"/>
  <c r="J145" i="11"/>
  <c r="I145" i="11"/>
  <c r="H145" i="11"/>
  <c r="G145" i="11"/>
  <c r="F145" i="11"/>
  <c r="E145" i="11"/>
  <c r="B145" i="11"/>
  <c r="K141" i="11"/>
  <c r="J141" i="11"/>
  <c r="I141" i="11"/>
  <c r="H141" i="11"/>
  <c r="G141" i="11"/>
  <c r="F141" i="11"/>
  <c r="E141" i="11"/>
  <c r="B141" i="11"/>
  <c r="K136" i="11"/>
  <c r="J136" i="11"/>
  <c r="I136" i="11"/>
  <c r="H136" i="11"/>
  <c r="G136" i="11"/>
  <c r="F136" i="11"/>
  <c r="E136" i="11"/>
  <c r="B136" i="11"/>
  <c r="K129" i="11"/>
  <c r="J129" i="11"/>
  <c r="I129" i="11"/>
  <c r="H129" i="11"/>
  <c r="G129" i="11"/>
  <c r="F129" i="11"/>
  <c r="E129" i="11"/>
  <c r="B129" i="11"/>
  <c r="K125" i="11"/>
  <c r="J125" i="11"/>
  <c r="I125" i="11"/>
  <c r="H125" i="11"/>
  <c r="G125" i="11"/>
  <c r="F125" i="11"/>
  <c r="E125" i="11"/>
  <c r="B125" i="11"/>
  <c r="K121" i="11"/>
  <c r="J121" i="11"/>
  <c r="I121" i="11"/>
  <c r="H121" i="11"/>
  <c r="G121" i="11"/>
  <c r="F121" i="11"/>
  <c r="E121" i="11"/>
  <c r="B121" i="11"/>
  <c r="K117" i="11"/>
  <c r="J117" i="11"/>
  <c r="I117" i="11"/>
  <c r="H117" i="11"/>
  <c r="G117" i="11"/>
  <c r="F117" i="11"/>
  <c r="E117" i="11"/>
  <c r="B117" i="11"/>
  <c r="K111" i="11"/>
  <c r="J111" i="11"/>
  <c r="I111" i="11"/>
  <c r="H111" i="11"/>
  <c r="G111" i="11"/>
  <c r="F111" i="11"/>
  <c r="E111" i="11"/>
  <c r="B111" i="11"/>
  <c r="K108" i="11"/>
  <c r="J108" i="11"/>
  <c r="I108" i="11"/>
  <c r="H108" i="11"/>
  <c r="G108" i="11"/>
  <c r="F108" i="11"/>
  <c r="E108" i="11"/>
  <c r="B108" i="11"/>
  <c r="K105" i="11"/>
  <c r="J105" i="11"/>
  <c r="I105" i="11"/>
  <c r="H105" i="11"/>
  <c r="G105" i="11"/>
  <c r="F105" i="11"/>
  <c r="E105" i="11"/>
  <c r="B105" i="11"/>
  <c r="K102" i="11"/>
  <c r="J102" i="11"/>
  <c r="I102" i="11"/>
  <c r="G102" i="11"/>
  <c r="F102" i="11"/>
  <c r="E102" i="11"/>
  <c r="B102" i="11"/>
  <c r="K99" i="11"/>
  <c r="J99" i="11"/>
  <c r="I99" i="11"/>
  <c r="H99" i="11"/>
  <c r="G99" i="11"/>
  <c r="F99" i="11"/>
  <c r="E99" i="11"/>
  <c r="B99" i="11"/>
  <c r="K95" i="11"/>
  <c r="J95" i="11"/>
  <c r="I95" i="11"/>
  <c r="H95" i="11"/>
  <c r="G95" i="11"/>
  <c r="F95" i="11"/>
  <c r="E95" i="11"/>
  <c r="B95" i="11"/>
  <c r="K91" i="11"/>
  <c r="J91" i="11"/>
  <c r="I91" i="11"/>
  <c r="H91" i="11"/>
  <c r="G91" i="11"/>
  <c r="F91" i="11"/>
  <c r="E91" i="11"/>
  <c r="B91" i="11"/>
  <c r="K87" i="11"/>
  <c r="J87" i="11"/>
  <c r="I87" i="11"/>
  <c r="H87" i="11"/>
  <c r="G87" i="11"/>
  <c r="F87" i="11"/>
  <c r="E87" i="11"/>
  <c r="B87" i="11"/>
  <c r="K84" i="11"/>
  <c r="J84" i="11"/>
  <c r="I84" i="11"/>
  <c r="G84" i="11"/>
  <c r="F84" i="11"/>
  <c r="E84" i="11"/>
  <c r="B84" i="11"/>
  <c r="K81" i="11"/>
  <c r="J81" i="11"/>
  <c r="I81" i="11"/>
  <c r="H81" i="11"/>
  <c r="G81" i="11"/>
  <c r="F81" i="11"/>
  <c r="E81" i="11"/>
  <c r="B81" i="11"/>
  <c r="K77" i="11"/>
  <c r="J77" i="11"/>
  <c r="I77" i="11"/>
  <c r="H77" i="11"/>
  <c r="G77" i="11"/>
  <c r="F77" i="11"/>
  <c r="E77" i="11"/>
  <c r="B77" i="11"/>
  <c r="K71" i="11"/>
  <c r="J71" i="11"/>
  <c r="I71" i="11"/>
  <c r="H71" i="11"/>
  <c r="G71" i="11"/>
  <c r="F71" i="11"/>
  <c r="E71" i="11"/>
  <c r="B71" i="11"/>
  <c r="K66" i="11"/>
  <c r="J66" i="11"/>
  <c r="I66" i="11"/>
  <c r="H66" i="11"/>
  <c r="G66" i="11"/>
  <c r="F66" i="11"/>
  <c r="E66" i="11"/>
  <c r="B66" i="11"/>
  <c r="K62" i="11"/>
  <c r="J62" i="11"/>
  <c r="I62" i="11"/>
  <c r="H62" i="11"/>
  <c r="G62" i="11"/>
  <c r="F62" i="11"/>
  <c r="E62" i="11"/>
  <c r="B62" i="11"/>
  <c r="K53" i="11"/>
  <c r="J53" i="11"/>
  <c r="I53" i="11"/>
  <c r="H53" i="11"/>
  <c r="G53" i="11"/>
  <c r="F53" i="11"/>
  <c r="E53" i="11"/>
  <c r="B53" i="11"/>
  <c r="K48" i="11"/>
  <c r="J48" i="11"/>
  <c r="I48" i="11"/>
  <c r="H48" i="11"/>
  <c r="G48" i="11"/>
  <c r="F48" i="11"/>
  <c r="E48" i="11"/>
  <c r="B48" i="11"/>
  <c r="K45" i="11"/>
  <c r="J45" i="11"/>
  <c r="I45" i="11"/>
  <c r="H45" i="11"/>
  <c r="G45" i="11"/>
  <c r="F45" i="11"/>
  <c r="E45" i="11"/>
  <c r="B45" i="11"/>
  <c r="K41" i="11"/>
  <c r="J41" i="11"/>
  <c r="I41" i="11"/>
  <c r="H41" i="11"/>
  <c r="G41" i="11"/>
  <c r="F41" i="11"/>
  <c r="E41" i="11"/>
  <c r="B41" i="11"/>
  <c r="K36" i="11"/>
  <c r="J36" i="11"/>
  <c r="I36" i="11"/>
  <c r="H36" i="11"/>
  <c r="G36" i="11"/>
  <c r="F36" i="11"/>
  <c r="E36" i="11"/>
  <c r="B36" i="11"/>
  <c r="K33" i="11"/>
  <c r="J33" i="11"/>
  <c r="I33" i="11"/>
  <c r="H33" i="11"/>
  <c r="G33" i="11"/>
  <c r="F33" i="11"/>
  <c r="E33" i="11"/>
  <c r="B33" i="11"/>
  <c r="K29" i="11"/>
  <c r="J29" i="11"/>
  <c r="I29" i="11"/>
  <c r="H29" i="11"/>
  <c r="G29" i="11"/>
  <c r="F29" i="11"/>
  <c r="E29" i="11"/>
  <c r="B29" i="11"/>
  <c r="K20" i="11"/>
  <c r="I20" i="11"/>
  <c r="G20" i="11"/>
  <c r="F20" i="11"/>
  <c r="E20" i="11"/>
  <c r="B20" i="11"/>
  <c r="F412" i="9"/>
  <c r="E412" i="9"/>
  <c r="B412" i="9"/>
  <c r="F400" i="9"/>
  <c r="E400" i="9"/>
  <c r="B400" i="9"/>
  <c r="F388" i="9"/>
  <c r="E388" i="9"/>
  <c r="B388" i="9"/>
  <c r="F381" i="9"/>
  <c r="E381" i="9"/>
  <c r="B381" i="9"/>
  <c r="F373" i="9"/>
  <c r="E373" i="9"/>
  <c r="B373" i="9"/>
  <c r="F362" i="9"/>
  <c r="E362" i="9"/>
  <c r="B362" i="9"/>
  <c r="F351" i="9"/>
  <c r="E351" i="9"/>
  <c r="B351" i="9"/>
  <c r="F343" i="9"/>
  <c r="E343" i="9"/>
  <c r="B343" i="9"/>
  <c r="F336" i="9"/>
  <c r="E336" i="9"/>
  <c r="B336" i="9"/>
  <c r="F322" i="9"/>
  <c r="E322" i="9"/>
  <c r="B322" i="9"/>
  <c r="F310" i="9"/>
  <c r="E310" i="9"/>
  <c r="B310" i="9"/>
  <c r="F302" i="9"/>
  <c r="E302" i="9"/>
  <c r="B302" i="9"/>
  <c r="F291" i="9"/>
  <c r="E291" i="9"/>
  <c r="B291" i="9"/>
  <c r="F288" i="9"/>
  <c r="E288" i="9"/>
  <c r="B288" i="9"/>
  <c r="F282" i="9"/>
  <c r="E282" i="9"/>
  <c r="B282" i="9"/>
  <c r="F275" i="9"/>
  <c r="E275" i="9"/>
  <c r="B275" i="9"/>
  <c r="F266" i="9"/>
  <c r="E266" i="9"/>
  <c r="B266" i="9"/>
  <c r="F261" i="9"/>
  <c r="E261" i="9"/>
  <c r="B261" i="9"/>
  <c r="F254" i="9"/>
  <c r="E254" i="9"/>
  <c r="B254" i="9"/>
  <c r="F240" i="9"/>
  <c r="E240" i="9"/>
  <c r="B240" i="9"/>
  <c r="F232" i="9"/>
  <c r="E232" i="9"/>
  <c r="B232" i="9"/>
  <c r="F225" i="9"/>
  <c r="E225" i="9"/>
  <c r="B225" i="9"/>
  <c r="F219" i="9"/>
  <c r="E219" i="9"/>
  <c r="B219" i="9"/>
  <c r="F205" i="9"/>
  <c r="E205" i="9"/>
  <c r="B205" i="9"/>
  <c r="F193" i="9"/>
  <c r="E193" i="9"/>
  <c r="B193" i="9"/>
  <c r="F177" i="9"/>
  <c r="E177" i="9"/>
  <c r="B177" i="9"/>
  <c r="F166" i="9"/>
  <c r="E166" i="9"/>
  <c r="B166" i="9"/>
  <c r="F157" i="9"/>
  <c r="E157" i="9"/>
  <c r="B157" i="9"/>
  <c r="F147" i="9"/>
  <c r="E147" i="9"/>
  <c r="B147" i="9"/>
  <c r="F135" i="9"/>
  <c r="E135" i="9"/>
  <c r="B135" i="9"/>
  <c r="F128" i="9"/>
  <c r="E128" i="9"/>
  <c r="B128" i="9"/>
  <c r="F122" i="9"/>
  <c r="E122" i="9"/>
  <c r="B122" i="9"/>
  <c r="F119" i="9"/>
  <c r="E119" i="9"/>
  <c r="B119" i="9"/>
  <c r="F113" i="9"/>
  <c r="E113" i="9"/>
  <c r="B113" i="9"/>
  <c r="F107" i="9"/>
  <c r="E107" i="9"/>
  <c r="B107" i="9"/>
  <c r="F97" i="9"/>
  <c r="E97" i="9"/>
  <c r="B97" i="9"/>
  <c r="F90" i="9"/>
  <c r="E90" i="9"/>
  <c r="B90" i="9"/>
  <c r="F83" i="9"/>
  <c r="E83" i="9"/>
  <c r="B83" i="9"/>
  <c r="F72" i="9"/>
  <c r="E72" i="9"/>
  <c r="B72" i="9"/>
  <c r="F53" i="9"/>
  <c r="E53" i="9"/>
  <c r="B53" i="9"/>
  <c r="F47" i="9"/>
  <c r="E47" i="9"/>
  <c r="B47" i="9"/>
  <c r="F40" i="9"/>
  <c r="E40" i="9"/>
  <c r="B40" i="9"/>
  <c r="F32" i="9"/>
  <c r="E32" i="9"/>
  <c r="B32" i="9"/>
  <c r="F27" i="9"/>
  <c r="E27" i="9"/>
  <c r="B27" i="9"/>
  <c r="B17" i="9"/>
  <c r="E17" i="9"/>
  <c r="F17" i="9"/>
  <c r="K17" i="11"/>
  <c r="I17" i="11"/>
  <c r="G17" i="11"/>
  <c r="F17" i="11"/>
  <c r="E17" i="11"/>
  <c r="B17" i="11"/>
  <c r="K11" i="11"/>
  <c r="G11" i="11"/>
  <c r="F11" i="11"/>
  <c r="E11" i="11"/>
  <c r="B11" i="11"/>
  <c r="B8" i="11"/>
  <c r="K8" i="11"/>
  <c r="G8" i="11"/>
  <c r="F8" i="11"/>
  <c r="E8" i="11"/>
  <c r="B7" i="9" l="1"/>
  <c r="E7" i="9"/>
  <c r="F7" i="9"/>
  <c r="D11" i="1" l="1"/>
  <c r="C11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Carvalho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00000000-0006-0000-0200-000006000000}">
      <text/>
    </comment>
    <comment ref="F2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0000000-0006-0000-0200-00000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00000000-0006-0000-0200-00000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 xr:uid="{00000000-0006-0000-0200-00000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00000000-0006-0000-0200-00000D000000}">
      <text/>
    </comment>
    <comment ref="F35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0200-000011000000}">
      <text/>
    </comment>
    <comment ref="F39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00000000-0006-0000-0200-00001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 shapeId="0" xr:uid="{00000000-0006-0000-0200-00001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3" authorId="0" shapeId="0" xr:uid="{00000000-0006-0000-0200-000016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4" authorId="0" shapeId="0" xr:uid="{00000000-0006-0000-0200-000017000000}">
      <text/>
    </comment>
    <comment ref="F45" authorId="0" shapeId="0" xr:uid="{00000000-0006-0000-0200-000018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200-00001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 xr:uid="{00000000-0006-0000-0200-00001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 xr:uid="{00000000-0006-0000-0200-00001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 xr:uid="{00000000-0006-0000-0200-00001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00000000-0006-0000-0200-00001D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00000000-0006-0000-0200-00001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2" authorId="0" shapeId="0" xr:uid="{00000000-0006-0000-0200-00001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4" authorId="0" shapeId="0" xr:uid="{00000000-0006-0000-0200-00002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0" shapeId="0" xr:uid="{8040CB12-D08D-4FDB-8B21-AA7A9DEC0D8D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<sst xmlns="http://schemas.openxmlformats.org/spreadsheetml/2006/main" count="1570" uniqueCount="693">
  <si>
    <t xml:space="preserve">Division </t>
  </si>
  <si>
    <t xml:space="preserve">Trestle Tables </t>
  </si>
  <si>
    <t xml:space="preserve">Plastic Chairs </t>
  </si>
  <si>
    <t xml:space="preserve">Total Delivery  
Locations </t>
  </si>
  <si>
    <t>Hire Period 
(Days)</t>
  </si>
  <si>
    <t xml:space="preserve">Demographic  
Rating </t>
  </si>
  <si>
    <t>BRASSALL</t>
  </si>
  <si>
    <t>QLD</t>
  </si>
  <si>
    <t xml:space="preserve">Suburb </t>
  </si>
  <si>
    <t xml:space="preserve">Total Product Quantity Required </t>
  </si>
  <si>
    <t xml:space="preserve">Delivery </t>
  </si>
  <si>
    <t xml:space="preserve">BLAIR </t>
  </si>
  <si>
    <t xml:space="preserve">BLAIR DETAILS </t>
  </si>
  <si>
    <t xml:space="preserve">Postcode </t>
  </si>
  <si>
    <t>IPSWICH</t>
  </si>
  <si>
    <t>COLLINGWOOD PARK</t>
  </si>
  <si>
    <t>EAST IPSWICH</t>
  </si>
  <si>
    <t>RIPLEY</t>
  </si>
  <si>
    <t>GRANDCHESTER</t>
  </si>
  <si>
    <t>KARALEE</t>
  </si>
  <si>
    <t>LOWOOD</t>
  </si>
  <si>
    <t>NEWTOWN</t>
  </si>
  <si>
    <t>NORTH BOOVAL</t>
  </si>
  <si>
    <t>NORTH IPSWICH</t>
  </si>
  <si>
    <t>PINE MOUNTAIN</t>
  </si>
  <si>
    <t>RACEVIEW</t>
  </si>
  <si>
    <t>TARAMPA</t>
  </si>
  <si>
    <t>TIVOLI</t>
  </si>
  <si>
    <t>YAMANTO</t>
  </si>
  <si>
    <t>SPRINGFIELD</t>
  </si>
  <si>
    <t xml:space="preserve">Inner- Metro </t>
  </si>
  <si>
    <t>Total Divisional Delivery Price</t>
  </si>
  <si>
    <t xml:space="preserve">Total Divsional Product Supply Price </t>
  </si>
  <si>
    <t xml:space="preserve">Static Polling Places </t>
  </si>
  <si>
    <t>BONNER</t>
  </si>
  <si>
    <t>See below +</t>
  </si>
  <si>
    <t>Refrigerator</t>
  </si>
  <si>
    <t>Microwave Oven</t>
  </si>
  <si>
    <t>Large flatbed trolley</t>
  </si>
  <si>
    <t xml:space="preserve">Water Dispenser </t>
  </si>
  <si>
    <t xml:space="preserve">Hot Water Urn </t>
  </si>
  <si>
    <t>Flatbed Trolley</t>
  </si>
  <si>
    <t>Ergonomic Typist Chair</t>
  </si>
  <si>
    <t xml:space="preserve">Solid table </t>
  </si>
  <si>
    <t>Ergonomic typist chair</t>
  </si>
  <si>
    <t xml:space="preserve">Floor mat/carpet tile </t>
  </si>
  <si>
    <t xml:space="preserve">Fencing panel (black plastic)
L/M </t>
  </si>
  <si>
    <t>Upright trolley</t>
  </si>
  <si>
    <t xml:space="preserve">Pallet wrapping handle </t>
  </si>
  <si>
    <t>Pallet jack</t>
  </si>
  <si>
    <t>Data projector</t>
  </si>
  <si>
    <t xml:space="preserve">Projector screen </t>
  </si>
  <si>
    <t>Microwave oven</t>
  </si>
  <si>
    <t>Hot water urn</t>
  </si>
  <si>
    <t>Water dispenser with filter</t>
  </si>
  <si>
    <t>Pre-Polling Voting Centre</t>
  </si>
  <si>
    <t>Trestle Table</t>
  </si>
  <si>
    <t xml:space="preserve"> Plastic Chairs </t>
  </si>
  <si>
    <t>Whiteboard</t>
  </si>
  <si>
    <t>Bollards</t>
  </si>
  <si>
    <t xml:space="preserve">Shelving bays, large </t>
  </si>
  <si>
    <t xml:space="preserve">Shelving bays, small </t>
  </si>
  <si>
    <t>Lockers</t>
  </si>
  <si>
    <t xml:space="preserve">Items </t>
  </si>
  <si>
    <t xml:space="preserve">Estimated Total Days Required </t>
  </si>
  <si>
    <t>ELECTION PERIOD</t>
  </si>
  <si>
    <t>Estimated Maximum Quantity Required</t>
  </si>
  <si>
    <t>Classification</t>
  </si>
  <si>
    <t xml:space="preserve">QUANTITY REQUIREMENTS  </t>
  </si>
  <si>
    <t xml:space="preserve">Out-Posted Centre - Total Requirements </t>
  </si>
  <si>
    <t xml:space="preserve">Out-Posted Centre </t>
  </si>
  <si>
    <t xml:space="preserve">Contents </t>
  </si>
  <si>
    <t xml:space="preserve">Page </t>
  </si>
  <si>
    <t xml:space="preserve">Title </t>
  </si>
  <si>
    <t>Description</t>
  </si>
  <si>
    <t>Pricing Schedule</t>
  </si>
  <si>
    <t>Volume Discounts</t>
  </si>
  <si>
    <t xml:space="preserve">Additional Services </t>
  </si>
  <si>
    <t xml:space="preserve">A reference page providing quantities and locations for Static Polling Places. </t>
  </si>
  <si>
    <t xml:space="preserve">Pre-Poll Voting Centre </t>
  </si>
  <si>
    <t xml:space="preserve">A reference page providing quantities and locations for Pre-Poll Voting Centres. </t>
  </si>
  <si>
    <t>A reference page providing quantities and locations for Out-posted Centres.</t>
  </si>
  <si>
    <t xml:space="preserve">AEC Product Request </t>
  </si>
  <si>
    <t>Divisions are allocated a demographic classification as per below, for your reference.</t>
  </si>
  <si>
    <r>
      <t>Inner Metropolitan</t>
    </r>
    <r>
      <rPr>
        <sz val="11"/>
        <color theme="1"/>
        <rFont val="Arial"/>
        <family val="2"/>
      </rPr>
      <t> </t>
    </r>
  </si>
  <si>
    <t>Situated in capital cities and consisting of well-established built-up suburbs.</t>
  </si>
  <si>
    <r>
      <t>Outer Metropolitan</t>
    </r>
    <r>
      <rPr>
        <sz val="11"/>
        <color theme="1"/>
        <rFont val="Arial"/>
        <family val="2"/>
      </rPr>
      <t> </t>
    </r>
  </si>
  <si>
    <t>Situated in capital cities and containing large areas of recent suburban expansion.</t>
  </si>
  <si>
    <r>
      <t>Provincial</t>
    </r>
    <r>
      <rPr>
        <sz val="11"/>
        <color theme="1"/>
        <rFont val="Arial"/>
        <family val="2"/>
      </rPr>
      <t> </t>
    </r>
  </si>
  <si>
    <t>Outside capital cities, but with a majority of enrolment in major provincial cities.</t>
  </si>
  <si>
    <r>
      <t>Rural</t>
    </r>
    <r>
      <rPr>
        <sz val="11"/>
        <color theme="1"/>
        <rFont val="Arial"/>
        <family val="2"/>
      </rPr>
      <t> </t>
    </r>
  </si>
  <si>
    <t>Outside capital cities and without majority of enrolment in major provincial cities.</t>
  </si>
  <si>
    <t xml:space="preserve">Furniture &amp; Equipment Pricing Schedule </t>
  </si>
  <si>
    <t xml:space="preserve">PRODUCT SCOPE </t>
  </si>
  <si>
    <t>REQUESTED ITEM</t>
  </si>
  <si>
    <t>SUPPLIED ITEM</t>
  </si>
  <si>
    <t>RENTAL</t>
  </si>
  <si>
    <t>Assumptions/Caveats</t>
  </si>
  <si>
    <t xml:space="preserve">Product Group </t>
  </si>
  <si>
    <t xml:space="preserve">AEC Facility </t>
  </si>
  <si>
    <t>Expected Period of Requirement (Days)</t>
  </si>
  <si>
    <t xml:space="preserve">Product </t>
  </si>
  <si>
    <t>Product Description / Approximate Dimensions</t>
  </si>
  <si>
    <t xml:space="preserve">Reference Image </t>
  </si>
  <si>
    <r>
      <t xml:space="preserve">As per AEC Product </t>
    </r>
    <r>
      <rPr>
        <b/>
        <sz val="12"/>
        <color rgb="FFFF0000"/>
        <rFont val="HelveticaNeueLT Std Lt Cn"/>
        <family val="2"/>
      </rPr>
      <t>(Y/N)</t>
    </r>
    <r>
      <rPr>
        <sz val="12"/>
        <color theme="1"/>
        <rFont val="HelveticaNeueLT Std Lt Cn"/>
        <family val="2"/>
      </rPr>
      <t xml:space="preserve">
(If ‘N’ and an alternative product can be supplied, be complete adjacent field)</t>
    </r>
  </si>
  <si>
    <t>Alternate or Equivalent Product - Description /  Dimensions</t>
  </si>
  <si>
    <r>
      <t xml:space="preserve">Price per unit 
</t>
    </r>
    <r>
      <rPr>
        <b/>
        <sz val="12"/>
        <color rgb="FFFF0000"/>
        <rFont val="HelveticaNeueLT Std Lt Cn"/>
        <family val="2"/>
      </rPr>
      <t xml:space="preserve">(per day)
</t>
    </r>
    <r>
      <rPr>
        <sz val="12"/>
        <color theme="1"/>
        <rFont val="HelveticaNeueLT Std Lt Cn"/>
        <family val="2"/>
      </rPr>
      <t>(GST Inclusive)</t>
    </r>
  </si>
  <si>
    <r>
      <t xml:space="preserve">Rental period 
</t>
    </r>
    <r>
      <rPr>
        <b/>
        <sz val="12"/>
        <color rgb="FFFF0000"/>
        <rFont val="HelveticaNeueLT Std Lt Cn"/>
        <family val="2"/>
      </rPr>
      <t>(in days)</t>
    </r>
  </si>
  <si>
    <r>
      <t xml:space="preserve">Assumptions/Caveats
</t>
    </r>
    <r>
      <rPr>
        <b/>
        <i/>
        <sz val="11"/>
        <rFont val="Arial"/>
        <family val="2"/>
      </rPr>
      <t>Please describe any assumptions or caveats that apply</t>
    </r>
  </si>
  <si>
    <t xml:space="preserve"> Static Polling Places </t>
  </si>
  <si>
    <t>Moulded plastic 1800 x 900mm</t>
  </si>
  <si>
    <t>Stackable chairs, Plastic, Armless</t>
  </si>
  <si>
    <t>Delivery &amp; Collection</t>
  </si>
  <si>
    <t>Inner Metropolitan </t>
  </si>
  <si>
    <t>Outer Metropolitan </t>
  </si>
  <si>
    <t>Provincial </t>
  </si>
  <si>
    <t>Rural </t>
  </si>
  <si>
    <t xml:space="preserve">
 Pre-Polling Voting Centres </t>
  </si>
  <si>
    <t>1 - 21</t>
  </si>
  <si>
    <t>Acoustic screens</t>
  </si>
  <si>
    <t xml:space="preserve">1500 x 1800mm </t>
  </si>
  <si>
    <t xml:space="preserve">300L Max, Fridge / Freezer </t>
  </si>
  <si>
    <t xml:space="preserve">20-30L </t>
  </si>
  <si>
    <t>8-30L</t>
  </si>
  <si>
    <t xml:space="preserve">600 x 900mm,  150kg Capacity </t>
  </si>
  <si>
    <t>4 bay, standing unit</t>
  </si>
  <si>
    <t xml:space="preserve">1200 x 450, Light duty garage racking </t>
  </si>
  <si>
    <t xml:space="preserve">Fencing Cage </t>
  </si>
  <si>
    <t xml:space="preserve">Large lockable cabinet </t>
  </si>
  <si>
    <t xml:space="preserve">
Out-Posted Centre
</t>
  </si>
  <si>
    <t>1800 x 1200mm, mobile</t>
  </si>
  <si>
    <t xml:space="preserve">Orange bollards with weighted base </t>
  </si>
  <si>
    <t xml:space="preserve">2700 x 900mm, Heavy duty racking </t>
  </si>
  <si>
    <t xml:space="preserve">1200 x 900mm, 300kg Capacity </t>
  </si>
  <si>
    <t>Standard AU pallet size</t>
  </si>
  <si>
    <t xml:space="preserve">500L Fridge / Freezer </t>
  </si>
  <si>
    <t>CHARGES FOR ADDITIONAL SERVICES</t>
  </si>
  <si>
    <t>Any volume discounts the Service Provider is offering</t>
  </si>
  <si>
    <t>Pricing for equipment hire and/or purchase for the items the Service Provider is offering</t>
  </si>
  <si>
    <t>Any related additional services/products the Service Provider is offering</t>
  </si>
  <si>
    <t>Demographic Classification</t>
  </si>
  <si>
    <t xml:space="preserve"> Offer /  Response</t>
  </si>
  <si>
    <t>All Delivery and Collection charges are subject finalisation dependant on location and volume and will be agreed in a resultant work order</t>
  </si>
  <si>
    <t>Day 33-62</t>
  </si>
  <si>
    <t>Day 63-74</t>
  </si>
  <si>
    <t>74 days Total</t>
  </si>
  <si>
    <t>Plastic Chair</t>
  </si>
  <si>
    <t>Day 21-32</t>
  </si>
  <si>
    <t>Outline of Potential Surcharges (additional costs associated with weekend/public holiday or urgent deliveries)</t>
  </si>
  <si>
    <t>Additional Costs</t>
  </si>
  <si>
    <t>Fencing Gate</t>
  </si>
  <si>
    <t>Acoustic Screen</t>
  </si>
  <si>
    <t>Volume Discounts (OPTIONAL)</t>
  </si>
  <si>
    <t>Additional Services (OPTIONAL)</t>
  </si>
  <si>
    <t>Price per KM
(GST Inclusive)</t>
  </si>
  <si>
    <t>Price per delivery 
(GST Inclusive)</t>
  </si>
  <si>
    <t>Price per Hour
(GST Inclusive)</t>
  </si>
  <si>
    <t>Delivery Costs (Complete one or more options)</t>
  </si>
  <si>
    <t xml:space="preserve">The total items required per grouping in the election period section represents the total amount required for that group. (i.e. Do not add or subtract weeks to one another). </t>
  </si>
  <si>
    <t>14-74</t>
  </si>
  <si>
    <t>Day 1-20</t>
  </si>
  <si>
    <r>
      <t xml:space="preserve">OPC Requirements 
</t>
    </r>
    <r>
      <rPr>
        <b/>
        <sz val="16"/>
        <color rgb="FF7030A0"/>
        <rFont val="HelveticaNeueLT Std Lt Cn"/>
        <family val="2"/>
      </rPr>
      <t>CORE Items</t>
    </r>
    <r>
      <rPr>
        <b/>
        <sz val="16"/>
        <color theme="1"/>
        <rFont val="HelveticaNeueLT Std Lt Cn"/>
        <family val="2"/>
      </rPr>
      <t xml:space="preserve">
(Per Divison)</t>
    </r>
  </si>
  <si>
    <r>
      <t xml:space="preserve">OPC Requirements
</t>
    </r>
    <r>
      <rPr>
        <b/>
        <sz val="16"/>
        <color rgb="FF0070C0"/>
        <rFont val="HelveticaNeueLT Std Lt Cn"/>
        <family val="2"/>
      </rPr>
      <t>OPTIONAL Items</t>
    </r>
    <r>
      <rPr>
        <b/>
        <sz val="16"/>
        <color theme="1"/>
        <rFont val="HelveticaNeueLT Std Lt Cn"/>
        <family val="2"/>
      </rPr>
      <t xml:space="preserve">
(Per Divison)</t>
    </r>
  </si>
  <si>
    <t>BANKS</t>
  </si>
  <si>
    <t xml:space="preserve">BANKS Details </t>
  </si>
  <si>
    <t>NSW</t>
  </si>
  <si>
    <t>BLAKEHURST</t>
  </si>
  <si>
    <t>MORTDALE</t>
  </si>
  <si>
    <t>NARWEE</t>
  </si>
  <si>
    <t>PANANIA</t>
  </si>
  <si>
    <t>PEAKHURST</t>
  </si>
  <si>
    <t>PENSHURST</t>
  </si>
  <si>
    <t>REVESBY</t>
  </si>
  <si>
    <t>RIVERWOOD</t>
  </si>
  <si>
    <t>BARTON</t>
  </si>
  <si>
    <t xml:space="preserve">BARTON Details </t>
  </si>
  <si>
    <t>ARNCLIFFE</t>
  </si>
  <si>
    <t>BARDWELL PARK</t>
  </si>
  <si>
    <t>BEVERLY HILLS</t>
  </si>
  <si>
    <t>BEXLEY NORTH</t>
  </si>
  <si>
    <t>EARLWOOD</t>
  </si>
  <si>
    <t>KOGARAH</t>
  </si>
  <si>
    <t>ROCKDALE</t>
  </si>
  <si>
    <t>TURRELLA</t>
  </si>
  <si>
    <t>BENNELONG</t>
  </si>
  <si>
    <t xml:space="preserve">BENNELONG Details </t>
  </si>
  <si>
    <t>HUNTERS HILL</t>
  </si>
  <si>
    <t>LANE COVE</t>
  </si>
  <si>
    <t>WEST RYDE</t>
  </si>
  <si>
    <t>Berowra</t>
  </si>
  <si>
    <t xml:space="preserve">BEROWRA Details </t>
  </si>
  <si>
    <t>ANNANGROVE</t>
  </si>
  <si>
    <t>BROOKLYN</t>
  </si>
  <si>
    <t>KENTHURST</t>
  </si>
  <si>
    <t>MOUNT COLAH</t>
  </si>
  <si>
    <t>MOUNT KURING-GAI</t>
  </si>
  <si>
    <t>WAITARA</t>
  </si>
  <si>
    <t>Blaxland</t>
  </si>
  <si>
    <t xml:space="preserve">BLAXLAND Details </t>
  </si>
  <si>
    <t>AUBURN</t>
  </si>
  <si>
    <t>GRANVILLE</t>
  </si>
  <si>
    <t>GUILDFORD</t>
  </si>
  <si>
    <t>GUILDFORD WEST</t>
  </si>
  <si>
    <t>MERRYLANDS</t>
  </si>
  <si>
    <t>Bradfield</t>
  </si>
  <si>
    <t xml:space="preserve">BRADFIELD Details </t>
  </si>
  <si>
    <t>ARTARMON</t>
  </si>
  <si>
    <t>PYMBLE</t>
  </si>
  <si>
    <t>ST IVES</t>
  </si>
  <si>
    <t>WAHROONGA</t>
  </si>
  <si>
    <t>Calare</t>
  </si>
  <si>
    <t xml:space="preserve">Calare Details </t>
  </si>
  <si>
    <t>BATHURST</t>
  </si>
  <si>
    <t>BLACK SPRINGS</t>
  </si>
  <si>
    <t>BORENORE</t>
  </si>
  <si>
    <t>CANOBOLAS</t>
  </si>
  <si>
    <t>CUDAL</t>
  </si>
  <si>
    <t>GEURIE</t>
  </si>
  <si>
    <t>GULGONG</t>
  </si>
  <si>
    <t>HAMPTON</t>
  </si>
  <si>
    <t>KELSO</t>
  </si>
  <si>
    <t>LITHGOW</t>
  </si>
  <si>
    <t>MILLTHORPE</t>
  </si>
  <si>
    <t>OAKEY PARK</t>
  </si>
  <si>
    <t>OBERON</t>
  </si>
  <si>
    <t>ORANGE</t>
  </si>
  <si>
    <t>PERTHVILLE</t>
  </si>
  <si>
    <t>SPRING HILL</t>
  </si>
  <si>
    <t>SPRING TERRACE</t>
  </si>
  <si>
    <t>Chifley</t>
  </si>
  <si>
    <t xml:space="preserve">CHIFLEY Details </t>
  </si>
  <si>
    <t>DEAN PARK</t>
  </si>
  <si>
    <t>DOONSIDE</t>
  </si>
  <si>
    <t>GLENDENNING</t>
  </si>
  <si>
    <t>MARSDEN PARK</t>
  </si>
  <si>
    <t>MOUNT DRUITT</t>
  </si>
  <si>
    <t>PLUMPTON</t>
  </si>
  <si>
    <t>ROOTY HILL</t>
  </si>
  <si>
    <t>WILLMOT</t>
  </si>
  <si>
    <t>WOODCROFT</t>
  </si>
  <si>
    <t>Cook</t>
  </si>
  <si>
    <t xml:space="preserve"> COOK Details </t>
  </si>
  <si>
    <t>CRONULLA</t>
  </si>
  <si>
    <t>GYMEA</t>
  </si>
  <si>
    <t>JANNALI</t>
  </si>
  <si>
    <t>MIRANDA</t>
  </si>
  <si>
    <t>SUTHERLAND</t>
  </si>
  <si>
    <t>Cowper</t>
  </si>
  <si>
    <t>COFFS HARBOUR</t>
  </si>
  <si>
    <t>MACKSVILLE</t>
  </si>
  <si>
    <t>TOORMINA</t>
  </si>
  <si>
    <t>UPPER ORARA</t>
  </si>
  <si>
    <t>Cunningham</t>
  </si>
  <si>
    <t xml:space="preserve">CUNNINGHAM Details </t>
  </si>
  <si>
    <t xml:space="preserve">COWPER Details </t>
  </si>
  <si>
    <t>COLEDALE</t>
  </si>
  <si>
    <t>CORDEAUX HEIGHTS</t>
  </si>
  <si>
    <t>FAIRY MEADOW</t>
  </si>
  <si>
    <t>HELENSBURGH</t>
  </si>
  <si>
    <t>MOUNT KEMBLA</t>
  </si>
  <si>
    <t>PRIMBEE</t>
  </si>
  <si>
    <t>UNANDERRA</t>
  </si>
  <si>
    <t>WOONONA</t>
  </si>
  <si>
    <t>Dobell</t>
  </si>
  <si>
    <t xml:space="preserve">Dobell Details </t>
  </si>
  <si>
    <t>SHELLY BEACH</t>
  </si>
  <si>
    <t>TACOMA</t>
  </si>
  <si>
    <t>THE ENTRANCE</t>
  </si>
  <si>
    <t>TUGGERAH</t>
  </si>
  <si>
    <t>Eden-Monaro</t>
  </si>
  <si>
    <t xml:space="preserve"> EDEN-MONARO Details </t>
  </si>
  <si>
    <t>BEGA</t>
  </si>
  <si>
    <t>GOULBURN SOUTH</t>
  </si>
  <si>
    <t>GOULBURN WEST</t>
  </si>
  <si>
    <t>WYNDHAM</t>
  </si>
  <si>
    <t>Farrer</t>
  </si>
  <si>
    <t>BAROOGA</t>
  </si>
  <si>
    <t>Fowler</t>
  </si>
  <si>
    <t xml:space="preserve"> FOWLER Details </t>
  </si>
  <si>
    <t xml:space="preserve">FARRER Details </t>
  </si>
  <si>
    <t>EDENSOR PARK</t>
  </si>
  <si>
    <t>LIVERPOOL</t>
  </si>
  <si>
    <t>VILLAWOOD</t>
  </si>
  <si>
    <t>WETHERILL PARK</t>
  </si>
  <si>
    <t>Gilmore</t>
  </si>
  <si>
    <t xml:space="preserve">GILMORE Details </t>
  </si>
  <si>
    <t>CAMBEWARRA</t>
  </si>
  <si>
    <t>FALLS CREEK</t>
  </si>
  <si>
    <t>MINNAMURRA</t>
  </si>
  <si>
    <t>MORUYA</t>
  </si>
  <si>
    <t>NOWRA</t>
  </si>
  <si>
    <t>Grayndler</t>
  </si>
  <si>
    <t xml:space="preserve"> GRAYNDLER Details </t>
  </si>
  <si>
    <t>ANNANDALE</t>
  </si>
  <si>
    <t>ASHFIELD</t>
  </si>
  <si>
    <t>CANTERBURY</t>
  </si>
  <si>
    <t>CROYDON PARK</t>
  </si>
  <si>
    <t>DULWICH HILL</t>
  </si>
  <si>
    <t>HABERFIELD</t>
  </si>
  <si>
    <t>LEWISHAM</t>
  </si>
  <si>
    <t>MARRICKVILLE</t>
  </si>
  <si>
    <t>STANMORE</t>
  </si>
  <si>
    <t>Greenway</t>
  </si>
  <si>
    <t xml:space="preserve"> GREENWAY Details </t>
  </si>
  <si>
    <t>BLACKTOWN</t>
  </si>
  <si>
    <t>GLENWOOD</t>
  </si>
  <si>
    <t>LALOR PARK</t>
  </si>
  <si>
    <t>NELSON</t>
  </si>
  <si>
    <t>QUAKERS HILL</t>
  </si>
  <si>
    <t>SCHOFIELDS</t>
  </si>
  <si>
    <t>SEVEN HILLS</t>
  </si>
  <si>
    <t>STANHOPE GARDENS</t>
  </si>
  <si>
    <t>Hughes</t>
  </si>
  <si>
    <t xml:space="preserve"> HUGHES Details </t>
  </si>
  <si>
    <t>ALFORDS POINT</t>
  </si>
  <si>
    <t>BANGOR</t>
  </si>
  <si>
    <t>BARDEN RIDGE</t>
  </si>
  <si>
    <t>ENGADINE</t>
  </si>
  <si>
    <t>ILLAWONG</t>
  </si>
  <si>
    <t>LOFTUS</t>
  </si>
  <si>
    <t>MACQUARIE FIELDS</t>
  </si>
  <si>
    <t>Hume</t>
  </si>
  <si>
    <t xml:space="preserve"> HUME Details </t>
  </si>
  <si>
    <t>APPIN</t>
  </si>
  <si>
    <t>HARRINGTON PARK</t>
  </si>
  <si>
    <t>MOUNT ANNAN</t>
  </si>
  <si>
    <t>NARELLAN VALE</t>
  </si>
  <si>
    <t>PICTON</t>
  </si>
  <si>
    <t>SPRING FARM</t>
  </si>
  <si>
    <t>THE OAKS</t>
  </si>
  <si>
    <t>WALLACIA</t>
  </si>
  <si>
    <t>WILTON</t>
  </si>
  <si>
    <t>Hunter</t>
  </si>
  <si>
    <t xml:space="preserve">HUNTER Details </t>
  </si>
  <si>
    <t>BARNSLEY</t>
  </si>
  <si>
    <t>BROKE</t>
  </si>
  <si>
    <t>CAMERON PARK</t>
  </si>
  <si>
    <t>CESSNOCK</t>
  </si>
  <si>
    <t>ELLALONG</t>
  </si>
  <si>
    <t>FASSIFERN</t>
  </si>
  <si>
    <t>KEARSLEY</t>
  </si>
  <si>
    <t>KILABEN BAY</t>
  </si>
  <si>
    <t>MORISSET</t>
  </si>
  <si>
    <t>MULBRING</t>
  </si>
  <si>
    <t>NORTH ROTHBURY</t>
  </si>
  <si>
    <t>TERALBA</t>
  </si>
  <si>
    <t>WOODRISING</t>
  </si>
  <si>
    <t>WYEE</t>
  </si>
  <si>
    <t>Kingsford Smith</t>
  </si>
  <si>
    <t xml:space="preserve">KINGSFORD SMITH Details </t>
  </si>
  <si>
    <t>BOTANY</t>
  </si>
  <si>
    <t>CHIFLEY</t>
  </si>
  <si>
    <t>COOGEE</t>
  </si>
  <si>
    <t>EASTLAKES</t>
  </si>
  <si>
    <t>MALABAR</t>
  </si>
  <si>
    <t>MAROUBRA</t>
  </si>
  <si>
    <t>MASCOT</t>
  </si>
  <si>
    <t>MATRAVILLE</t>
  </si>
  <si>
    <t>PHILLIP BAY</t>
  </si>
  <si>
    <t>SOUTH COOGEE</t>
  </si>
  <si>
    <t>Lindsay</t>
  </si>
  <si>
    <t xml:space="preserve">LINDSAY Details </t>
  </si>
  <si>
    <t>CAMBRIDGE GARDENS</t>
  </si>
  <si>
    <t>CAMBRIDGE PARK</t>
  </si>
  <si>
    <t>CASTLEREAGH</t>
  </si>
  <si>
    <t>CLAREMONT MEADOWS</t>
  </si>
  <si>
    <t>COLYTON</t>
  </si>
  <si>
    <t>CRANEBROOK</t>
  </si>
  <si>
    <t>GLENMORE PARK</t>
  </si>
  <si>
    <t>JAMISONTOWN</t>
  </si>
  <si>
    <t>LONDONDERRY</t>
  </si>
  <si>
    <t>SOUTH PENRITH</t>
  </si>
  <si>
    <t>ST MARYS</t>
  </si>
  <si>
    <t>WERRINGTON</t>
  </si>
  <si>
    <t>Lyne</t>
  </si>
  <si>
    <t xml:space="preserve">LYNE Details </t>
  </si>
  <si>
    <t>LARGS</t>
  </si>
  <si>
    <t>LORN</t>
  </si>
  <si>
    <t>PATERSON</t>
  </si>
  <si>
    <t>SEAHAM</t>
  </si>
  <si>
    <t>Macarthur</t>
  </si>
  <si>
    <t xml:space="preserve"> MACARTHUR Details </t>
  </si>
  <si>
    <t>CURRANS HILL</t>
  </si>
  <si>
    <t>GLEDSWOOD HILLS</t>
  </si>
  <si>
    <t>KENTLYN</t>
  </si>
  <si>
    <t>MINTO</t>
  </si>
  <si>
    <t>Mackellar</t>
  </si>
  <si>
    <t xml:space="preserve"> MACKELLAR Details </t>
  </si>
  <si>
    <t>BELROSE</t>
  </si>
  <si>
    <t>BILGOLA PLATEAU</t>
  </si>
  <si>
    <t>CROMER</t>
  </si>
  <si>
    <t>ELANORA HEIGHTS</t>
  </si>
  <si>
    <t>NEWPORT</t>
  </si>
  <si>
    <t>PALM BEACH</t>
  </si>
  <si>
    <t>Macquarie</t>
  </si>
  <si>
    <t xml:space="preserve">MACQUARIE Details </t>
  </si>
  <si>
    <t>BLAXLAND</t>
  </si>
  <si>
    <t>EMU PLAINS</t>
  </si>
  <si>
    <t>KATOOMBA</t>
  </si>
  <si>
    <t>KURRAJONG</t>
  </si>
  <si>
    <t>LAWSON</t>
  </si>
  <si>
    <t>LEONAY</t>
  </si>
  <si>
    <t>MOUNT RIVERVIEW</t>
  </si>
  <si>
    <t>NORTH RICHMOND</t>
  </si>
  <si>
    <t>RICHMOND</t>
  </si>
  <si>
    <t>SOUTH WINDSOR</t>
  </si>
  <si>
    <t>SPRINGWOOD</t>
  </si>
  <si>
    <t>WILBERFORCE</t>
  </si>
  <si>
    <t>McMahon</t>
  </si>
  <si>
    <t xml:space="preserve"> MCMAHON Details </t>
  </si>
  <si>
    <t>FAIRFIELD HEIGHTS</t>
  </si>
  <si>
    <t>GREYSTANES</t>
  </si>
  <si>
    <t>HORSLEY PARK</t>
  </si>
  <si>
    <t>ST CLAIR</t>
  </si>
  <si>
    <t>Mitchell</t>
  </si>
  <si>
    <t xml:space="preserve">MITCHELL Details </t>
  </si>
  <si>
    <t>BAULKHAM HILLS</t>
  </si>
  <si>
    <t>CASTLE HILL</t>
  </si>
  <si>
    <t>NORTH KELLYVILLE</t>
  </si>
  <si>
    <t>New England</t>
  </si>
  <si>
    <t xml:space="preserve"> NEW ENGLAND Details </t>
  </si>
  <si>
    <t>ARMIDALE</t>
  </si>
  <si>
    <t>BENDEMEER</t>
  </si>
  <si>
    <t>MUSWELLBROOK</t>
  </si>
  <si>
    <t>OXLEY VALE</t>
  </si>
  <si>
    <t>SANDY HOLLOW</t>
  </si>
  <si>
    <t>SCONE</t>
  </si>
  <si>
    <t>TAMWORTH</t>
  </si>
  <si>
    <t>Newcastle</t>
  </si>
  <si>
    <t xml:space="preserve"> NEWCASTLE Details </t>
  </si>
  <si>
    <t>HAMILTON</t>
  </si>
  <si>
    <t>MEREWETHER HEIGHTS</t>
  </si>
  <si>
    <t>NEW LAMBTON</t>
  </si>
  <si>
    <t>SHORTLAND</t>
  </si>
  <si>
    <t>WALLSEND</t>
  </si>
  <si>
    <t>Page</t>
  </si>
  <si>
    <t xml:space="preserve">PAGE Details </t>
  </si>
  <si>
    <t>CASINO</t>
  </si>
  <si>
    <t>CORINDI BEACH</t>
  </si>
  <si>
    <t>JUNCTION HILL</t>
  </si>
  <si>
    <t>WOOMBAH</t>
  </si>
  <si>
    <t>Parkes</t>
  </si>
  <si>
    <t xml:space="preserve">PARKES Details </t>
  </si>
  <si>
    <t>BARMEDMAN</t>
  </si>
  <si>
    <t>Parramatta</t>
  </si>
  <si>
    <t xml:space="preserve"> PARRAMATTA Details </t>
  </si>
  <si>
    <t>CARLINGFORD</t>
  </si>
  <si>
    <t>CONSTITUTION HILL</t>
  </si>
  <si>
    <t>DUNDAS</t>
  </si>
  <si>
    <t>DUNDAS VALLEY</t>
  </si>
  <si>
    <t>NORTH PARRAMATTA</t>
  </si>
  <si>
    <t>OATLANDS</t>
  </si>
  <si>
    <t>RYDALMERE</t>
  </si>
  <si>
    <t>TELOPEA</t>
  </si>
  <si>
    <t>TOONGABBIE</t>
  </si>
  <si>
    <t>Paterson</t>
  </si>
  <si>
    <t xml:space="preserve"> PATERSON Details </t>
  </si>
  <si>
    <t>ABERGLASSLYN</t>
  </si>
  <si>
    <t>MEDOWIE</t>
  </si>
  <si>
    <t>RUTHERFORD</t>
  </si>
  <si>
    <t>SALT ASH</t>
  </si>
  <si>
    <t>TELARAH</t>
  </si>
  <si>
    <t>WOODBERRY</t>
  </si>
  <si>
    <t>Reid</t>
  </si>
  <si>
    <t xml:space="preserve">REID Details </t>
  </si>
  <si>
    <t>BURWOOD</t>
  </si>
  <si>
    <t>CONCORD</t>
  </si>
  <si>
    <t>CONCORD WEST</t>
  </si>
  <si>
    <t>CROYDON</t>
  </si>
  <si>
    <t>DRUMMOYNE</t>
  </si>
  <si>
    <t>FIVE DOCK</t>
  </si>
  <si>
    <t>HOMEBUSH</t>
  </si>
  <si>
    <t>HOMEBUSH WEST</t>
  </si>
  <si>
    <t>STRATHFIELD</t>
  </si>
  <si>
    <t>WENTWORTH POINT</t>
  </si>
  <si>
    <t>Richmond</t>
  </si>
  <si>
    <t xml:space="preserve"> RICHMOND Details </t>
  </si>
  <si>
    <t>BILLINUDGEL</t>
  </si>
  <si>
    <t>BURRINGBAR</t>
  </si>
  <si>
    <t>CHILLINGHAM</t>
  </si>
  <si>
    <t>CHINDERAH</t>
  </si>
  <si>
    <t>CRABBES CREEK</t>
  </si>
  <si>
    <t>CRYSTAL CREEK</t>
  </si>
  <si>
    <t>FERNLEIGH</t>
  </si>
  <si>
    <t>MULLUMBIMBY</t>
  </si>
  <si>
    <t>MURWILLUMBAH</t>
  </si>
  <si>
    <t>STOKERS SIDING</t>
  </si>
  <si>
    <t>TWEED HEADS SOUTH</t>
  </si>
  <si>
    <t>UPPER MAIN ARM</t>
  </si>
  <si>
    <t>Riverina</t>
  </si>
  <si>
    <t xml:space="preserve">RIVERINA  Details </t>
  </si>
  <si>
    <t>BOOROWA</t>
  </si>
  <si>
    <t>GUNNING</t>
  </si>
  <si>
    <t>JUNEE</t>
  </si>
  <si>
    <t>KOORAWATHA</t>
  </si>
  <si>
    <t>TUMUT</t>
  </si>
  <si>
    <t>Robertson</t>
  </si>
  <si>
    <t xml:space="preserve">ROBERTSON Details </t>
  </si>
  <si>
    <t>BOOKER BAY</t>
  </si>
  <si>
    <t>GOSFORD</t>
  </si>
  <si>
    <t>MOONEY MOONEY</t>
  </si>
  <si>
    <t>MOUNT WHITE</t>
  </si>
  <si>
    <t>TERRIGAL</t>
  </si>
  <si>
    <t>WOY WOY</t>
  </si>
  <si>
    <t>Shortland</t>
  </si>
  <si>
    <t xml:space="preserve">SHORTLAND Details </t>
  </si>
  <si>
    <t>ARGENTON</t>
  </si>
  <si>
    <t>BELMONT</t>
  </si>
  <si>
    <t>CARDIFF</t>
  </si>
  <si>
    <t>ELEEBANA</t>
  </si>
  <si>
    <t>FLORAVILLE</t>
  </si>
  <si>
    <t>MOUNT HUTTON</t>
  </si>
  <si>
    <t>NORDS WHARF</t>
  </si>
  <si>
    <t>SUMMERLAND POINT</t>
  </si>
  <si>
    <t>VALENTINE</t>
  </si>
  <si>
    <t>Sydney</t>
  </si>
  <si>
    <t xml:space="preserve">SYDNEY Details </t>
  </si>
  <si>
    <t>BALMAIN</t>
  </si>
  <si>
    <t>BEACONSFIELD</t>
  </si>
  <si>
    <t>CHIPPENDALE</t>
  </si>
  <si>
    <t>ERSKINEVILLE</t>
  </si>
  <si>
    <t>FOREST LODGE</t>
  </si>
  <si>
    <t>GLEBE</t>
  </si>
  <si>
    <t>ROZELLE</t>
  </si>
  <si>
    <t>SURRY HILLS</t>
  </si>
  <si>
    <t>WATERLOO</t>
  </si>
  <si>
    <t>Warringah</t>
  </si>
  <si>
    <t xml:space="preserve">WARRINGAH Details </t>
  </si>
  <si>
    <t>BALGOWLAH</t>
  </si>
  <si>
    <t>BALGOWLAH HEIGHTS</t>
  </si>
  <si>
    <t>CAMMERAY</t>
  </si>
  <si>
    <t>CREMORNE</t>
  </si>
  <si>
    <t>CROWS NEST</t>
  </si>
  <si>
    <t>MOSMAN</t>
  </si>
  <si>
    <t>Watson</t>
  </si>
  <si>
    <t xml:space="preserve">WATSON Details </t>
  </si>
  <si>
    <t>BANKSTOWN</t>
  </si>
  <si>
    <t>BELMORE</t>
  </si>
  <si>
    <t>CONDELL PARK</t>
  </si>
  <si>
    <t>GEORGES HALL</t>
  </si>
  <si>
    <t>GREENACRE</t>
  </si>
  <si>
    <t>Wentworth</t>
  </si>
  <si>
    <t xml:space="preserve"> WENTWORTH Details </t>
  </si>
  <si>
    <t>BONDI</t>
  </si>
  <si>
    <t>BONDI BEACH</t>
  </si>
  <si>
    <t>BONDI JUNCTION</t>
  </si>
  <si>
    <t>CLOVELLY</t>
  </si>
  <si>
    <t>DARLINGHURST</t>
  </si>
  <si>
    <t>DOUBLE BAY</t>
  </si>
  <si>
    <t>EDGECLIFF</t>
  </si>
  <si>
    <t>PADDINGTON</t>
  </si>
  <si>
    <t>WATSONS BAY</t>
  </si>
  <si>
    <t>WAVERLEY</t>
  </si>
  <si>
    <t>Werriwa</t>
  </si>
  <si>
    <t xml:space="preserve"> WERRIWA Details </t>
  </si>
  <si>
    <t>AUSTRAL</t>
  </si>
  <si>
    <t>BONNYRIGG HEIGHTS</t>
  </si>
  <si>
    <t>CECIL HILLS</t>
  </si>
  <si>
    <t>EDMONDSON PARK</t>
  </si>
  <si>
    <t>GLENFIELD</t>
  </si>
  <si>
    <t>GREEN VALLEY</t>
  </si>
  <si>
    <t>HECKENBERG</t>
  </si>
  <si>
    <t>HINCHINBROOK</t>
  </si>
  <si>
    <t>PRESTONS</t>
  </si>
  <si>
    <t>SADLEIR</t>
  </si>
  <si>
    <t>Whitlam</t>
  </si>
  <si>
    <t xml:space="preserve">  WHITLAM Details </t>
  </si>
  <si>
    <t>ALBION PARK</t>
  </si>
  <si>
    <t>ALBION PARK RAIL</t>
  </si>
  <si>
    <t>BARRACK HEIGHTS</t>
  </si>
  <si>
    <t>DAPTO</t>
  </si>
  <si>
    <t>SHELL COVE</t>
  </si>
  <si>
    <t>HURSTVILLE</t>
  </si>
  <si>
    <t>BEROWA</t>
  </si>
  <si>
    <t>NORWEST</t>
  </si>
  <si>
    <t>FAIRFIELD</t>
  </si>
  <si>
    <t>LIDCOMBE</t>
  </si>
  <si>
    <t>PARRAMATTA</t>
  </si>
  <si>
    <t>CALARE</t>
  </si>
  <si>
    <t>WINDRADYNE</t>
  </si>
  <si>
    <t>PENRITH</t>
  </si>
  <si>
    <t>COOK</t>
  </si>
  <si>
    <t>COWPER</t>
  </si>
  <si>
    <t>PORT MACQUARIE</t>
  </si>
  <si>
    <t>CUNNINGHAM</t>
  </si>
  <si>
    <t>WOLLONGONG</t>
  </si>
  <si>
    <t>DOBELL</t>
  </si>
  <si>
    <t>EDEN-MONARO</t>
  </si>
  <si>
    <t>BELCONNEN</t>
  </si>
  <si>
    <t>GOULBURN</t>
  </si>
  <si>
    <t>GUNGAHLIN</t>
  </si>
  <si>
    <t>PHILLIP</t>
  </si>
  <si>
    <t>QUEANBEYAN</t>
  </si>
  <si>
    <t>TURNER</t>
  </si>
  <si>
    <t>FARRER</t>
  </si>
  <si>
    <t>DENILIQUIN</t>
  </si>
  <si>
    <t>FOWLER</t>
  </si>
  <si>
    <t>GILMORE</t>
  </si>
  <si>
    <t>WORRIGEE</t>
  </si>
  <si>
    <t>GREENWAY</t>
  </si>
  <si>
    <t>HUGHES</t>
  </si>
  <si>
    <t>HUME</t>
  </si>
  <si>
    <t>HUNTER</t>
  </si>
  <si>
    <t>CHARLESTOWN</t>
  </si>
  <si>
    <t>NEWCASTLE WEST</t>
  </si>
  <si>
    <t>KINGSFORD SMITH</t>
  </si>
  <si>
    <t>LINDSAY</t>
  </si>
  <si>
    <t>LYNE</t>
  </si>
  <si>
    <t>MACARTHUR</t>
  </si>
  <si>
    <t>MACKELLAR</t>
  </si>
  <si>
    <t>NORTH NARRABEEN</t>
  </si>
  <si>
    <t>MACQUARIE</t>
  </si>
  <si>
    <t>MCMAHON</t>
  </si>
  <si>
    <t>MITCHELL</t>
  </si>
  <si>
    <t>NEW ENGLAND</t>
  </si>
  <si>
    <t>NEWCASTLE</t>
  </si>
  <si>
    <t>PAGE</t>
  </si>
  <si>
    <t>LISMORE</t>
  </si>
  <si>
    <t>THORNTON</t>
  </si>
  <si>
    <t>REID</t>
  </si>
  <si>
    <t>RIVERINA</t>
  </si>
  <si>
    <t>WAGGA WAGGA</t>
  </si>
  <si>
    <t>ROBERTSON</t>
  </si>
  <si>
    <t>SYDNEY</t>
  </si>
  <si>
    <t>WENTWORTH</t>
  </si>
  <si>
    <t>ROSE BAY</t>
  </si>
  <si>
    <t>WERRIWA</t>
  </si>
  <si>
    <t>WHITLAM</t>
  </si>
  <si>
    <t>SHELLHARBOUR CITY CENTRE</t>
  </si>
  <si>
    <t xml:space="preserve">BANKS DIVISION Details </t>
  </si>
  <si>
    <t xml:space="preserve">BARTON DIVISION Details </t>
  </si>
  <si>
    <t xml:space="preserve">BEROWA DIVISION Details </t>
  </si>
  <si>
    <t xml:space="preserve">BLAXLAND DIVISION Details </t>
  </si>
  <si>
    <t xml:space="preserve">CALARE DIVISION Details </t>
  </si>
  <si>
    <t xml:space="preserve">CHIFLEY DIVISION Details </t>
  </si>
  <si>
    <t xml:space="preserve">COOK DIVISION Details </t>
  </si>
  <si>
    <t xml:space="preserve">COWPER DIVISION Details </t>
  </si>
  <si>
    <t xml:space="preserve">CUNNINGHAM DIVISION Details </t>
  </si>
  <si>
    <t xml:space="preserve">DOBELL DIVISION Details </t>
  </si>
  <si>
    <t xml:space="preserve">EDEN-MONARO DIVISION Details </t>
  </si>
  <si>
    <t xml:space="preserve">FARRER DIVISION Details </t>
  </si>
  <si>
    <t xml:space="preserve">FOWLER DIVISION Details </t>
  </si>
  <si>
    <t xml:space="preserve">GILMORE DIVISION Details </t>
  </si>
  <si>
    <t xml:space="preserve">GREENWAY DIVISION Details </t>
  </si>
  <si>
    <t xml:space="preserve">HUGHES DIVISION Details </t>
  </si>
  <si>
    <t xml:space="preserve">HUME DIVISION Details </t>
  </si>
  <si>
    <t xml:space="preserve">HUNTER DIVISION Details </t>
  </si>
  <si>
    <t xml:space="preserve">KINGSFORD SMITH DIVISION Details </t>
  </si>
  <si>
    <t xml:space="preserve">LINDSAY DIVISION Details </t>
  </si>
  <si>
    <t xml:space="preserve">LYNE DIVISION Details </t>
  </si>
  <si>
    <t xml:space="preserve">MACARTHUR DIVISION Details </t>
  </si>
  <si>
    <t xml:space="preserve">MACKELLAR DIVISION Details </t>
  </si>
  <si>
    <t xml:space="preserve">MACQUARIE DIVISION Details </t>
  </si>
  <si>
    <t xml:space="preserve">MCMAHON DIVISION Details </t>
  </si>
  <si>
    <t xml:space="preserve">MICHELL DIVISION Details </t>
  </si>
  <si>
    <t xml:space="preserve">NEW ENGLAND DIVISION Details </t>
  </si>
  <si>
    <t xml:space="preserve">NEWCASTLE DIVISION Details </t>
  </si>
  <si>
    <t xml:space="preserve">PAGE DIVISION Details </t>
  </si>
  <si>
    <t xml:space="preserve">PARRAMATTA DIVISION Details </t>
  </si>
  <si>
    <t xml:space="preserve">PATERSON DIVISION Details </t>
  </si>
  <si>
    <t xml:space="preserve">REID DIVISION Details </t>
  </si>
  <si>
    <t xml:space="preserve">RICHMOND DIVISION Details </t>
  </si>
  <si>
    <t xml:space="preserve">RIVERINA DIVISION Details </t>
  </si>
  <si>
    <t xml:space="preserve">ROBERTSON DIVISION Details </t>
  </si>
  <si>
    <t xml:space="preserve">SHORTLAND DIVISION Details </t>
  </si>
  <si>
    <t xml:space="preserve">SYDNEY DIVISION Details </t>
  </si>
  <si>
    <t xml:space="preserve">WENTWORTH DIVISION Details </t>
  </si>
  <si>
    <t xml:space="preserve">WERRIWA DIVISION Details </t>
  </si>
  <si>
    <t xml:space="preserve">WHITLAM DIVISION Details </t>
  </si>
  <si>
    <t>Shelving bays, large 
(H2400 x D1200x W2400)</t>
  </si>
  <si>
    <t>Shelving bays, small 
(H1800 x D600 x W1200)</t>
  </si>
  <si>
    <t>SW</t>
  </si>
  <si>
    <t>Inner Metropolitan</t>
  </si>
  <si>
    <t>Nil</t>
  </si>
  <si>
    <t xml:space="preserve">BENNELONG DIVISION Details </t>
  </si>
  <si>
    <t>Outer Metropolitan</t>
  </si>
  <si>
    <t>BRADFIELD</t>
  </si>
  <si>
    <t xml:space="preserve">BRADFIELD DIVISION Details </t>
  </si>
  <si>
    <t>Rural</t>
  </si>
  <si>
    <t>Provincial</t>
  </si>
  <si>
    <t>GRAYLANDER</t>
  </si>
  <si>
    <t xml:space="preserve">GRAYLANDER DIVISION Details </t>
  </si>
  <si>
    <t>PARKES</t>
  </si>
  <si>
    <t xml:space="preserve">PARKES DIVISION Details </t>
  </si>
  <si>
    <t>WARRINGAH</t>
  </si>
  <si>
    <t xml:space="preserve">WARRINGAH DIVISION Details </t>
  </si>
  <si>
    <t xml:space="preserve">WATSON DIVISION Details </t>
  </si>
  <si>
    <t>WATSON</t>
  </si>
  <si>
    <t>Timber top table that has structural support 1800 x 900mm</t>
  </si>
  <si>
    <t>Portable Toilets and associated servicing</t>
  </si>
  <si>
    <t>TBC</t>
  </si>
  <si>
    <t>Portable toilets and associated servicing</t>
  </si>
  <si>
    <t>Please specify type. If more than one form of unit available please add further rows and describe.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</si>
</sst>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NeueLT Std Cn"/>
      <family val="2"/>
    </font>
    <font>
      <b/>
      <sz val="28"/>
      <color theme="1"/>
      <name val="HelveticaNeueLT Std Cn"/>
      <family val="2"/>
    </font>
    <font>
      <sz val="24"/>
      <color theme="0"/>
      <name val="HelveticaNeueLT Std Cn"/>
      <family val="2"/>
    </font>
    <font>
      <sz val="10"/>
      <name val="Arial"/>
      <family val="2"/>
    </font>
    <font>
      <sz val="11"/>
      <color theme="1"/>
      <name val="HelveticaNeueLT Std Lt Cn"/>
      <family val="2"/>
    </font>
    <font>
      <b/>
      <sz val="14"/>
      <color theme="1"/>
      <name val="HelveticaNeueLT Std Lt Cn"/>
      <family val="2"/>
    </font>
    <font>
      <sz val="24"/>
      <color theme="0"/>
      <name val="HelveticaNeueLT Std Lt Cn"/>
      <family val="2"/>
    </font>
    <font>
      <sz val="12"/>
      <color theme="1"/>
      <name val="HelveticaNeueLT Std Lt Cn"/>
      <family val="2"/>
    </font>
    <font>
      <b/>
      <sz val="16"/>
      <color theme="1"/>
      <name val="HelveticaNeueLT Std Lt Cn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HelveticaNeueLT Std Lt Cn"/>
      <family val="2"/>
    </font>
    <font>
      <b/>
      <i/>
      <sz val="11"/>
      <name val="Arial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2"/>
      <name val="HelveticaNeueLT Std Lt Cn"/>
      <family val="2"/>
    </font>
    <font>
      <sz val="8"/>
      <name val="Arial"/>
      <family val="2"/>
    </font>
    <font>
      <b/>
      <sz val="16"/>
      <color rgb="FF0070C0"/>
      <name val="HelveticaNeueLT Std Lt Cn"/>
      <family val="2"/>
    </font>
    <font>
      <b/>
      <sz val="16"/>
      <color rgb="FF7030A0"/>
      <name val="HelveticaNeueLT Std Lt Cn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E267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164" fontId="1" fillId="0" borderId="0" applyFont="0" applyFill="0" applyBorder="0" applyAlignment="0" applyProtection="0"/>
  </cellStyleXfs>
  <cellXfs count="19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8" fillId="35" borderId="0" xfId="0" applyFont="1" applyFill="1"/>
    <xf numFmtId="0" fontId="20" fillId="33" borderId="0" xfId="0" applyFont="1" applyFill="1" applyAlignment="1">
      <alignment horizontal="left" vertical="center"/>
    </xf>
    <xf numFmtId="0" fontId="20" fillId="35" borderId="0" xfId="0" applyFont="1" applyFill="1" applyAlignment="1">
      <alignment horizontal="left"/>
    </xf>
    <xf numFmtId="0" fontId="19" fillId="34" borderId="0" xfId="0" applyFont="1" applyFill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vertical="center"/>
    </xf>
    <xf numFmtId="0" fontId="0" fillId="35" borderId="0" xfId="0" applyFill="1" applyAlignment="1">
      <alignment horizontal="center" vertical="center" wrapText="1"/>
    </xf>
    <xf numFmtId="0" fontId="20" fillId="35" borderId="0" xfId="0" applyFont="1" applyFill="1" applyAlignment="1">
      <alignment horizontal="left" vertical="center"/>
    </xf>
    <xf numFmtId="0" fontId="0" fillId="35" borderId="0" xfId="0" applyFill="1" applyAlignment="1">
      <alignment wrapText="1"/>
    </xf>
    <xf numFmtId="0" fontId="22" fillId="35" borderId="0" xfId="0" applyFont="1" applyFill="1"/>
    <xf numFmtId="0" fontId="25" fillId="37" borderId="1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left"/>
    </xf>
    <xf numFmtId="0" fontId="27" fillId="0" borderId="0" xfId="0" applyFont="1"/>
    <xf numFmtId="0" fontId="27" fillId="35" borderId="11" xfId="0" applyFont="1" applyFill="1" applyBorder="1"/>
    <xf numFmtId="0" fontId="27" fillId="0" borderId="11" xfId="0" applyFont="1" applyBorder="1"/>
    <xf numFmtId="0" fontId="27" fillId="35" borderId="0" xfId="0" applyFont="1" applyFill="1"/>
    <xf numFmtId="0" fontId="27" fillId="0" borderId="11" xfId="0" applyFont="1" applyBorder="1" applyAlignment="1">
      <alignment horizontal="left" vertical="center"/>
    </xf>
    <xf numFmtId="0" fontId="27" fillId="34" borderId="20" xfId="0" applyFont="1" applyFill="1" applyBorder="1"/>
    <xf numFmtId="0" fontId="27" fillId="34" borderId="0" xfId="0" applyFont="1" applyFill="1"/>
    <xf numFmtId="0" fontId="27" fillId="0" borderId="11" xfId="0" applyFont="1" applyBorder="1" applyAlignment="1">
      <alignment vertical="center"/>
    </xf>
    <xf numFmtId="0" fontId="28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30" fillId="0" borderId="10" xfId="0" applyFont="1" applyBorder="1"/>
    <xf numFmtId="0" fontId="27" fillId="0" borderId="11" xfId="0" applyFont="1" applyBorder="1" applyAlignment="1">
      <alignment horizontal="center" vertical="center"/>
    </xf>
    <xf numFmtId="0" fontId="27" fillId="35" borderId="0" xfId="0" applyFont="1" applyFill="1" applyAlignment="1">
      <alignment horizontal="left"/>
    </xf>
    <xf numFmtId="0" fontId="27" fillId="35" borderId="0" xfId="0" applyFont="1" applyFill="1" applyAlignment="1">
      <alignment horizontal="left" vertical="center"/>
    </xf>
    <xf numFmtId="0" fontId="27" fillId="0" borderId="24" xfId="0" applyFont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27" fillId="34" borderId="34" xfId="0" applyFont="1" applyFill="1" applyBorder="1"/>
    <xf numFmtId="0" fontId="27" fillId="34" borderId="35" xfId="0" applyFont="1" applyFill="1" applyBorder="1"/>
    <xf numFmtId="0" fontId="19" fillId="35" borderId="0" xfId="0" applyFont="1" applyFill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/>
    </xf>
    <xf numFmtId="0" fontId="28" fillId="37" borderId="11" xfId="0" applyFont="1" applyFill="1" applyBorder="1" applyAlignment="1">
      <alignment horizontal="left" vertical="center" wrapText="1"/>
    </xf>
    <xf numFmtId="0" fontId="25" fillId="35" borderId="0" xfId="0" applyFont="1" applyFill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7" fillId="41" borderId="11" xfId="0" applyFont="1" applyFill="1" applyBorder="1"/>
    <xf numFmtId="0" fontId="27" fillId="41" borderId="15" xfId="0" applyFont="1" applyFill="1" applyBorder="1"/>
    <xf numFmtId="0" fontId="36" fillId="35" borderId="0" xfId="0" applyFont="1" applyFill="1"/>
    <xf numFmtId="0" fontId="27" fillId="34" borderId="21" xfId="0" applyFont="1" applyFill="1" applyBorder="1"/>
    <xf numFmtId="0" fontId="27" fillId="34" borderId="17" xfId="0" applyFont="1" applyFill="1" applyBorder="1"/>
    <xf numFmtId="0" fontId="37" fillId="35" borderId="0" xfId="0" applyFont="1" applyFill="1" applyAlignment="1">
      <alignment horizontal="center" vertical="center" wrapText="1"/>
    </xf>
    <xf numFmtId="0" fontId="37" fillId="35" borderId="0" xfId="0" applyFont="1" applyFill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37" fillId="35" borderId="0" xfId="0" applyFont="1" applyFill="1" applyAlignment="1">
      <alignment vertical="center" wrapText="1"/>
    </xf>
    <xf numFmtId="0" fontId="27" fillId="35" borderId="0" xfId="0" applyFont="1" applyFill="1" applyAlignment="1">
      <alignment vertical="center" wrapText="1"/>
    </xf>
    <xf numFmtId="0" fontId="27" fillId="41" borderId="11" xfId="0" applyFont="1" applyFill="1" applyBorder="1" applyAlignment="1">
      <alignment vertical="center"/>
    </xf>
    <xf numFmtId="0" fontId="27" fillId="34" borderId="15" xfId="0" applyFont="1" applyFill="1" applyBorder="1" applyAlignment="1">
      <alignment vertical="center"/>
    </xf>
    <xf numFmtId="0" fontId="27" fillId="34" borderId="13" xfId="0" applyFont="1" applyFill="1" applyBorder="1" applyAlignment="1">
      <alignment vertical="center"/>
    </xf>
    <xf numFmtId="0" fontId="27" fillId="34" borderId="13" xfId="0" applyFont="1" applyFill="1" applyBorder="1"/>
    <xf numFmtId="0" fontId="27" fillId="41" borderId="12" xfId="0" applyFont="1" applyFill="1" applyBorder="1"/>
    <xf numFmtId="0" fontId="40" fillId="35" borderId="0" xfId="0" applyFont="1" applyFill="1" applyAlignment="1">
      <alignment horizontal="center"/>
    </xf>
    <xf numFmtId="0" fontId="42" fillId="0" borderId="0" xfId="0" applyFont="1" applyAlignment="1">
      <alignment horizontal="left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2" fillId="35" borderId="0" xfId="0" applyFont="1" applyFill="1" applyAlignment="1">
      <alignment horizontal="left" vertical="center"/>
    </xf>
    <xf numFmtId="0" fontId="40" fillId="35" borderId="0" xfId="0" applyFont="1" applyFill="1"/>
    <xf numFmtId="0" fontId="23" fillId="38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0" fontId="20" fillId="35" borderId="0" xfId="0" applyFont="1" applyFill="1" applyAlignment="1">
      <alignment horizontal="left" vertical="center" wrapText="1"/>
    </xf>
    <xf numFmtId="0" fontId="27" fillId="41" borderId="11" xfId="0" applyFont="1" applyFill="1" applyBorder="1" applyAlignment="1">
      <alignment wrapText="1"/>
    </xf>
    <xf numFmtId="0" fontId="27" fillId="35" borderId="0" xfId="0" applyFont="1" applyFill="1" applyAlignment="1">
      <alignment wrapText="1"/>
    </xf>
    <xf numFmtId="0" fontId="27" fillId="41" borderId="14" xfId="0" applyFont="1" applyFill="1" applyBorder="1" applyAlignment="1">
      <alignment wrapText="1"/>
    </xf>
    <xf numFmtId="0" fontId="23" fillId="38" borderId="14" xfId="0" applyFont="1" applyFill="1" applyBorder="1" applyAlignment="1">
      <alignment horizontal="center" vertical="center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0" fillId="35" borderId="0" xfId="0" applyFill="1" applyAlignment="1">
      <alignment horizontal="center" wrapText="1"/>
    </xf>
    <xf numFmtId="0" fontId="27" fillId="0" borderId="12" xfId="0" applyFont="1" applyBorder="1" applyAlignment="1">
      <alignment horizontal="center" vertical="center"/>
    </xf>
    <xf numFmtId="0" fontId="27" fillId="34" borderId="35" xfId="0" applyFont="1" applyFill="1" applyBorder="1" applyAlignment="1">
      <alignment vertical="center"/>
    </xf>
    <xf numFmtId="0" fontId="27" fillId="34" borderId="20" xfId="0" applyFont="1" applyFill="1" applyBorder="1" applyAlignment="1">
      <alignment vertical="center"/>
    </xf>
    <xf numFmtId="0" fontId="0" fillId="37" borderId="14" xfId="0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wrapText="1"/>
    </xf>
    <xf numFmtId="0" fontId="27" fillId="0" borderId="37" xfId="0" applyFont="1" applyBorder="1" applyAlignment="1">
      <alignment horizontal="center" wrapText="1"/>
    </xf>
    <xf numFmtId="0" fontId="27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38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30" fillId="0" borderId="38" xfId="0" applyFont="1" applyBorder="1" applyAlignment="1">
      <alignment horizontal="center" wrapText="1"/>
    </xf>
    <xf numFmtId="0" fontId="30" fillId="0" borderId="31" xfId="0" applyFont="1" applyBorder="1" applyAlignment="1">
      <alignment horizontal="center" wrapText="1"/>
    </xf>
    <xf numFmtId="0" fontId="30" fillId="0" borderId="39" xfId="0" applyFont="1" applyBorder="1" applyAlignment="1">
      <alignment horizontal="center" wrapText="1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wrapText="1"/>
    </xf>
    <xf numFmtId="0" fontId="30" fillId="0" borderId="42" xfId="0" applyFont="1" applyBorder="1" applyAlignment="1">
      <alignment horizontal="center" wrapText="1"/>
    </xf>
    <xf numFmtId="0" fontId="0" fillId="0" borderId="11" xfId="0" applyBorder="1" applyAlignment="1">
      <alignment horizontal="left" indent="2"/>
    </xf>
    <xf numFmtId="1" fontId="27" fillId="0" borderId="24" xfId="0" applyNumberFormat="1" applyFont="1" applyBorder="1" applyAlignment="1">
      <alignment horizontal="center" vertical="center"/>
    </xf>
    <xf numFmtId="1" fontId="27" fillId="0" borderId="12" xfId="0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" fontId="27" fillId="0" borderId="31" xfId="0" applyNumberFormat="1" applyFont="1" applyBorder="1" applyAlignment="1">
      <alignment horizontal="center" vertical="center"/>
    </xf>
    <xf numFmtId="1" fontId="27" fillId="35" borderId="0" xfId="0" applyNumberFormat="1" applyFont="1" applyFill="1"/>
    <xf numFmtId="1" fontId="27" fillId="0" borderId="15" xfId="0" applyNumberFormat="1" applyFont="1" applyBorder="1" applyAlignment="1">
      <alignment horizontal="center" vertical="center"/>
    </xf>
    <xf numFmtId="0" fontId="27" fillId="35" borderId="31" xfId="0" applyFont="1" applyFill="1" applyBorder="1" applyAlignment="1">
      <alignment horizontal="left" vertical="center"/>
    </xf>
    <xf numFmtId="0" fontId="27" fillId="35" borderId="31" xfId="0" applyFont="1" applyFill="1" applyBorder="1" applyAlignment="1">
      <alignment horizontal="center" vertical="center"/>
    </xf>
    <xf numFmtId="0" fontId="27" fillId="35" borderId="39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0" fillId="35" borderId="0" xfId="0" applyFill="1" applyAlignment="1">
      <alignment horizontal="center"/>
    </xf>
    <xf numFmtId="0" fontId="24" fillId="36" borderId="0" xfId="0" applyFont="1" applyFill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3" fillId="38" borderId="16" xfId="0" applyFont="1" applyFill="1" applyBorder="1" applyAlignment="1">
      <alignment horizontal="center" vertical="center" wrapText="1"/>
    </xf>
    <xf numFmtId="0" fontId="23" fillId="38" borderId="14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8" borderId="14" xfId="0" applyFont="1" applyFill="1" applyBorder="1" applyAlignment="1">
      <alignment horizontal="center" vertical="center"/>
    </xf>
    <xf numFmtId="0" fontId="23" fillId="38" borderId="16" xfId="0" applyFont="1" applyFill="1" applyBorder="1" applyAlignment="1">
      <alignment horizontal="center" vertical="center"/>
    </xf>
    <xf numFmtId="0" fontId="27" fillId="34" borderId="18" xfId="0" applyFont="1" applyFill="1" applyBorder="1" applyAlignment="1">
      <alignment horizontal="left" vertical="center" wrapText="1"/>
    </xf>
    <xf numFmtId="0" fontId="27" fillId="34" borderId="34" xfId="0" applyFont="1" applyFill="1" applyBorder="1" applyAlignment="1">
      <alignment horizontal="left" vertical="center" wrapText="1"/>
    </xf>
    <xf numFmtId="0" fontId="27" fillId="34" borderId="19" xfId="0" applyFont="1" applyFill="1" applyBorder="1" applyAlignment="1">
      <alignment horizontal="left" vertical="center" wrapText="1"/>
    </xf>
    <xf numFmtId="0" fontId="27" fillId="34" borderId="0" xfId="0" applyFont="1" applyFill="1" applyAlignment="1">
      <alignment horizontal="left" vertical="center" wrapText="1"/>
    </xf>
    <xf numFmtId="0" fontId="27" fillId="34" borderId="36" xfId="0" applyFont="1" applyFill="1" applyBorder="1" applyAlignment="1">
      <alignment horizontal="left" vertical="center" wrapText="1"/>
    </xf>
    <xf numFmtId="0" fontId="27" fillId="34" borderId="21" xfId="0" applyFont="1" applyFill="1" applyBorder="1" applyAlignment="1">
      <alignment horizontal="left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7" fillId="39" borderId="11" xfId="0" applyFont="1" applyFill="1" applyBorder="1" applyAlignment="1">
      <alignment horizontal="center" vertical="center" wrapText="1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27" fillId="0" borderId="11" xfId="0" applyFont="1" applyBorder="1" applyAlignment="1">
      <alignment horizontal="left" vertical="center"/>
    </xf>
    <xf numFmtId="0" fontId="27" fillId="42" borderId="15" xfId="0" applyFont="1" applyFill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42" borderId="12" xfId="0" applyFont="1" applyFill="1" applyBorder="1" applyAlignment="1">
      <alignment horizontal="center"/>
    </xf>
    <xf numFmtId="49" fontId="27" fillId="39" borderId="11" xfId="0" applyNumberFormat="1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27" fillId="39" borderId="15" xfId="0" applyFont="1" applyFill="1" applyBorder="1" applyAlignment="1">
      <alignment horizontal="center" vertical="center"/>
    </xf>
    <xf numFmtId="0" fontId="27" fillId="39" borderId="13" xfId="0" applyFont="1" applyFill="1" applyBorder="1" applyAlignment="1">
      <alignment horizontal="center" vertical="center"/>
    </xf>
    <xf numFmtId="0" fontId="27" fillId="39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7" fillId="35" borderId="11" xfId="0" applyFont="1" applyFill="1" applyBorder="1" applyAlignment="1">
      <alignment horizontal="left"/>
    </xf>
    <xf numFmtId="0" fontId="24" fillId="36" borderId="0" xfId="0" applyFont="1" applyFill="1" applyAlignment="1">
      <alignment horizontal="left" vertical="center"/>
    </xf>
    <xf numFmtId="0" fontId="23" fillId="34" borderId="11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left" vertical="center" wrapText="1"/>
    </xf>
    <xf numFmtId="0" fontId="28" fillId="35" borderId="10" xfId="0" applyFont="1" applyFill="1" applyBorder="1" applyAlignment="1">
      <alignment horizontal="left"/>
    </xf>
    <xf numFmtId="0" fontId="28" fillId="35" borderId="16" xfId="0" applyFont="1" applyFill="1" applyBorder="1" applyAlignment="1">
      <alignment horizontal="left"/>
    </xf>
    <xf numFmtId="0" fontId="28" fillId="35" borderId="14" xfId="0" applyFont="1" applyFill="1" applyBorder="1" applyAlignment="1">
      <alignment horizontal="left"/>
    </xf>
    <xf numFmtId="0" fontId="28" fillId="0" borderId="10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8" fillId="0" borderId="16" xfId="0" applyFont="1" applyBorder="1" applyAlignment="1">
      <alignment horizontal="center" vertical="center"/>
    </xf>
    <xf numFmtId="0" fontId="23" fillId="38" borderId="18" xfId="0" applyFont="1" applyFill="1" applyBorder="1" applyAlignment="1">
      <alignment horizontal="left" vertical="center" wrapText="1"/>
    </xf>
    <xf numFmtId="0" fontId="23" fillId="38" borderId="34" xfId="0" applyFont="1" applyFill="1" applyBorder="1" applyAlignment="1">
      <alignment horizontal="left" vertical="center" wrapText="1"/>
    </xf>
    <xf numFmtId="0" fontId="23" fillId="38" borderId="35" xfId="0" applyFont="1" applyFill="1" applyBorder="1" applyAlignment="1">
      <alignment horizontal="left" vertical="center" wrapText="1"/>
    </xf>
    <xf numFmtId="0" fontId="41" fillId="41" borderId="10" xfId="0" applyFont="1" applyFill="1" applyBorder="1" applyAlignment="1">
      <alignment horizontal="left" vertical="center"/>
    </xf>
    <xf numFmtId="0" fontId="41" fillId="41" borderId="16" xfId="0" applyFont="1" applyFill="1" applyBorder="1" applyAlignment="1">
      <alignment horizontal="left" vertical="center"/>
    </xf>
    <xf numFmtId="0" fontId="41" fillId="41" borderId="14" xfId="0" applyFont="1" applyFill="1" applyBorder="1" applyAlignment="1">
      <alignment horizontal="left" vertical="center"/>
    </xf>
    <xf numFmtId="0" fontId="23" fillId="38" borderId="11" xfId="0" applyFont="1" applyFill="1" applyBorder="1" applyAlignment="1">
      <alignment horizontal="left" vertical="center" wrapText="1"/>
    </xf>
    <xf numFmtId="0" fontId="41" fillId="41" borderId="11" xfId="0" applyFont="1" applyFill="1" applyBorder="1" applyAlignment="1">
      <alignment horizontal="left" vertical="center"/>
    </xf>
    <xf numFmtId="0" fontId="23" fillId="38" borderId="15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3" fillId="38" borderId="15" xfId="0" applyFont="1" applyFill="1" applyBorder="1" applyAlignment="1">
      <alignment horizontal="center" vertical="center" wrapText="1"/>
    </xf>
    <xf numFmtId="0" fontId="25" fillId="37" borderId="11" xfId="0" applyFont="1" applyFill="1" applyBorder="1" applyAlignment="1">
      <alignment horizontal="center" vertical="center" wrapText="1"/>
    </xf>
    <xf numFmtId="0" fontId="23" fillId="38" borderId="13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 wrapText="1"/>
    </xf>
    <xf numFmtId="0" fontId="25" fillId="37" borderId="12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 wrapText="1"/>
    </xf>
    <xf numFmtId="0" fontId="26" fillId="40" borderId="22" xfId="0" applyFont="1" applyFill="1" applyBorder="1" applyAlignment="1">
      <alignment horizontal="center" vertical="center" wrapText="1"/>
    </xf>
    <xf numFmtId="0" fontId="26" fillId="40" borderId="23" xfId="0" applyFont="1" applyFill="1" applyBorder="1" applyAlignment="1">
      <alignment horizontal="center" vertical="center" wrapText="1"/>
    </xf>
    <xf numFmtId="0" fontId="26" fillId="40" borderId="27" xfId="0" applyFont="1" applyFill="1" applyBorder="1" applyAlignment="1">
      <alignment horizontal="center" vertical="center" wrapText="1"/>
    </xf>
    <xf numFmtId="0" fontId="26" fillId="40" borderId="20" xfId="0" applyFont="1" applyFill="1" applyBorder="1" applyAlignment="1">
      <alignment horizontal="center" vertical="center" wrapText="1"/>
    </xf>
    <xf numFmtId="0" fontId="26" fillId="40" borderId="29" xfId="0" applyFont="1" applyFill="1" applyBorder="1" applyAlignment="1">
      <alignment horizontal="center" vertical="center" wrapText="1"/>
    </xf>
    <xf numFmtId="0" fontId="26" fillId="40" borderId="30" xfId="0" applyFont="1" applyFill="1" applyBorder="1" applyAlignment="1">
      <alignment horizontal="center" vertical="center" wrapText="1"/>
    </xf>
    <xf numFmtId="0" fontId="31" fillId="35" borderId="22" xfId="0" applyFont="1" applyFill="1" applyBorder="1" applyAlignment="1">
      <alignment horizontal="center" vertical="center" wrapText="1"/>
    </xf>
    <xf numFmtId="0" fontId="31" fillId="35" borderId="25" xfId="0" applyFont="1" applyFill="1" applyBorder="1" applyAlignment="1">
      <alignment horizontal="center" vertical="center" wrapText="1"/>
    </xf>
    <xf numFmtId="0" fontId="31" fillId="35" borderId="26" xfId="0" applyFont="1" applyFill="1" applyBorder="1" applyAlignment="1">
      <alignment horizontal="center" vertical="center" wrapText="1"/>
    </xf>
    <xf numFmtId="0" fontId="31" fillId="35" borderId="27" xfId="0" applyFont="1" applyFill="1" applyBorder="1" applyAlignment="1">
      <alignment horizontal="center" vertical="center" wrapText="1"/>
    </xf>
    <xf numFmtId="0" fontId="31" fillId="35" borderId="0" xfId="0" applyFont="1" applyFill="1" applyAlignment="1">
      <alignment horizontal="center" vertical="center" wrapText="1"/>
    </xf>
    <xf numFmtId="0" fontId="31" fillId="35" borderId="28" xfId="0" applyFont="1" applyFill="1" applyBorder="1" applyAlignment="1">
      <alignment horizontal="center" vertical="center" wrapText="1"/>
    </xf>
    <xf numFmtId="0" fontId="31" fillId="35" borderId="29" xfId="0" applyFont="1" applyFill="1" applyBorder="1" applyAlignment="1">
      <alignment horizontal="center" vertical="center" wrapText="1"/>
    </xf>
    <xf numFmtId="0" fontId="31" fillId="35" borderId="32" xfId="0" applyFont="1" applyFill="1" applyBorder="1" applyAlignment="1">
      <alignment horizontal="center" vertical="center" wrapText="1"/>
    </xf>
    <xf numFmtId="0" fontId="31" fillId="35" borderId="33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3" fillId="38" borderId="18" xfId="0" applyFont="1" applyFill="1" applyBorder="1" applyAlignment="1">
      <alignment horizontal="center" vertical="center"/>
    </xf>
    <xf numFmtId="0" fontId="23" fillId="38" borderId="35" xfId="0" applyFont="1" applyFill="1" applyBorder="1" applyAlignment="1">
      <alignment horizontal="center" vertical="center"/>
    </xf>
    <xf numFmtId="0" fontId="23" fillId="38" borderId="43" xfId="0" applyFont="1" applyFill="1" applyBorder="1" applyAlignment="1">
      <alignment horizontal="center" vertical="center"/>
    </xf>
    <xf numFmtId="0" fontId="23" fillId="38" borderId="30" xfId="0" applyFont="1" applyFill="1" applyBorder="1" applyAlignment="1">
      <alignment horizontal="center" vertical="center"/>
    </xf>
    <xf numFmtId="0" fontId="25" fillId="37" borderId="41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4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00000000-0005-0000-0000-000027000000}"/>
    <cellStyle name="Normal 8" xfId="43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calcChain" Target="calcChai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/customXML/item2.xml" Id="R93b222b6f1554978" 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87442</xdr:colOff>
      <xdr:row>17</xdr:row>
      <xdr:rowOff>174996</xdr:rowOff>
    </xdr:from>
    <xdr:to>
      <xdr:col>9</xdr:col>
      <xdr:colOff>544936</xdr:colOff>
      <xdr:row>22</xdr:row>
      <xdr:rowOff>206013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BC58C2D5-399C-47E1-8F7F-A1FB48DE5578}"/>
            </a:ext>
          </a:extLst>
        </xdr:cNvPr>
        <xdr:cNvSpPr/>
      </xdr:nvSpPr>
      <xdr:spPr>
        <a:xfrm rot="16200000">
          <a:off x="10320980" y="5457683"/>
          <a:ext cx="1307367" cy="457494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235324</xdr:colOff>
      <xdr:row>5</xdr:row>
      <xdr:rowOff>134471</xdr:rowOff>
    </xdr:from>
    <xdr:to>
      <xdr:col>18</xdr:col>
      <xdr:colOff>414617</xdr:colOff>
      <xdr:row>12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598CBCB-8A92-9B7F-1C71-B5F4B932B855}"/>
            </a:ext>
          </a:extLst>
        </xdr:cNvPr>
        <xdr:cNvSpPr txBox="1"/>
      </xdr:nvSpPr>
      <xdr:spPr>
        <a:xfrm>
          <a:off x="12102353" y="1524000"/>
          <a:ext cx="4415117" cy="2039471"/>
        </a:xfrm>
        <a:prstGeom prst="rect">
          <a:avLst/>
        </a:prstGeom>
        <a:solidFill>
          <a:schemeClr val="lt1"/>
        </a:solidFill>
        <a:ln w="571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4400"/>
            <a:t>Please</a:t>
          </a:r>
          <a:r>
            <a:rPr lang="en-AU" sz="4400" baseline="0"/>
            <a:t> review items at Zero</a:t>
          </a:r>
          <a:endParaRPr lang="en-AU" sz="4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workbookViewId="0">
      <selection activeCell="N14" sqref="N14"/>
    </sheetView>
  </sheetViews>
  <sheetFormatPr defaultRowHeight="15" outlineLevelRow="1" x14ac:dyDescent="0.25"/>
  <cols>
    <col min="1" max="1" width="23" bestFit="1" customWidth="1"/>
    <col min="2" max="2" width="13.85546875" bestFit="1" customWidth="1"/>
    <col min="3" max="3" width="16.42578125" customWidth="1"/>
    <col min="4" max="4" width="14.140625" customWidth="1"/>
    <col min="5" max="5" width="20.85546875" bestFit="1" customWidth="1"/>
    <col min="7" max="7" width="13.42578125" customWidth="1"/>
    <col min="9" max="9" width="14.5703125" customWidth="1"/>
    <col min="10" max="10" width="20.7109375" customWidth="1"/>
  </cols>
  <sheetData>
    <row r="1" spans="1:45" ht="34.5" x14ac:dyDescent="0.4">
      <c r="A1" s="6" t="s">
        <v>7</v>
      </c>
      <c r="B1" s="4" t="s">
        <v>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8" spans="1:45" x14ac:dyDescent="0.25">
      <c r="A8" s="146" t="s">
        <v>0</v>
      </c>
      <c r="B8" s="146" t="s">
        <v>9</v>
      </c>
      <c r="C8" s="146"/>
      <c r="D8" s="145" t="s">
        <v>10</v>
      </c>
      <c r="E8" s="145"/>
      <c r="F8" s="145"/>
      <c r="G8" s="145" t="s">
        <v>5</v>
      </c>
      <c r="H8" s="145" t="s">
        <v>4</v>
      </c>
      <c r="I8" s="145" t="s">
        <v>31</v>
      </c>
      <c r="J8" s="145" t="s">
        <v>32</v>
      </c>
    </row>
    <row r="9" spans="1:45" ht="30" x14ac:dyDescent="0.25">
      <c r="A9" s="146"/>
      <c r="B9" s="7" t="s">
        <v>1</v>
      </c>
      <c r="C9" s="7" t="s">
        <v>2</v>
      </c>
      <c r="D9" s="8" t="s">
        <v>3</v>
      </c>
      <c r="E9" s="8" t="s">
        <v>8</v>
      </c>
      <c r="F9" s="8" t="s">
        <v>13</v>
      </c>
      <c r="G9" s="145"/>
      <c r="H9" s="145"/>
      <c r="I9" s="145"/>
      <c r="J9" s="145"/>
    </row>
    <row r="10" spans="1:45" x14ac:dyDescent="0.25">
      <c r="A10" s="12"/>
      <c r="B10" s="2"/>
      <c r="C10" s="2"/>
      <c r="D10" s="11"/>
      <c r="E10" s="11"/>
      <c r="F10" s="11"/>
      <c r="G10" s="1"/>
      <c r="H10" s="1"/>
      <c r="I10" s="1"/>
      <c r="J10" s="1"/>
    </row>
    <row r="11" spans="1:45" x14ac:dyDescent="0.25">
      <c r="A11" s="10" t="s">
        <v>11</v>
      </c>
      <c r="B11" s="10">
        <f>SUM(B12:B30)</f>
        <v>83</v>
      </c>
      <c r="C11" s="10">
        <f>SUM(C12:C30)</f>
        <v>41</v>
      </c>
      <c r="D11" s="10">
        <f>SUM(D12:D30)</f>
        <v>19</v>
      </c>
      <c r="E11" s="10"/>
      <c r="F11" s="10"/>
      <c r="G11" s="10" t="s">
        <v>30</v>
      </c>
      <c r="H11" s="10">
        <v>1</v>
      </c>
      <c r="I11" s="10"/>
      <c r="J11" s="10"/>
    </row>
    <row r="12" spans="1:45" outlineLevel="1" x14ac:dyDescent="0.25">
      <c r="A12" t="s">
        <v>12</v>
      </c>
      <c r="B12" s="9">
        <v>3</v>
      </c>
      <c r="C12" s="9">
        <v>0</v>
      </c>
      <c r="D12" s="9">
        <v>1</v>
      </c>
      <c r="E12" s="9" t="s">
        <v>6</v>
      </c>
      <c r="F12" s="9">
        <v>4305</v>
      </c>
    </row>
    <row r="13" spans="1:45" outlineLevel="1" x14ac:dyDescent="0.25">
      <c r="B13" s="10">
        <v>2</v>
      </c>
      <c r="C13" s="10">
        <v>1</v>
      </c>
      <c r="D13" s="10">
        <v>1</v>
      </c>
      <c r="E13" s="10" t="s">
        <v>15</v>
      </c>
      <c r="F13" s="10">
        <v>4301</v>
      </c>
    </row>
    <row r="14" spans="1:45" outlineLevel="1" x14ac:dyDescent="0.25">
      <c r="B14" s="10">
        <v>3</v>
      </c>
      <c r="C14" s="10">
        <v>0</v>
      </c>
      <c r="D14" s="10">
        <v>1</v>
      </c>
      <c r="E14" s="10" t="s">
        <v>16</v>
      </c>
      <c r="F14" s="10">
        <v>4305</v>
      </c>
    </row>
    <row r="15" spans="1:45" outlineLevel="1" x14ac:dyDescent="0.25">
      <c r="B15" s="10">
        <v>2</v>
      </c>
      <c r="C15" s="10">
        <v>3</v>
      </c>
      <c r="D15" s="10">
        <v>1</v>
      </c>
      <c r="E15" s="10" t="s">
        <v>17</v>
      </c>
      <c r="F15" s="10">
        <v>4306</v>
      </c>
    </row>
    <row r="16" spans="1:45" outlineLevel="1" x14ac:dyDescent="0.25">
      <c r="B16" s="10">
        <v>4</v>
      </c>
      <c r="C16" s="10">
        <v>0</v>
      </c>
      <c r="D16" s="10">
        <v>1</v>
      </c>
      <c r="E16" s="10" t="s">
        <v>18</v>
      </c>
      <c r="F16" s="10">
        <v>4340</v>
      </c>
    </row>
    <row r="17" spans="1:6" outlineLevel="1" x14ac:dyDescent="0.25">
      <c r="B17" s="10">
        <v>2</v>
      </c>
      <c r="C17" s="10">
        <v>1</v>
      </c>
      <c r="D17" s="10">
        <v>1</v>
      </c>
      <c r="E17" s="10" t="s">
        <v>19</v>
      </c>
      <c r="F17" s="10">
        <v>4306</v>
      </c>
    </row>
    <row r="18" spans="1:6" outlineLevel="1" x14ac:dyDescent="0.25">
      <c r="B18" s="10">
        <v>9</v>
      </c>
      <c r="C18" s="10">
        <v>0</v>
      </c>
      <c r="D18" s="10">
        <v>1</v>
      </c>
      <c r="E18" s="10" t="s">
        <v>20</v>
      </c>
      <c r="F18" s="10">
        <v>4311</v>
      </c>
    </row>
    <row r="19" spans="1:6" outlineLevel="1" x14ac:dyDescent="0.25">
      <c r="B19" s="10">
        <v>10</v>
      </c>
      <c r="C19" s="10">
        <v>0</v>
      </c>
      <c r="D19" s="10">
        <v>1</v>
      </c>
      <c r="E19" s="10" t="s">
        <v>21</v>
      </c>
      <c r="F19" s="10">
        <v>4305</v>
      </c>
    </row>
    <row r="20" spans="1:6" outlineLevel="1" x14ac:dyDescent="0.25">
      <c r="B20" s="10">
        <v>2</v>
      </c>
      <c r="C20" s="10">
        <v>0</v>
      </c>
      <c r="D20" s="10">
        <v>1</v>
      </c>
      <c r="E20" s="10" t="s">
        <v>22</v>
      </c>
      <c r="F20" s="10">
        <v>4304</v>
      </c>
    </row>
    <row r="21" spans="1:6" outlineLevel="1" x14ac:dyDescent="0.25">
      <c r="B21" s="10">
        <v>2</v>
      </c>
      <c r="C21" s="10">
        <v>0</v>
      </c>
      <c r="D21" s="10">
        <v>1</v>
      </c>
      <c r="E21" s="10" t="s">
        <v>23</v>
      </c>
      <c r="F21" s="10">
        <v>4305</v>
      </c>
    </row>
    <row r="22" spans="1:6" outlineLevel="1" x14ac:dyDescent="0.25">
      <c r="B22" s="10">
        <v>6</v>
      </c>
      <c r="C22" s="10">
        <v>1</v>
      </c>
      <c r="D22" s="10">
        <v>1</v>
      </c>
      <c r="E22" s="10" t="s">
        <v>24</v>
      </c>
      <c r="F22" s="10">
        <v>4306</v>
      </c>
    </row>
    <row r="23" spans="1:6" outlineLevel="1" x14ac:dyDescent="0.25">
      <c r="B23" s="10">
        <v>1</v>
      </c>
      <c r="C23" s="10">
        <v>0</v>
      </c>
      <c r="D23" s="10">
        <v>1</v>
      </c>
      <c r="E23" s="10" t="s">
        <v>25</v>
      </c>
      <c r="F23" s="10">
        <v>4305</v>
      </c>
    </row>
    <row r="24" spans="1:6" outlineLevel="1" x14ac:dyDescent="0.25">
      <c r="B24" s="10">
        <v>3</v>
      </c>
      <c r="C24" s="10">
        <v>0</v>
      </c>
      <c r="D24" s="10">
        <v>1</v>
      </c>
      <c r="E24" s="10" t="s">
        <v>26</v>
      </c>
      <c r="F24" s="10">
        <v>4311</v>
      </c>
    </row>
    <row r="25" spans="1:6" outlineLevel="1" x14ac:dyDescent="0.25">
      <c r="B25" s="10">
        <v>5</v>
      </c>
      <c r="C25" s="10">
        <v>0</v>
      </c>
      <c r="D25" s="10">
        <v>1</v>
      </c>
      <c r="E25" s="10" t="s">
        <v>27</v>
      </c>
      <c r="F25" s="10">
        <v>4305</v>
      </c>
    </row>
    <row r="26" spans="1:6" outlineLevel="1" x14ac:dyDescent="0.25">
      <c r="B26" s="10">
        <v>2</v>
      </c>
      <c r="C26" s="10">
        <v>4</v>
      </c>
      <c r="D26" s="10">
        <v>1</v>
      </c>
      <c r="E26" s="10" t="s">
        <v>23</v>
      </c>
      <c r="F26" s="10">
        <v>4305</v>
      </c>
    </row>
    <row r="27" spans="1:6" outlineLevel="1" x14ac:dyDescent="0.25">
      <c r="B27" s="10">
        <v>10</v>
      </c>
      <c r="C27" s="10">
        <v>14</v>
      </c>
      <c r="D27" s="10">
        <v>1</v>
      </c>
      <c r="E27" s="10" t="s">
        <v>6</v>
      </c>
      <c r="F27" s="10">
        <v>4305</v>
      </c>
    </row>
    <row r="28" spans="1:6" outlineLevel="1" x14ac:dyDescent="0.25">
      <c r="B28" s="10">
        <v>11</v>
      </c>
      <c r="C28" s="10">
        <v>16</v>
      </c>
      <c r="D28" s="10">
        <v>1</v>
      </c>
      <c r="E28" s="10" t="s">
        <v>14</v>
      </c>
      <c r="F28" s="10">
        <v>4305</v>
      </c>
    </row>
    <row r="29" spans="1:6" outlineLevel="1" x14ac:dyDescent="0.25">
      <c r="B29" s="10">
        <v>3</v>
      </c>
      <c r="C29" s="10">
        <v>1</v>
      </c>
      <c r="D29" s="10">
        <v>1</v>
      </c>
      <c r="E29" s="10" t="s">
        <v>28</v>
      </c>
      <c r="F29" s="10">
        <v>4305</v>
      </c>
    </row>
    <row r="30" spans="1:6" outlineLevel="1" x14ac:dyDescent="0.25">
      <c r="B30" s="10">
        <v>3</v>
      </c>
      <c r="C30" s="10">
        <v>0</v>
      </c>
      <c r="D30" s="10">
        <v>1</v>
      </c>
      <c r="E30" s="10" t="s">
        <v>29</v>
      </c>
      <c r="F30" s="10">
        <v>4300</v>
      </c>
    </row>
    <row r="32" spans="1:6" x14ac:dyDescent="0.25">
      <c r="A32" t="s">
        <v>34</v>
      </c>
    </row>
  </sheetData>
  <mergeCells count="7">
    <mergeCell ref="D8:F8"/>
    <mergeCell ref="J8:J9"/>
    <mergeCell ref="I8:I9"/>
    <mergeCell ref="B8:C8"/>
    <mergeCell ref="A8:A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8"/>
  <sheetViews>
    <sheetView showGridLines="0" tabSelected="1" zoomScale="90" zoomScaleNormal="90" workbookViewId="0">
      <selection activeCell="B22" sqref="B22"/>
    </sheetView>
  </sheetViews>
  <sheetFormatPr defaultColWidth="9.140625" defaultRowHeight="15" x14ac:dyDescent="0.25"/>
  <cols>
    <col min="1" max="1" width="8.85546875" style="14" bestFit="1" customWidth="1"/>
    <col min="2" max="2" width="34.42578125" style="13" customWidth="1"/>
    <col min="3" max="3" width="23.7109375" style="13" customWidth="1"/>
    <col min="4" max="4" width="35.28515625" style="13" customWidth="1"/>
    <col min="5" max="5" width="26.5703125" style="13" customWidth="1"/>
    <col min="6" max="6" width="13" style="13" customWidth="1"/>
    <col min="7" max="7" width="9.140625" style="13"/>
    <col min="8" max="8" width="72.85546875" style="13" customWidth="1"/>
    <col min="9" max="9" width="4.7109375" style="13" customWidth="1"/>
    <col min="10" max="13" width="9.140625" style="13"/>
    <col min="14" max="14" width="122.7109375" style="13" customWidth="1"/>
    <col min="15" max="16384" width="9.140625" style="13"/>
  </cols>
  <sheetData>
    <row r="2" spans="1:8" ht="36" customHeight="1" x14ac:dyDescent="0.25">
      <c r="A2" s="148" t="s">
        <v>71</v>
      </c>
      <c r="B2" s="148"/>
      <c r="C2" s="148"/>
      <c r="D2" s="148"/>
      <c r="E2" s="148"/>
      <c r="F2" s="148"/>
      <c r="G2" s="148"/>
      <c r="H2" s="148"/>
    </row>
    <row r="4" spans="1:8" ht="18" x14ac:dyDescent="0.25">
      <c r="A4" s="45" t="s">
        <v>72</v>
      </c>
      <c r="B4" s="46" t="s">
        <v>73</v>
      </c>
      <c r="C4" s="149" t="s">
        <v>74</v>
      </c>
      <c r="D4" s="149"/>
      <c r="E4" s="149"/>
      <c r="F4" s="149"/>
      <c r="G4" s="149"/>
      <c r="H4" s="149"/>
    </row>
    <row r="5" spans="1:8" ht="15.75" x14ac:dyDescent="0.25">
      <c r="A5" s="47">
        <v>1</v>
      </c>
      <c r="B5" s="48" t="s">
        <v>75</v>
      </c>
      <c r="C5" s="147" t="s">
        <v>138</v>
      </c>
      <c r="D5" s="147"/>
      <c r="E5" s="147"/>
      <c r="F5" s="147"/>
      <c r="G5" s="147"/>
      <c r="H5" s="147"/>
    </row>
    <row r="6" spans="1:8" ht="15.75" x14ac:dyDescent="0.25">
      <c r="A6" s="47">
        <v>2</v>
      </c>
      <c r="B6" s="48" t="s">
        <v>76</v>
      </c>
      <c r="C6" s="147" t="s">
        <v>137</v>
      </c>
      <c r="D6" s="147"/>
      <c r="E6" s="147"/>
      <c r="F6" s="147"/>
      <c r="G6" s="147"/>
      <c r="H6" s="147"/>
    </row>
    <row r="7" spans="1:8" ht="15.75" x14ac:dyDescent="0.25">
      <c r="A7" s="47">
        <v>3</v>
      </c>
      <c r="B7" s="48" t="s">
        <v>77</v>
      </c>
      <c r="C7" s="147" t="s">
        <v>139</v>
      </c>
      <c r="D7" s="147"/>
      <c r="E7" s="147"/>
      <c r="F7" s="147"/>
      <c r="G7" s="147"/>
      <c r="H7" s="147"/>
    </row>
    <row r="8" spans="1:8" ht="15.75" x14ac:dyDescent="0.25">
      <c r="A8" s="47">
        <v>4</v>
      </c>
      <c r="B8" s="48" t="s">
        <v>33</v>
      </c>
      <c r="C8" s="147" t="s">
        <v>78</v>
      </c>
      <c r="D8" s="147"/>
      <c r="E8" s="147"/>
      <c r="F8" s="147"/>
      <c r="G8" s="147"/>
      <c r="H8" s="147"/>
    </row>
    <row r="9" spans="1:8" ht="15.75" x14ac:dyDescent="0.25">
      <c r="A9" s="47">
        <v>5</v>
      </c>
      <c r="B9" s="48" t="s">
        <v>79</v>
      </c>
      <c r="C9" s="147" t="s">
        <v>80</v>
      </c>
      <c r="D9" s="147"/>
      <c r="E9" s="147"/>
      <c r="F9" s="147"/>
      <c r="G9" s="147"/>
      <c r="H9" s="147"/>
    </row>
    <row r="10" spans="1:8" ht="15.75" x14ac:dyDescent="0.25">
      <c r="A10" s="47">
        <v>6</v>
      </c>
      <c r="B10" s="48" t="s">
        <v>70</v>
      </c>
      <c r="C10" s="147" t="s">
        <v>81</v>
      </c>
      <c r="D10" s="147"/>
      <c r="E10" s="147"/>
      <c r="F10" s="147"/>
      <c r="G10" s="147"/>
      <c r="H10" s="147"/>
    </row>
    <row r="13" spans="1:8" ht="18" x14ac:dyDescent="0.25">
      <c r="A13" s="150" t="s">
        <v>140</v>
      </c>
      <c r="B13" s="150"/>
      <c r="C13" s="150"/>
      <c r="D13" s="150"/>
      <c r="E13" s="150"/>
      <c r="F13" s="150"/>
      <c r="G13" s="150"/>
      <c r="H13" s="150"/>
    </row>
    <row r="14" spans="1:8" x14ac:dyDescent="0.25">
      <c r="A14" s="151" t="s">
        <v>83</v>
      </c>
      <c r="B14" s="152"/>
      <c r="C14" s="152"/>
      <c r="D14" s="152"/>
      <c r="E14" s="152"/>
      <c r="F14" s="152"/>
      <c r="G14" s="152"/>
      <c r="H14" s="153"/>
    </row>
    <row r="15" spans="1:8" x14ac:dyDescent="0.25">
      <c r="A15" s="154" t="s">
        <v>84</v>
      </c>
      <c r="B15" s="155"/>
      <c r="C15" s="156" t="s">
        <v>85</v>
      </c>
      <c r="D15" s="157"/>
      <c r="E15" s="157"/>
      <c r="F15" s="157"/>
      <c r="G15" s="157"/>
      <c r="H15" s="158"/>
    </row>
    <row r="16" spans="1:8" x14ac:dyDescent="0.25">
      <c r="A16" s="154" t="s">
        <v>86</v>
      </c>
      <c r="B16" s="155"/>
      <c r="C16" s="156" t="s">
        <v>87</v>
      </c>
      <c r="D16" s="157"/>
      <c r="E16" s="157"/>
      <c r="F16" s="157"/>
      <c r="G16" s="157"/>
      <c r="H16" s="158"/>
    </row>
    <row r="17" spans="1:8" x14ac:dyDescent="0.25">
      <c r="A17" s="154" t="s">
        <v>88</v>
      </c>
      <c r="B17" s="155"/>
      <c r="C17" s="156" t="s">
        <v>89</v>
      </c>
      <c r="D17" s="157"/>
      <c r="E17" s="157"/>
      <c r="F17" s="157"/>
      <c r="G17" s="157"/>
      <c r="H17" s="158"/>
    </row>
    <row r="18" spans="1:8" x14ac:dyDescent="0.25">
      <c r="A18" s="154" t="s">
        <v>90</v>
      </c>
      <c r="B18" s="159"/>
      <c r="C18" s="156" t="s">
        <v>91</v>
      </c>
      <c r="D18" s="157"/>
      <c r="E18" s="157"/>
      <c r="F18" s="157"/>
      <c r="G18" s="157"/>
      <c r="H18" s="158"/>
    </row>
  </sheetData>
  <mergeCells count="18">
    <mergeCell ref="A18:B18"/>
    <mergeCell ref="A17:B17"/>
    <mergeCell ref="A16:B16"/>
    <mergeCell ref="C18:H18"/>
    <mergeCell ref="C17:H17"/>
    <mergeCell ref="C16:H16"/>
    <mergeCell ref="C9:H9"/>
    <mergeCell ref="C10:H10"/>
    <mergeCell ref="A13:H13"/>
    <mergeCell ref="A14:H14"/>
    <mergeCell ref="A15:B15"/>
    <mergeCell ref="C15:H15"/>
    <mergeCell ref="C8:H8"/>
    <mergeCell ref="A2:H2"/>
    <mergeCell ref="C4:H4"/>
    <mergeCell ref="C5:H5"/>
    <mergeCell ref="C6:H6"/>
    <mergeCell ref="C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0"/>
  <sheetViews>
    <sheetView showGridLines="0" zoomScale="80" zoomScaleNormal="80" workbookViewId="0">
      <selection activeCell="F63" sqref="F63"/>
    </sheetView>
  </sheetViews>
  <sheetFormatPr defaultColWidth="9.140625" defaultRowHeight="15" x14ac:dyDescent="0.25"/>
  <cols>
    <col min="1" max="1" width="11.5703125" style="14" customWidth="1"/>
    <col min="2" max="2" width="22.42578125" style="13" customWidth="1"/>
    <col min="3" max="3" width="18.85546875" style="13" customWidth="1"/>
    <col min="4" max="4" width="42.42578125" style="13" customWidth="1"/>
    <col min="5" max="5" width="55.42578125" style="13" bestFit="1" customWidth="1"/>
    <col min="6" max="6" width="13" style="13" customWidth="1"/>
    <col min="7" max="7" width="3.42578125" style="13" customWidth="1"/>
    <col min="8" max="8" width="41.85546875" style="13" customWidth="1"/>
    <col min="9" max="9" width="35" style="13" customWidth="1"/>
    <col min="10" max="10" width="22.85546875" style="13" customWidth="1"/>
    <col min="11" max="11" width="27" style="13" customWidth="1"/>
    <col min="12" max="14" width="32.140625" style="13" customWidth="1"/>
    <col min="15" max="15" width="45.42578125" style="13" customWidth="1"/>
    <col min="16" max="16" width="79.5703125" style="19" customWidth="1"/>
    <col min="17" max="16384" width="9.140625" style="13"/>
  </cols>
  <sheetData>
    <row r="1" spans="1:27" ht="34.5" x14ac:dyDescent="0.25">
      <c r="A1" s="6" t="s">
        <v>165</v>
      </c>
      <c r="B1" s="4" t="s">
        <v>92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4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" customHeight="1" x14ac:dyDescent="0.25">
      <c r="A2" s="44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5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25">
      <c r="J3" s="116"/>
      <c r="K3" s="116"/>
    </row>
    <row r="4" spans="1:27" ht="36" customHeight="1" x14ac:dyDescent="0.25">
      <c r="A4" s="117" t="s">
        <v>82</v>
      </c>
      <c r="B4" s="117"/>
      <c r="C4" s="117"/>
      <c r="D4" s="117"/>
      <c r="E4" s="117"/>
      <c r="F4" s="117"/>
      <c r="G4" s="14"/>
      <c r="H4" s="117" t="s">
        <v>141</v>
      </c>
      <c r="I4" s="117"/>
      <c r="J4" s="117"/>
      <c r="K4" s="117"/>
      <c r="L4" s="117"/>
      <c r="M4" s="117"/>
      <c r="N4" s="117"/>
      <c r="O4" s="117"/>
      <c r="P4" s="117"/>
    </row>
    <row r="6" spans="1:27" ht="18" x14ac:dyDescent="0.25">
      <c r="A6" s="118" t="s">
        <v>93</v>
      </c>
      <c r="B6" s="119"/>
      <c r="C6" s="120"/>
      <c r="D6" s="121" t="s">
        <v>94</v>
      </c>
      <c r="E6" s="121"/>
      <c r="F6" s="121"/>
      <c r="G6" s="20"/>
      <c r="H6" s="122" t="s">
        <v>95</v>
      </c>
      <c r="I6" s="123"/>
      <c r="J6" s="122" t="s">
        <v>96</v>
      </c>
      <c r="K6" s="124"/>
      <c r="L6" s="122" t="s">
        <v>157</v>
      </c>
      <c r="M6" s="124"/>
      <c r="N6" s="124"/>
      <c r="O6" s="79" t="s">
        <v>149</v>
      </c>
      <c r="P6" s="73" t="s">
        <v>97</v>
      </c>
    </row>
    <row r="7" spans="1:27" s="50" customFormat="1" ht="74.25" customHeight="1" x14ac:dyDescent="0.25">
      <c r="A7" s="21" t="s">
        <v>98</v>
      </c>
      <c r="B7" s="21" t="s">
        <v>99</v>
      </c>
      <c r="C7" s="21" t="s">
        <v>100</v>
      </c>
      <c r="D7" s="21" t="s">
        <v>101</v>
      </c>
      <c r="E7" s="21" t="s">
        <v>102</v>
      </c>
      <c r="F7" s="21" t="s">
        <v>103</v>
      </c>
      <c r="G7" s="49"/>
      <c r="H7" s="21" t="s">
        <v>104</v>
      </c>
      <c r="I7" s="21" t="s">
        <v>105</v>
      </c>
      <c r="J7" s="21" t="s">
        <v>106</v>
      </c>
      <c r="K7" s="21" t="s">
        <v>107</v>
      </c>
      <c r="L7" s="21" t="s">
        <v>155</v>
      </c>
      <c r="M7" s="21" t="s">
        <v>154</v>
      </c>
      <c r="N7" s="21" t="s">
        <v>156</v>
      </c>
      <c r="O7" s="21" t="s">
        <v>148</v>
      </c>
      <c r="P7" s="21" t="s">
        <v>108</v>
      </c>
    </row>
    <row r="9" spans="1:27" ht="15" customHeight="1" x14ac:dyDescent="0.25">
      <c r="A9" s="131">
        <v>1</v>
      </c>
      <c r="B9" s="131" t="s">
        <v>109</v>
      </c>
      <c r="C9" s="132">
        <v>1</v>
      </c>
      <c r="D9" s="25" t="s">
        <v>56</v>
      </c>
      <c r="E9" s="25" t="s">
        <v>110</v>
      </c>
      <c r="F9" s="51"/>
      <c r="G9" s="26"/>
      <c r="H9" s="52"/>
      <c r="I9" s="52"/>
      <c r="J9" s="52"/>
      <c r="K9" s="52"/>
      <c r="L9" s="133"/>
      <c r="M9" s="80"/>
      <c r="N9" s="80"/>
      <c r="O9" s="80"/>
      <c r="P9" s="76"/>
    </row>
    <row r="10" spans="1:27" ht="20.25" customHeight="1" x14ac:dyDescent="0.25">
      <c r="A10" s="131"/>
      <c r="B10" s="131"/>
      <c r="C10" s="132"/>
      <c r="D10" s="25" t="s">
        <v>57</v>
      </c>
      <c r="E10" s="25" t="s">
        <v>111</v>
      </c>
      <c r="F10" s="27"/>
      <c r="G10" s="26"/>
      <c r="H10" s="53"/>
      <c r="I10" s="53"/>
      <c r="J10" s="53"/>
      <c r="K10" s="53"/>
      <c r="L10" s="134"/>
      <c r="M10" s="81"/>
      <c r="N10" s="81"/>
      <c r="O10" s="81"/>
      <c r="P10" s="76"/>
    </row>
    <row r="11" spans="1:27" ht="15" customHeight="1" x14ac:dyDescent="0.35">
      <c r="A11" s="54"/>
      <c r="B11" s="54"/>
      <c r="C11" s="26"/>
      <c r="D11" s="135" t="s">
        <v>112</v>
      </c>
      <c r="E11" s="25" t="s">
        <v>113</v>
      </c>
      <c r="F11" s="136"/>
      <c r="G11" s="26"/>
      <c r="H11" s="125" t="s">
        <v>142</v>
      </c>
      <c r="I11" s="126"/>
      <c r="J11" s="126"/>
      <c r="K11" s="42"/>
      <c r="L11" s="52"/>
      <c r="M11" s="52"/>
      <c r="N11" s="52"/>
      <c r="O11" s="52"/>
      <c r="P11" s="78"/>
    </row>
    <row r="12" spans="1:27" ht="15" customHeight="1" x14ac:dyDescent="0.35">
      <c r="A12" s="54"/>
      <c r="B12" s="54"/>
      <c r="C12" s="26"/>
      <c r="D12" s="135"/>
      <c r="E12" s="25" t="s">
        <v>114</v>
      </c>
      <c r="F12" s="137"/>
      <c r="G12" s="26"/>
      <c r="H12" s="127"/>
      <c r="I12" s="128"/>
      <c r="J12" s="128"/>
      <c r="K12" s="29"/>
      <c r="L12" s="52"/>
      <c r="M12" s="52"/>
      <c r="N12" s="52"/>
      <c r="O12" s="52"/>
      <c r="P12" s="78"/>
    </row>
    <row r="13" spans="1:27" ht="15" customHeight="1" x14ac:dyDescent="0.35">
      <c r="A13" s="54"/>
      <c r="B13" s="54"/>
      <c r="C13" s="26"/>
      <c r="D13" s="135"/>
      <c r="E13" s="25" t="s">
        <v>115</v>
      </c>
      <c r="F13" s="137"/>
      <c r="G13" s="26"/>
      <c r="H13" s="127"/>
      <c r="I13" s="128"/>
      <c r="J13" s="128"/>
      <c r="K13" s="29"/>
      <c r="L13" s="52"/>
      <c r="M13" s="52"/>
      <c r="N13" s="52"/>
      <c r="O13" s="52"/>
      <c r="P13" s="78"/>
    </row>
    <row r="14" spans="1:27" ht="15" customHeight="1" x14ac:dyDescent="0.35">
      <c r="A14" s="54"/>
      <c r="B14" s="54"/>
      <c r="C14" s="26"/>
      <c r="D14" s="135"/>
      <c r="E14" s="25" t="s">
        <v>116</v>
      </c>
      <c r="F14" s="138"/>
      <c r="G14" s="26"/>
      <c r="H14" s="129"/>
      <c r="I14" s="130"/>
      <c r="J14" s="130"/>
      <c r="K14" s="55"/>
      <c r="L14" s="52"/>
      <c r="M14" s="52"/>
      <c r="N14" s="52"/>
      <c r="O14" s="52"/>
      <c r="P14" s="78"/>
    </row>
    <row r="15" spans="1:27" ht="15" customHeight="1" x14ac:dyDescent="0.35">
      <c r="A15" s="54"/>
      <c r="B15" s="54"/>
      <c r="C15" s="26"/>
      <c r="D15" s="37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77"/>
    </row>
    <row r="16" spans="1:27" ht="15.75" customHeight="1" x14ac:dyDescent="0.25">
      <c r="A16" s="57"/>
      <c r="B16" s="58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77"/>
    </row>
    <row r="17" spans="1:16" ht="15" customHeight="1" x14ac:dyDescent="0.25">
      <c r="A17" s="131">
        <v>2</v>
      </c>
      <c r="B17" s="131" t="s">
        <v>117</v>
      </c>
      <c r="C17" s="139" t="s">
        <v>118</v>
      </c>
      <c r="D17" s="25" t="s">
        <v>56</v>
      </c>
      <c r="E17" s="25" t="s">
        <v>110</v>
      </c>
      <c r="F17" s="51"/>
      <c r="G17" s="26"/>
      <c r="H17" s="52"/>
      <c r="I17" s="52"/>
      <c r="J17" s="52"/>
      <c r="K17" s="52"/>
      <c r="L17" s="43"/>
      <c r="M17" s="43"/>
      <c r="N17" s="43"/>
      <c r="O17" s="43"/>
      <c r="P17" s="78"/>
    </row>
    <row r="18" spans="1:16" ht="15" customHeight="1" x14ac:dyDescent="0.25">
      <c r="A18" s="131"/>
      <c r="B18" s="131"/>
      <c r="C18" s="139"/>
      <c r="D18" s="25" t="s">
        <v>57</v>
      </c>
      <c r="E18" s="25" t="s">
        <v>111</v>
      </c>
      <c r="F18" s="27"/>
      <c r="G18" s="26"/>
      <c r="H18" s="52"/>
      <c r="I18" s="52"/>
      <c r="J18" s="52"/>
      <c r="K18" s="52"/>
      <c r="L18" s="28"/>
      <c r="M18" s="28"/>
      <c r="N18" s="28"/>
      <c r="O18" s="28"/>
      <c r="P18" s="78"/>
    </row>
    <row r="19" spans="1:16" ht="15" customHeight="1" x14ac:dyDescent="0.25">
      <c r="A19" s="131"/>
      <c r="B19" s="131"/>
      <c r="C19" s="139"/>
      <c r="D19" s="30" t="s">
        <v>119</v>
      </c>
      <c r="E19" s="25" t="s">
        <v>120</v>
      </c>
      <c r="F19" s="25"/>
      <c r="G19" s="26"/>
      <c r="H19" s="52"/>
      <c r="I19" s="52"/>
      <c r="J19" s="52"/>
      <c r="K19" s="52"/>
      <c r="L19" s="28"/>
      <c r="M19" s="28"/>
      <c r="N19" s="28"/>
      <c r="O19" s="28"/>
      <c r="P19" s="78"/>
    </row>
    <row r="20" spans="1:16" ht="15" customHeight="1" x14ac:dyDescent="0.25">
      <c r="A20" s="131"/>
      <c r="B20" s="131"/>
      <c r="C20" s="139"/>
      <c r="D20" s="30" t="s">
        <v>42</v>
      </c>
      <c r="E20" s="25"/>
      <c r="F20" s="30"/>
      <c r="G20" s="26"/>
      <c r="H20" s="52"/>
      <c r="I20" s="52"/>
      <c r="J20" s="52"/>
      <c r="K20" s="52"/>
      <c r="L20" s="28"/>
      <c r="M20" s="28"/>
      <c r="N20" s="28"/>
      <c r="O20" s="28"/>
      <c r="P20" s="78"/>
    </row>
    <row r="21" spans="1:16" ht="15" customHeight="1" x14ac:dyDescent="0.25">
      <c r="A21" s="131"/>
      <c r="B21" s="131"/>
      <c r="C21" s="139"/>
      <c r="D21" s="30" t="s">
        <v>36</v>
      </c>
      <c r="E21" s="25" t="s">
        <v>121</v>
      </c>
      <c r="F21" s="51"/>
      <c r="G21" s="26"/>
      <c r="H21" s="52"/>
      <c r="I21" s="52"/>
      <c r="J21" s="52"/>
      <c r="K21" s="52"/>
      <c r="L21" s="28"/>
      <c r="M21" s="28"/>
      <c r="N21" s="28"/>
      <c r="O21" s="28"/>
      <c r="P21" s="78"/>
    </row>
    <row r="22" spans="1:16" ht="15" customHeight="1" x14ac:dyDescent="0.25">
      <c r="A22" s="131"/>
      <c r="B22" s="131"/>
      <c r="C22" s="139"/>
      <c r="D22" s="30" t="s">
        <v>37</v>
      </c>
      <c r="E22" s="25" t="s">
        <v>122</v>
      </c>
      <c r="F22" s="51"/>
      <c r="G22" s="26"/>
      <c r="H22" s="52"/>
      <c r="I22" s="52"/>
      <c r="J22" s="52"/>
      <c r="K22" s="52"/>
      <c r="L22" s="28"/>
      <c r="M22" s="28"/>
      <c r="N22" s="28"/>
      <c r="O22" s="28"/>
      <c r="P22" s="78"/>
    </row>
    <row r="23" spans="1:16" ht="15" customHeight="1" x14ac:dyDescent="0.25">
      <c r="A23" s="131"/>
      <c r="B23" s="131"/>
      <c r="C23" s="139"/>
      <c r="D23" s="30" t="s">
        <v>39</v>
      </c>
      <c r="E23" s="25"/>
      <c r="F23" s="51"/>
      <c r="G23" s="26"/>
      <c r="H23" s="52"/>
      <c r="I23" s="52"/>
      <c r="J23" s="52"/>
      <c r="K23" s="52"/>
      <c r="L23" s="28"/>
      <c r="M23" s="28"/>
      <c r="N23" s="28"/>
      <c r="O23" s="28"/>
      <c r="P23" s="78"/>
    </row>
    <row r="24" spans="1:16" ht="15" customHeight="1" x14ac:dyDescent="0.25">
      <c r="A24" s="131"/>
      <c r="B24" s="131"/>
      <c r="C24" s="139"/>
      <c r="D24" s="30" t="s">
        <v>40</v>
      </c>
      <c r="E24" s="24" t="s">
        <v>123</v>
      </c>
      <c r="F24" s="51"/>
      <c r="G24" s="26"/>
      <c r="H24" s="52"/>
      <c r="I24" s="52"/>
      <c r="J24" s="52"/>
      <c r="K24" s="52"/>
      <c r="L24" s="28"/>
      <c r="M24" s="28"/>
      <c r="N24" s="28"/>
      <c r="O24" s="28"/>
      <c r="P24" s="78"/>
    </row>
    <row r="25" spans="1:16" ht="15" customHeight="1" x14ac:dyDescent="0.25">
      <c r="A25" s="131"/>
      <c r="B25" s="131"/>
      <c r="C25" s="139"/>
      <c r="D25" s="30" t="s">
        <v>41</v>
      </c>
      <c r="E25" s="25" t="s">
        <v>124</v>
      </c>
      <c r="F25" s="51"/>
      <c r="G25" s="26"/>
      <c r="H25" s="53"/>
      <c r="I25" s="53"/>
      <c r="J25" s="53"/>
      <c r="K25" s="52"/>
      <c r="L25" s="28"/>
      <c r="M25" s="28"/>
      <c r="N25" s="28"/>
      <c r="O25" s="28"/>
      <c r="P25" s="78"/>
    </row>
    <row r="26" spans="1:16" ht="15" customHeight="1" x14ac:dyDescent="0.25">
      <c r="A26" s="131"/>
      <c r="B26" s="131"/>
      <c r="C26" s="139"/>
      <c r="D26" s="30" t="s">
        <v>62</v>
      </c>
      <c r="E26" s="30" t="s">
        <v>125</v>
      </c>
      <c r="F26" s="51"/>
      <c r="G26" s="26"/>
      <c r="H26" s="53"/>
      <c r="I26" s="53"/>
      <c r="J26" s="53"/>
      <c r="K26" s="52"/>
      <c r="L26" s="28"/>
      <c r="M26" s="28"/>
      <c r="N26" s="28"/>
      <c r="O26" s="28"/>
      <c r="P26" s="78"/>
    </row>
    <row r="27" spans="1:16" ht="15" customHeight="1" x14ac:dyDescent="0.25">
      <c r="A27" s="131"/>
      <c r="B27" s="131"/>
      <c r="C27" s="139"/>
      <c r="D27" s="30" t="s">
        <v>61</v>
      </c>
      <c r="E27" s="30" t="s">
        <v>126</v>
      </c>
      <c r="F27" s="51"/>
      <c r="G27" s="26"/>
      <c r="H27" s="53"/>
      <c r="I27" s="53"/>
      <c r="J27" s="53"/>
      <c r="K27" s="52"/>
      <c r="L27" s="28"/>
      <c r="M27" s="28"/>
      <c r="N27" s="28"/>
      <c r="O27" s="28"/>
      <c r="P27" s="78"/>
    </row>
    <row r="28" spans="1:16" ht="15" customHeight="1" x14ac:dyDescent="0.25">
      <c r="A28" s="131"/>
      <c r="B28" s="131"/>
      <c r="C28" s="139"/>
      <c r="D28" s="30" t="s">
        <v>127</v>
      </c>
      <c r="E28" s="25" t="s">
        <v>128</v>
      </c>
      <c r="F28" s="59"/>
      <c r="G28" s="26"/>
      <c r="H28" s="52"/>
      <c r="I28" s="52"/>
      <c r="J28" s="52"/>
      <c r="K28" s="52"/>
      <c r="L28" s="56"/>
      <c r="M28" s="56"/>
      <c r="N28" s="56"/>
      <c r="O28" s="56"/>
      <c r="P28" s="78"/>
    </row>
    <row r="29" spans="1:16" ht="15" customHeight="1" x14ac:dyDescent="0.25">
      <c r="A29" s="60"/>
      <c r="B29" s="60"/>
      <c r="C29" s="26"/>
      <c r="D29" s="135" t="s">
        <v>112</v>
      </c>
      <c r="E29" s="25" t="s">
        <v>113</v>
      </c>
      <c r="F29" s="136"/>
      <c r="G29" s="26"/>
      <c r="H29" s="125" t="s">
        <v>142</v>
      </c>
      <c r="I29" s="126"/>
      <c r="J29" s="126"/>
      <c r="K29" s="29"/>
      <c r="L29" s="52"/>
      <c r="M29" s="52"/>
      <c r="N29" s="52"/>
      <c r="O29" s="52"/>
      <c r="P29" s="78"/>
    </row>
    <row r="30" spans="1:16" ht="15" customHeight="1" x14ac:dyDescent="0.25">
      <c r="A30" s="60"/>
      <c r="B30" s="60"/>
      <c r="C30" s="26"/>
      <c r="D30" s="135"/>
      <c r="E30" s="25" t="s">
        <v>114</v>
      </c>
      <c r="F30" s="137"/>
      <c r="G30" s="26"/>
      <c r="H30" s="127"/>
      <c r="I30" s="128"/>
      <c r="J30" s="128"/>
      <c r="K30" s="29"/>
      <c r="L30" s="52"/>
      <c r="M30" s="52"/>
      <c r="N30" s="52"/>
      <c r="O30" s="52"/>
      <c r="P30" s="78"/>
    </row>
    <row r="31" spans="1:16" ht="21" x14ac:dyDescent="0.25">
      <c r="A31" s="60"/>
      <c r="B31" s="60"/>
      <c r="C31" s="26"/>
      <c r="D31" s="135"/>
      <c r="E31" s="25" t="s">
        <v>115</v>
      </c>
      <c r="F31" s="137"/>
      <c r="G31" s="26"/>
      <c r="H31" s="127"/>
      <c r="I31" s="128"/>
      <c r="J31" s="128"/>
      <c r="K31" s="29"/>
      <c r="L31" s="52"/>
      <c r="M31" s="52"/>
      <c r="N31" s="52"/>
      <c r="O31" s="52"/>
      <c r="P31" s="78"/>
    </row>
    <row r="32" spans="1:16" ht="15" customHeight="1" x14ac:dyDescent="0.25">
      <c r="A32" s="60"/>
      <c r="B32" s="60"/>
      <c r="C32" s="26"/>
      <c r="D32" s="135"/>
      <c r="E32" s="25" t="s">
        <v>116</v>
      </c>
      <c r="F32" s="138"/>
      <c r="G32" s="26"/>
      <c r="H32" s="129"/>
      <c r="I32" s="130"/>
      <c r="J32" s="130"/>
      <c r="K32" s="55"/>
      <c r="L32" s="52"/>
      <c r="M32" s="52"/>
      <c r="N32" s="52"/>
      <c r="O32" s="52"/>
      <c r="P32" s="78"/>
    </row>
    <row r="33" spans="1:16" ht="15" customHeight="1" x14ac:dyDescent="0.25">
      <c r="A33" s="60"/>
      <c r="B33" s="60"/>
      <c r="C33" s="61"/>
      <c r="D33" s="37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77"/>
    </row>
    <row r="34" spans="1:16" ht="19.5" customHeight="1" thickBot="1" x14ac:dyDescent="0.3">
      <c r="A34" s="57"/>
      <c r="B34" s="58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77"/>
    </row>
    <row r="35" spans="1:16" ht="15" customHeight="1" x14ac:dyDescent="0.25">
      <c r="A35" s="131">
        <v>3</v>
      </c>
      <c r="B35" s="140" t="s">
        <v>129</v>
      </c>
      <c r="C35" s="142" t="s">
        <v>159</v>
      </c>
      <c r="D35" s="38" t="s">
        <v>56</v>
      </c>
      <c r="E35" s="25" t="s">
        <v>110</v>
      </c>
      <c r="F35" s="51"/>
      <c r="G35" s="26"/>
      <c r="H35" s="62"/>
      <c r="I35" s="62"/>
      <c r="J35" s="52"/>
      <c r="K35" s="52"/>
      <c r="L35" s="63"/>
      <c r="M35" s="84"/>
      <c r="N35" s="84"/>
      <c r="O35" s="84"/>
      <c r="P35" s="78"/>
    </row>
    <row r="36" spans="1:16" ht="15" customHeight="1" x14ac:dyDescent="0.25">
      <c r="A36" s="131"/>
      <c r="B36" s="141"/>
      <c r="C36" s="143"/>
      <c r="D36" s="89" t="s">
        <v>146</v>
      </c>
      <c r="E36" s="25" t="s">
        <v>111</v>
      </c>
      <c r="F36" s="27"/>
      <c r="G36" s="26"/>
      <c r="H36" s="62"/>
      <c r="I36" s="62"/>
      <c r="J36" s="52"/>
      <c r="K36" s="52"/>
      <c r="L36" s="64"/>
      <c r="M36" s="85"/>
      <c r="N36" s="85"/>
      <c r="O36" s="85"/>
      <c r="P36" s="78"/>
    </row>
    <row r="37" spans="1:16" ht="15" customHeight="1" x14ac:dyDescent="0.25">
      <c r="A37" s="131"/>
      <c r="B37" s="141"/>
      <c r="C37" s="143"/>
      <c r="D37" s="27" t="s">
        <v>43</v>
      </c>
      <c r="E37" s="30" t="s">
        <v>688</v>
      </c>
      <c r="F37" s="27"/>
      <c r="G37" s="26"/>
      <c r="H37" s="62"/>
      <c r="I37" s="62"/>
      <c r="J37" s="52"/>
      <c r="K37" s="52"/>
      <c r="L37" s="64"/>
      <c r="M37" s="85"/>
      <c r="N37" s="85"/>
      <c r="O37" s="85"/>
      <c r="P37" s="78"/>
    </row>
    <row r="38" spans="1:16" ht="15" customHeight="1" x14ac:dyDescent="0.25">
      <c r="A38" s="131"/>
      <c r="B38" s="141"/>
      <c r="C38" s="143"/>
      <c r="D38" s="27" t="s">
        <v>44</v>
      </c>
      <c r="E38" s="30"/>
      <c r="F38" s="30"/>
      <c r="G38" s="26"/>
      <c r="H38" s="62"/>
      <c r="I38" s="62"/>
      <c r="J38" s="52"/>
      <c r="K38" s="52"/>
      <c r="L38" s="64"/>
      <c r="M38" s="85"/>
      <c r="N38" s="85"/>
      <c r="O38" s="85"/>
      <c r="P38" s="78"/>
    </row>
    <row r="39" spans="1:16" ht="15" customHeight="1" x14ac:dyDescent="0.25">
      <c r="A39" s="131"/>
      <c r="B39" s="141"/>
      <c r="C39" s="143"/>
      <c r="D39" s="27" t="s">
        <v>58</v>
      </c>
      <c r="E39" s="30" t="s">
        <v>130</v>
      </c>
      <c r="F39" s="51"/>
      <c r="G39" s="26"/>
      <c r="H39" s="62"/>
      <c r="I39" s="62"/>
      <c r="J39" s="52"/>
      <c r="K39" s="52"/>
      <c r="L39" s="64"/>
      <c r="M39" s="85"/>
      <c r="N39" s="85"/>
      <c r="O39" s="85"/>
      <c r="P39" s="78"/>
    </row>
    <row r="40" spans="1:16" ht="15" customHeight="1" x14ac:dyDescent="0.25">
      <c r="A40" s="131"/>
      <c r="B40" s="141"/>
      <c r="C40" s="143"/>
      <c r="D40" s="27" t="s">
        <v>45</v>
      </c>
      <c r="E40" s="30"/>
      <c r="F40" s="51"/>
      <c r="G40" s="26"/>
      <c r="H40" s="62"/>
      <c r="I40" s="62"/>
      <c r="J40" s="52"/>
      <c r="K40" s="52"/>
      <c r="L40" s="64"/>
      <c r="M40" s="85"/>
      <c r="N40" s="85"/>
      <c r="O40" s="85"/>
      <c r="P40" s="78"/>
    </row>
    <row r="41" spans="1:16" ht="15" customHeight="1" x14ac:dyDescent="0.25">
      <c r="A41" s="131"/>
      <c r="B41" s="141"/>
      <c r="C41" s="143"/>
      <c r="D41" s="27" t="s">
        <v>46</v>
      </c>
      <c r="E41" s="30"/>
      <c r="F41" s="51"/>
      <c r="G41" s="26"/>
      <c r="H41" s="62"/>
      <c r="I41" s="62"/>
      <c r="J41" s="52"/>
      <c r="K41" s="52"/>
      <c r="L41" s="64"/>
      <c r="M41" s="85"/>
      <c r="N41" s="85"/>
      <c r="O41" s="85"/>
      <c r="P41" s="78"/>
    </row>
    <row r="42" spans="1:16" ht="15" customHeight="1" x14ac:dyDescent="0.25">
      <c r="A42" s="131"/>
      <c r="B42" s="141"/>
      <c r="C42" s="143"/>
      <c r="D42" s="27" t="s">
        <v>59</v>
      </c>
      <c r="E42" s="30" t="s">
        <v>131</v>
      </c>
      <c r="F42" s="51"/>
      <c r="G42" s="26"/>
      <c r="H42" s="62"/>
      <c r="I42" s="62"/>
      <c r="J42" s="52"/>
      <c r="K42" s="52"/>
      <c r="L42" s="64"/>
      <c r="M42" s="85"/>
      <c r="N42" s="85"/>
      <c r="O42" s="85"/>
      <c r="P42" s="78"/>
    </row>
    <row r="43" spans="1:16" ht="15" customHeight="1" x14ac:dyDescent="0.25">
      <c r="A43" s="131"/>
      <c r="B43" s="141"/>
      <c r="C43" s="143"/>
      <c r="D43" s="27" t="s">
        <v>60</v>
      </c>
      <c r="E43" s="30" t="s">
        <v>132</v>
      </c>
      <c r="F43" s="27"/>
      <c r="G43" s="26"/>
      <c r="H43" s="62"/>
      <c r="I43" s="62"/>
      <c r="J43" s="52"/>
      <c r="K43" s="52"/>
      <c r="L43" s="64"/>
      <c r="M43" s="85"/>
      <c r="N43" s="85"/>
      <c r="O43" s="85"/>
      <c r="P43" s="78"/>
    </row>
    <row r="44" spans="1:16" ht="15" customHeight="1" x14ac:dyDescent="0.25">
      <c r="A44" s="131"/>
      <c r="B44" s="141"/>
      <c r="C44" s="143"/>
      <c r="D44" s="27" t="s">
        <v>61</v>
      </c>
      <c r="E44" s="30" t="s">
        <v>126</v>
      </c>
      <c r="F44" s="51"/>
      <c r="G44" s="26"/>
      <c r="H44" s="62"/>
      <c r="I44" s="62"/>
      <c r="J44" s="52"/>
      <c r="K44" s="52"/>
      <c r="L44" s="64"/>
      <c r="M44" s="85"/>
      <c r="N44" s="85"/>
      <c r="O44" s="85"/>
      <c r="P44" s="78"/>
    </row>
    <row r="45" spans="1:16" ht="15" customHeight="1" x14ac:dyDescent="0.25">
      <c r="A45" s="131"/>
      <c r="B45" s="141"/>
      <c r="C45" s="143"/>
      <c r="D45" s="27" t="s">
        <v>62</v>
      </c>
      <c r="E45" s="30" t="s">
        <v>125</v>
      </c>
      <c r="F45" s="51"/>
      <c r="G45" s="26"/>
      <c r="H45" s="62"/>
      <c r="I45" s="62"/>
      <c r="J45" s="52"/>
      <c r="K45" s="52"/>
      <c r="L45" s="64"/>
      <c r="M45" s="85"/>
      <c r="N45" s="85"/>
      <c r="O45" s="85"/>
      <c r="P45" s="78"/>
    </row>
    <row r="46" spans="1:16" ht="15" customHeight="1" x14ac:dyDescent="0.25">
      <c r="A46" s="131"/>
      <c r="B46" s="141"/>
      <c r="C46" s="143"/>
      <c r="D46" s="27" t="s">
        <v>38</v>
      </c>
      <c r="E46" s="30" t="s">
        <v>133</v>
      </c>
      <c r="F46" s="51"/>
      <c r="G46" s="26"/>
      <c r="H46" s="62"/>
      <c r="I46" s="62"/>
      <c r="J46" s="52"/>
      <c r="K46" s="52"/>
      <c r="L46" s="64"/>
      <c r="M46" s="85"/>
      <c r="N46" s="85"/>
      <c r="O46" s="85"/>
      <c r="P46" s="78"/>
    </row>
    <row r="47" spans="1:16" ht="15" customHeight="1" x14ac:dyDescent="0.25">
      <c r="A47" s="131"/>
      <c r="B47" s="141"/>
      <c r="C47" s="143"/>
      <c r="D47" s="27" t="s">
        <v>47</v>
      </c>
      <c r="E47" s="30"/>
      <c r="F47" s="51"/>
      <c r="G47" s="26"/>
      <c r="H47" s="62"/>
      <c r="I47" s="62"/>
      <c r="J47" s="52"/>
      <c r="K47" s="52"/>
      <c r="L47" s="64"/>
      <c r="M47" s="85"/>
      <c r="N47" s="85"/>
      <c r="O47" s="85"/>
      <c r="P47" s="78"/>
    </row>
    <row r="48" spans="1:16" ht="15" customHeight="1" x14ac:dyDescent="0.25">
      <c r="A48" s="131"/>
      <c r="B48" s="141"/>
      <c r="C48" s="143"/>
      <c r="D48" s="27" t="s">
        <v>48</v>
      </c>
      <c r="E48" s="30"/>
      <c r="F48" s="51"/>
      <c r="G48" s="26"/>
      <c r="H48" s="62"/>
      <c r="I48" s="62"/>
      <c r="J48" s="52"/>
      <c r="K48" s="52"/>
      <c r="L48" s="64"/>
      <c r="M48" s="85"/>
      <c r="N48" s="85"/>
      <c r="O48" s="85"/>
      <c r="P48" s="78"/>
    </row>
    <row r="49" spans="1:16" ht="15" customHeight="1" x14ac:dyDescent="0.25">
      <c r="A49" s="131"/>
      <c r="B49" s="141"/>
      <c r="C49" s="143"/>
      <c r="D49" s="27" t="s">
        <v>49</v>
      </c>
      <c r="E49" s="30" t="s">
        <v>134</v>
      </c>
      <c r="F49" s="51"/>
      <c r="G49" s="26"/>
      <c r="H49" s="62"/>
      <c r="I49" s="62"/>
      <c r="J49" s="52"/>
      <c r="K49" s="52"/>
      <c r="L49" s="64"/>
      <c r="M49" s="85"/>
      <c r="N49" s="85"/>
      <c r="O49" s="85"/>
      <c r="P49" s="78"/>
    </row>
    <row r="50" spans="1:16" ht="15" customHeight="1" x14ac:dyDescent="0.25">
      <c r="A50" s="131"/>
      <c r="B50" s="141"/>
      <c r="C50" s="143"/>
      <c r="D50" s="27" t="s">
        <v>50</v>
      </c>
      <c r="E50" s="25"/>
      <c r="F50" s="51"/>
      <c r="G50" s="26"/>
      <c r="H50" s="52"/>
      <c r="I50" s="52"/>
      <c r="J50" s="52"/>
      <c r="K50" s="52"/>
      <c r="L50" s="65"/>
      <c r="M50" s="28"/>
      <c r="N50" s="28"/>
      <c r="O50" s="28"/>
      <c r="P50" s="78"/>
    </row>
    <row r="51" spans="1:16" ht="15" customHeight="1" x14ac:dyDescent="0.25">
      <c r="A51" s="131"/>
      <c r="B51" s="141"/>
      <c r="C51" s="143"/>
      <c r="D51" s="27" t="s">
        <v>51</v>
      </c>
      <c r="E51" s="25"/>
      <c r="F51" s="30"/>
      <c r="G51" s="26"/>
      <c r="H51" s="52"/>
      <c r="I51" s="52"/>
      <c r="J51" s="52"/>
      <c r="K51" s="52"/>
      <c r="L51" s="65"/>
      <c r="M51" s="28"/>
      <c r="N51" s="28"/>
      <c r="O51" s="28"/>
      <c r="P51" s="78"/>
    </row>
    <row r="52" spans="1:16" ht="15" customHeight="1" x14ac:dyDescent="0.25">
      <c r="A52" s="131"/>
      <c r="B52" s="141"/>
      <c r="C52" s="143"/>
      <c r="D52" s="27" t="s">
        <v>36</v>
      </c>
      <c r="E52" s="25" t="s">
        <v>135</v>
      </c>
      <c r="F52" s="51"/>
      <c r="G52" s="26"/>
      <c r="H52" s="52"/>
      <c r="I52" s="52"/>
      <c r="J52" s="52"/>
      <c r="K52" s="52"/>
      <c r="L52" s="65"/>
      <c r="M52" s="28"/>
      <c r="N52" s="28"/>
      <c r="O52" s="28"/>
      <c r="P52" s="78"/>
    </row>
    <row r="53" spans="1:16" ht="15" customHeight="1" x14ac:dyDescent="0.25">
      <c r="A53" s="131"/>
      <c r="B53" s="141"/>
      <c r="C53" s="143"/>
      <c r="D53" s="27" t="s">
        <v>52</v>
      </c>
      <c r="E53" s="25" t="s">
        <v>122</v>
      </c>
      <c r="F53" s="51"/>
      <c r="G53" s="26"/>
      <c r="H53" s="52"/>
      <c r="I53" s="52"/>
      <c r="J53" s="52"/>
      <c r="K53" s="52"/>
      <c r="L53" s="65"/>
      <c r="M53" s="28"/>
      <c r="N53" s="28"/>
      <c r="O53" s="28"/>
      <c r="P53" s="78"/>
    </row>
    <row r="54" spans="1:16" ht="15" customHeight="1" x14ac:dyDescent="0.25">
      <c r="A54" s="131"/>
      <c r="B54" s="141"/>
      <c r="C54" s="143"/>
      <c r="D54" s="27" t="s">
        <v>53</v>
      </c>
      <c r="E54" s="25"/>
      <c r="F54" s="51"/>
      <c r="G54" s="26"/>
      <c r="H54" s="62"/>
      <c r="I54" s="62"/>
      <c r="J54" s="52"/>
      <c r="K54" s="52"/>
      <c r="L54" s="64"/>
      <c r="M54" s="85"/>
      <c r="N54" s="85"/>
      <c r="O54" s="85"/>
      <c r="P54" s="78"/>
    </row>
    <row r="55" spans="1:16" ht="15" customHeight="1" thickBot="1" x14ac:dyDescent="0.3">
      <c r="A55" s="131"/>
      <c r="B55" s="141"/>
      <c r="C55" s="143"/>
      <c r="D55" s="41" t="s">
        <v>54</v>
      </c>
      <c r="E55" s="24" t="s">
        <v>123</v>
      </c>
      <c r="F55" s="51"/>
      <c r="G55" s="26"/>
      <c r="H55" s="62"/>
      <c r="I55" s="62"/>
      <c r="J55" s="52"/>
      <c r="K55" s="52"/>
      <c r="L55" s="64"/>
      <c r="M55" s="85"/>
      <c r="N55" s="85"/>
      <c r="O55" s="85"/>
      <c r="P55" s="78"/>
    </row>
    <row r="56" spans="1:16" ht="37.5" customHeight="1" x14ac:dyDescent="0.25">
      <c r="A56" s="131"/>
      <c r="B56" s="141"/>
      <c r="C56" s="144"/>
      <c r="D56" s="27" t="s">
        <v>691</v>
      </c>
      <c r="E56" s="115" t="s">
        <v>692</v>
      </c>
      <c r="F56" s="115"/>
      <c r="G56" s="26"/>
      <c r="H56" s="62"/>
      <c r="I56" s="62"/>
      <c r="J56" s="52"/>
      <c r="K56" s="52"/>
      <c r="L56" s="64"/>
      <c r="M56" s="85"/>
      <c r="N56" s="85"/>
      <c r="O56" s="85"/>
      <c r="P56" s="78"/>
    </row>
    <row r="57" spans="1:16" ht="15" customHeight="1" x14ac:dyDescent="0.25">
      <c r="A57" s="13"/>
      <c r="C57" s="26"/>
      <c r="D57" s="135" t="s">
        <v>112</v>
      </c>
      <c r="E57" s="25" t="s">
        <v>113</v>
      </c>
      <c r="F57" s="136"/>
      <c r="G57" s="26"/>
      <c r="H57" s="125" t="s">
        <v>142</v>
      </c>
      <c r="I57" s="126"/>
      <c r="J57" s="126"/>
      <c r="K57" s="29"/>
      <c r="L57" s="66"/>
      <c r="M57" s="66"/>
      <c r="N57" s="66"/>
      <c r="O57" s="66"/>
      <c r="P57" s="76"/>
    </row>
    <row r="58" spans="1:16" ht="15" customHeight="1" x14ac:dyDescent="0.25">
      <c r="A58" s="13"/>
      <c r="C58" s="26"/>
      <c r="D58" s="135"/>
      <c r="E58" s="25" t="s">
        <v>114</v>
      </c>
      <c r="F58" s="137"/>
      <c r="G58" s="26"/>
      <c r="H58" s="127"/>
      <c r="I58" s="128"/>
      <c r="J58" s="128"/>
      <c r="K58" s="29"/>
      <c r="L58" s="52"/>
      <c r="M58" s="52"/>
      <c r="N58" s="52"/>
      <c r="O58" s="52"/>
      <c r="P58" s="76"/>
    </row>
    <row r="59" spans="1:16" x14ac:dyDescent="0.25">
      <c r="A59" s="13"/>
      <c r="C59" s="26"/>
      <c r="D59" s="135"/>
      <c r="E59" s="25" t="s">
        <v>115</v>
      </c>
      <c r="F59" s="137"/>
      <c r="G59" s="26"/>
      <c r="H59" s="127"/>
      <c r="I59" s="128"/>
      <c r="J59" s="128"/>
      <c r="K59" s="29"/>
      <c r="L59" s="52"/>
      <c r="M59" s="52"/>
      <c r="N59" s="52"/>
      <c r="O59" s="52"/>
      <c r="P59" s="76"/>
    </row>
    <row r="60" spans="1:16" ht="15" customHeight="1" x14ac:dyDescent="0.25">
      <c r="A60" s="13"/>
      <c r="C60" s="26"/>
      <c r="D60" s="135"/>
      <c r="E60" s="25" t="s">
        <v>116</v>
      </c>
      <c r="F60" s="138"/>
      <c r="G60" s="26"/>
      <c r="H60" s="129"/>
      <c r="I60" s="130"/>
      <c r="J60" s="130"/>
      <c r="K60" s="55"/>
      <c r="L60" s="52"/>
      <c r="M60" s="52"/>
      <c r="N60" s="52"/>
      <c r="O60" s="52"/>
      <c r="P60" s="76"/>
    </row>
  </sheetData>
  <mergeCells count="27">
    <mergeCell ref="A35:A56"/>
    <mergeCell ref="B35:B56"/>
    <mergeCell ref="D57:D60"/>
    <mergeCell ref="F57:F60"/>
    <mergeCell ref="H57:J60"/>
    <mergeCell ref="C35:C56"/>
    <mergeCell ref="H29:J32"/>
    <mergeCell ref="A9:A10"/>
    <mergeCell ref="B9:B10"/>
    <mergeCell ref="C9:C10"/>
    <mergeCell ref="L9:L10"/>
    <mergeCell ref="D11:D14"/>
    <mergeCell ref="F11:F14"/>
    <mergeCell ref="H11:J14"/>
    <mergeCell ref="A17:A28"/>
    <mergeCell ref="B17:B28"/>
    <mergeCell ref="C17:C28"/>
    <mergeCell ref="D29:D32"/>
    <mergeCell ref="F29:F32"/>
    <mergeCell ref="J3:K3"/>
    <mergeCell ref="A4:F4"/>
    <mergeCell ref="H4:P4"/>
    <mergeCell ref="A6:C6"/>
    <mergeCell ref="D6:F6"/>
    <mergeCell ref="H6:I6"/>
    <mergeCell ref="J6:K6"/>
    <mergeCell ref="L6:N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/>
  </sheetViews>
  <sheetFormatPr defaultColWidth="9.140625" defaultRowHeight="15" x14ac:dyDescent="0.25"/>
  <cols>
    <col min="1" max="1" width="10.85546875" customWidth="1"/>
    <col min="2" max="3" width="43.42578125" customWidth="1"/>
    <col min="4" max="4" width="39.28515625" customWidth="1"/>
    <col min="5" max="5" width="14.85546875" customWidth="1"/>
    <col min="6" max="6" width="58.7109375" customWidth="1"/>
  </cols>
  <sheetData>
    <row r="1" spans="1:6" ht="69" x14ac:dyDescent="0.25">
      <c r="A1" s="6" t="s">
        <v>165</v>
      </c>
      <c r="B1" s="4" t="s">
        <v>152</v>
      </c>
      <c r="C1" s="4"/>
      <c r="D1" s="4"/>
      <c r="E1" s="4"/>
      <c r="F1" s="4"/>
    </row>
    <row r="2" spans="1:6" s="13" customFormat="1" ht="34.5" x14ac:dyDescent="0.25">
      <c r="A2" s="44"/>
      <c r="B2" s="18"/>
      <c r="C2" s="18"/>
      <c r="D2" s="18"/>
      <c r="E2" s="18"/>
      <c r="F2" s="18"/>
    </row>
    <row r="3" spans="1:6" s="13" customFormat="1" ht="15" customHeight="1" x14ac:dyDescent="0.25">
      <c r="F3" s="67"/>
    </row>
    <row r="4" spans="1:6" ht="18" x14ac:dyDescent="0.25">
      <c r="A4" s="160" t="s">
        <v>136</v>
      </c>
      <c r="B4" s="161"/>
      <c r="C4" s="161"/>
      <c r="D4" s="161"/>
      <c r="E4" s="161"/>
      <c r="F4" s="162"/>
    </row>
    <row r="5" spans="1:6" ht="22.5" customHeight="1" x14ac:dyDescent="0.25">
      <c r="A5" s="163"/>
      <c r="B5" s="164"/>
      <c r="C5" s="164"/>
      <c r="D5" s="164"/>
      <c r="E5" s="164"/>
      <c r="F5" s="165"/>
    </row>
    <row r="6" spans="1:6" ht="22.5" customHeight="1" x14ac:dyDescent="0.25">
      <c r="B6" s="68"/>
      <c r="C6" s="68"/>
      <c r="D6" s="69"/>
      <c r="E6" s="70"/>
      <c r="F6" s="70"/>
    </row>
  </sheetData>
  <mergeCells count="2">
    <mergeCell ref="A4:F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showGridLines="0" workbookViewId="0"/>
  </sheetViews>
  <sheetFormatPr defaultColWidth="9.140625" defaultRowHeight="15" x14ac:dyDescent="0.25"/>
  <cols>
    <col min="1" max="1" width="13.140625" style="13" customWidth="1"/>
    <col min="2" max="2" width="55.5703125" style="13" customWidth="1"/>
    <col min="3" max="3" width="46.140625" style="13" customWidth="1"/>
    <col min="4" max="4" width="40" style="13" customWidth="1"/>
    <col min="5" max="16384" width="9.140625" style="13"/>
  </cols>
  <sheetData>
    <row r="1" spans="1:25" ht="34.5" x14ac:dyDescent="0.25">
      <c r="A1" s="6" t="s">
        <v>165</v>
      </c>
      <c r="B1" s="4" t="s">
        <v>153</v>
      </c>
      <c r="C1" s="4"/>
      <c r="D1" s="4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4" spans="1:25" ht="18" x14ac:dyDescent="0.25">
      <c r="A4" s="166" t="s">
        <v>136</v>
      </c>
      <c r="B4" s="166"/>
      <c r="C4" s="166"/>
      <c r="D4" s="166"/>
    </row>
    <row r="5" spans="1:25" ht="22.5" customHeight="1" x14ac:dyDescent="0.25">
      <c r="A5" s="167"/>
      <c r="B5" s="167"/>
      <c r="C5" s="167"/>
      <c r="D5" s="167"/>
    </row>
    <row r="6" spans="1:25" x14ac:dyDescent="0.25">
      <c r="B6" s="71"/>
      <c r="C6" s="72"/>
      <c r="D6" s="67"/>
    </row>
  </sheetData>
  <mergeCells count="2">
    <mergeCell ref="A4:D4"/>
    <mergeCell ref="A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17"/>
  <sheetViews>
    <sheetView zoomScale="90" zoomScaleNormal="90" workbookViewId="0">
      <selection activeCell="M171" sqref="M171"/>
    </sheetView>
  </sheetViews>
  <sheetFormatPr defaultColWidth="9.140625" defaultRowHeight="15" outlineLevelRow="1" x14ac:dyDescent="0.25"/>
  <cols>
    <col min="1" max="1" width="28.28515625" style="13" bestFit="1" customWidth="1"/>
    <col min="2" max="2" width="16.28515625" style="13" customWidth="1"/>
    <col min="3" max="3" width="25" style="13" bestFit="1" customWidth="1"/>
    <col min="4" max="4" width="14.140625" style="13" bestFit="1" customWidth="1"/>
    <col min="5" max="5" width="15.140625" style="13" customWidth="1"/>
    <col min="6" max="6" width="21.85546875" style="13" customWidth="1"/>
    <col min="7" max="7" width="20.42578125" style="13" customWidth="1"/>
    <col min="8" max="8" width="12.85546875" style="13" customWidth="1"/>
    <col min="9" max="9" width="23.7109375" style="13" customWidth="1"/>
    <col min="10" max="16384" width="9.140625" style="13"/>
  </cols>
  <sheetData>
    <row r="1" spans="1:30" ht="34.5" x14ac:dyDescent="0.4">
      <c r="A1" s="6" t="s">
        <v>165</v>
      </c>
      <c r="B1" s="4" t="s">
        <v>33</v>
      </c>
      <c r="C1" s="4"/>
      <c r="D1" s="4"/>
      <c r="E1" s="4"/>
      <c r="F1" s="4"/>
      <c r="G1" s="4"/>
      <c r="H1" s="4"/>
      <c r="J1" s="5"/>
      <c r="K1" s="5"/>
      <c r="L1" s="5"/>
      <c r="M1" s="5"/>
      <c r="N1" s="5"/>
      <c r="O1" s="5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4" spans="1:30" ht="18" customHeight="1" x14ac:dyDescent="0.25">
      <c r="A4" s="168" t="s">
        <v>0</v>
      </c>
      <c r="B4" s="122" t="s">
        <v>10</v>
      </c>
      <c r="C4" s="124"/>
      <c r="D4" s="123"/>
      <c r="E4" s="122" t="s">
        <v>9</v>
      </c>
      <c r="F4" s="124"/>
      <c r="G4" s="170" t="s">
        <v>67</v>
      </c>
      <c r="H4" s="170" t="s">
        <v>4</v>
      </c>
    </row>
    <row r="5" spans="1:30" ht="30" customHeight="1" x14ac:dyDescent="0.25">
      <c r="A5" s="169"/>
      <c r="B5" s="21" t="s">
        <v>3</v>
      </c>
      <c r="C5" s="21" t="s">
        <v>8</v>
      </c>
      <c r="D5" s="21" t="s">
        <v>13</v>
      </c>
      <c r="E5" s="21" t="s">
        <v>1</v>
      </c>
      <c r="F5" s="21" t="s">
        <v>2</v>
      </c>
      <c r="G5" s="169"/>
      <c r="H5" s="169"/>
    </row>
    <row r="6" spans="1:30" ht="16.5" customHeight="1" x14ac:dyDescent="0.25">
      <c r="A6" s="14"/>
      <c r="B6" s="15"/>
      <c r="C6" s="15"/>
      <c r="D6" s="15"/>
      <c r="E6" s="16"/>
      <c r="F6" s="16"/>
      <c r="G6" s="17"/>
      <c r="H6" s="17"/>
    </row>
    <row r="7" spans="1:30" x14ac:dyDescent="0.25">
      <c r="A7" s="31" t="s">
        <v>163</v>
      </c>
      <c r="B7" s="25">
        <f>SUM(B8:B15)</f>
        <v>8</v>
      </c>
      <c r="C7" s="32" t="s">
        <v>35</v>
      </c>
      <c r="D7" s="32" t="s">
        <v>35</v>
      </c>
      <c r="E7" s="30">
        <f>SUM(E8:E15)</f>
        <v>106</v>
      </c>
      <c r="F7" s="30">
        <f>SUM(F8:F15)</f>
        <v>48</v>
      </c>
      <c r="G7" s="34" t="s">
        <v>672</v>
      </c>
      <c r="H7" s="25">
        <v>1</v>
      </c>
    </row>
    <row r="8" spans="1:30" outlineLevel="1" x14ac:dyDescent="0.25">
      <c r="A8" s="25" t="s">
        <v>164</v>
      </c>
      <c r="B8" s="25">
        <v>1</v>
      </c>
      <c r="C8" s="102" t="s">
        <v>166</v>
      </c>
      <c r="D8" s="10">
        <v>2221</v>
      </c>
      <c r="E8" s="10">
        <v>6</v>
      </c>
      <c r="F8" s="10">
        <v>0</v>
      </c>
      <c r="G8" s="34" t="s">
        <v>672</v>
      </c>
      <c r="H8" s="25">
        <v>1</v>
      </c>
    </row>
    <row r="9" spans="1:30" outlineLevel="1" x14ac:dyDescent="0.25">
      <c r="A9" s="26"/>
      <c r="B9" s="25">
        <v>1</v>
      </c>
      <c r="C9" s="102" t="s">
        <v>167</v>
      </c>
      <c r="D9" s="10">
        <v>2223</v>
      </c>
      <c r="E9" s="10">
        <v>16</v>
      </c>
      <c r="F9" s="10">
        <v>0</v>
      </c>
      <c r="G9" s="34" t="s">
        <v>672</v>
      </c>
      <c r="H9" s="25">
        <v>1</v>
      </c>
    </row>
    <row r="10" spans="1:30" outlineLevel="1" x14ac:dyDescent="0.25">
      <c r="A10" s="26"/>
      <c r="B10" s="25">
        <v>1</v>
      </c>
      <c r="C10" s="102" t="s">
        <v>168</v>
      </c>
      <c r="D10" s="10">
        <v>2209</v>
      </c>
      <c r="E10" s="10">
        <v>11</v>
      </c>
      <c r="F10" s="10">
        <v>0</v>
      </c>
      <c r="G10" s="34" t="s">
        <v>672</v>
      </c>
      <c r="H10" s="25">
        <v>1</v>
      </c>
    </row>
    <row r="11" spans="1:30" outlineLevel="1" x14ac:dyDescent="0.25">
      <c r="A11" s="26"/>
      <c r="B11" s="25">
        <v>1</v>
      </c>
      <c r="C11" s="102" t="s">
        <v>169</v>
      </c>
      <c r="D11" s="10">
        <v>2213</v>
      </c>
      <c r="E11" s="10">
        <v>14</v>
      </c>
      <c r="F11" s="10">
        <v>0</v>
      </c>
      <c r="G11" s="34" t="s">
        <v>672</v>
      </c>
      <c r="H11" s="25">
        <v>1</v>
      </c>
    </row>
    <row r="12" spans="1:30" outlineLevel="1" x14ac:dyDescent="0.25">
      <c r="A12" s="26"/>
      <c r="B12" s="25">
        <v>1</v>
      </c>
      <c r="C12" s="102" t="s">
        <v>170</v>
      </c>
      <c r="D12" s="10">
        <v>2210</v>
      </c>
      <c r="E12" s="10">
        <v>20</v>
      </c>
      <c r="F12" s="10">
        <v>17</v>
      </c>
      <c r="G12" s="34" t="s">
        <v>672</v>
      </c>
      <c r="H12" s="25">
        <v>1</v>
      </c>
    </row>
    <row r="13" spans="1:30" outlineLevel="1" x14ac:dyDescent="0.25">
      <c r="A13" s="26"/>
      <c r="B13" s="25">
        <v>1</v>
      </c>
      <c r="C13" s="102" t="s">
        <v>171</v>
      </c>
      <c r="D13" s="10">
        <v>2222</v>
      </c>
      <c r="E13" s="10">
        <v>11</v>
      </c>
      <c r="F13" s="10">
        <v>14</v>
      </c>
      <c r="G13" s="34" t="s">
        <v>672</v>
      </c>
      <c r="H13" s="25">
        <v>1</v>
      </c>
    </row>
    <row r="14" spans="1:30" outlineLevel="1" x14ac:dyDescent="0.25">
      <c r="A14" s="26"/>
      <c r="B14" s="25">
        <v>1</v>
      </c>
      <c r="C14" s="102" t="s">
        <v>172</v>
      </c>
      <c r="D14" s="10">
        <v>2212</v>
      </c>
      <c r="E14" s="10">
        <v>19</v>
      </c>
      <c r="F14" s="10">
        <v>17</v>
      </c>
      <c r="G14" s="34" t="s">
        <v>672</v>
      </c>
      <c r="H14" s="25">
        <v>1</v>
      </c>
    </row>
    <row r="15" spans="1:30" outlineLevel="1" x14ac:dyDescent="0.25">
      <c r="A15" s="26"/>
      <c r="B15" s="25">
        <v>1</v>
      </c>
      <c r="C15" s="102" t="s">
        <v>173</v>
      </c>
      <c r="D15" s="10">
        <v>2210</v>
      </c>
      <c r="E15" s="10">
        <v>9</v>
      </c>
      <c r="F15" s="10">
        <v>0</v>
      </c>
      <c r="G15" s="34" t="s">
        <v>672</v>
      </c>
      <c r="H15" s="25">
        <v>1</v>
      </c>
    </row>
    <row r="16" spans="1:30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31" t="s">
        <v>174</v>
      </c>
      <c r="B17" s="25">
        <f>SUM(B18:B25)</f>
        <v>8</v>
      </c>
      <c r="C17" s="32" t="s">
        <v>35</v>
      </c>
      <c r="D17" s="32" t="s">
        <v>35</v>
      </c>
      <c r="E17" s="30">
        <f>SUM(E18:E25)</f>
        <v>83</v>
      </c>
      <c r="F17" s="30">
        <f>SUM(F18:F25)</f>
        <v>31</v>
      </c>
      <c r="G17" s="34" t="s">
        <v>672</v>
      </c>
      <c r="H17" s="25">
        <v>1</v>
      </c>
    </row>
    <row r="18" spans="1:8" outlineLevel="1" x14ac:dyDescent="0.25">
      <c r="A18" s="25" t="s">
        <v>175</v>
      </c>
      <c r="B18" s="25">
        <v>1</v>
      </c>
      <c r="C18" s="102" t="s">
        <v>176</v>
      </c>
      <c r="D18" s="10">
        <v>2205</v>
      </c>
      <c r="E18" s="10">
        <v>25</v>
      </c>
      <c r="F18" s="10">
        <v>18</v>
      </c>
      <c r="G18" s="34" t="s">
        <v>672</v>
      </c>
      <c r="H18" s="25">
        <v>1</v>
      </c>
    </row>
    <row r="19" spans="1:8" outlineLevel="1" x14ac:dyDescent="0.25">
      <c r="A19" s="26"/>
      <c r="B19" s="25">
        <v>1</v>
      </c>
      <c r="C19" s="102" t="s">
        <v>177</v>
      </c>
      <c r="D19" s="10">
        <v>2207</v>
      </c>
      <c r="E19" s="10">
        <v>10</v>
      </c>
      <c r="F19" s="10">
        <v>13</v>
      </c>
      <c r="G19" s="34" t="s">
        <v>672</v>
      </c>
      <c r="H19" s="25">
        <v>1</v>
      </c>
    </row>
    <row r="20" spans="1:8" outlineLevel="1" x14ac:dyDescent="0.25">
      <c r="A20" s="26"/>
      <c r="B20" s="25">
        <v>1</v>
      </c>
      <c r="C20" s="102" t="s">
        <v>178</v>
      </c>
      <c r="D20" s="10">
        <v>2209</v>
      </c>
      <c r="E20" s="10">
        <v>5</v>
      </c>
      <c r="F20" s="10">
        <v>0</v>
      </c>
      <c r="G20" s="34" t="s">
        <v>672</v>
      </c>
      <c r="H20" s="25">
        <v>1</v>
      </c>
    </row>
    <row r="21" spans="1:8" outlineLevel="1" x14ac:dyDescent="0.25">
      <c r="A21" s="26"/>
      <c r="B21" s="25">
        <v>1</v>
      </c>
      <c r="C21" s="102" t="s">
        <v>179</v>
      </c>
      <c r="D21" s="10">
        <v>2207</v>
      </c>
      <c r="E21" s="10">
        <v>9</v>
      </c>
      <c r="F21" s="10">
        <v>0</v>
      </c>
      <c r="G21" s="34" t="s">
        <v>672</v>
      </c>
      <c r="H21" s="25">
        <v>1</v>
      </c>
    </row>
    <row r="22" spans="1:8" outlineLevel="1" x14ac:dyDescent="0.25">
      <c r="A22" s="26"/>
      <c r="B22" s="25">
        <v>1</v>
      </c>
      <c r="C22" s="102" t="s">
        <v>180</v>
      </c>
      <c r="D22" s="10">
        <v>2206</v>
      </c>
      <c r="E22" s="10">
        <v>8</v>
      </c>
      <c r="F22" s="10">
        <v>0</v>
      </c>
      <c r="G22" s="34" t="s">
        <v>672</v>
      </c>
      <c r="H22" s="25">
        <v>1</v>
      </c>
    </row>
    <row r="23" spans="1:8" outlineLevel="1" x14ac:dyDescent="0.25">
      <c r="A23" s="26"/>
      <c r="B23" s="25">
        <v>1</v>
      </c>
      <c r="C23" s="102" t="s">
        <v>181</v>
      </c>
      <c r="D23" s="10">
        <v>2217</v>
      </c>
      <c r="E23" s="10">
        <v>7</v>
      </c>
      <c r="F23" s="10">
        <v>0</v>
      </c>
      <c r="G23" s="34" t="s">
        <v>672</v>
      </c>
      <c r="H23" s="25">
        <v>1</v>
      </c>
    </row>
    <row r="24" spans="1:8" outlineLevel="1" x14ac:dyDescent="0.25">
      <c r="A24" s="26"/>
      <c r="B24" s="25">
        <v>1</v>
      </c>
      <c r="C24" s="102" t="s">
        <v>182</v>
      </c>
      <c r="D24" s="10">
        <v>2216</v>
      </c>
      <c r="E24" s="10">
        <v>6</v>
      </c>
      <c r="F24" s="10">
        <v>0</v>
      </c>
      <c r="G24" s="34" t="s">
        <v>672</v>
      </c>
      <c r="H24" s="25">
        <v>1</v>
      </c>
    </row>
    <row r="25" spans="1:8" outlineLevel="1" x14ac:dyDescent="0.25">
      <c r="A25" s="26"/>
      <c r="B25" s="25">
        <v>1</v>
      </c>
      <c r="C25" s="102" t="s">
        <v>183</v>
      </c>
      <c r="D25" s="10">
        <v>2205</v>
      </c>
      <c r="E25" s="10">
        <v>13</v>
      </c>
      <c r="F25" s="10">
        <v>0</v>
      </c>
      <c r="G25" s="34" t="s">
        <v>672</v>
      </c>
      <c r="H25" s="25">
        <v>1</v>
      </c>
    </row>
    <row r="26" spans="1:8" x14ac:dyDescent="0.25">
      <c r="A26" s="26"/>
      <c r="B26" s="26"/>
      <c r="C26" s="26"/>
      <c r="D26" s="26"/>
      <c r="E26" s="26"/>
      <c r="F26" s="26"/>
      <c r="G26" s="26"/>
      <c r="H26" s="26"/>
    </row>
    <row r="27" spans="1:8" x14ac:dyDescent="0.25">
      <c r="A27" s="31" t="s">
        <v>184</v>
      </c>
      <c r="B27" s="25">
        <f>SUM(B28:B30)</f>
        <v>3</v>
      </c>
      <c r="C27" s="32" t="s">
        <v>35</v>
      </c>
      <c r="D27" s="32" t="s">
        <v>35</v>
      </c>
      <c r="E27" s="30">
        <f>SUM(E28:E30)</f>
        <v>11</v>
      </c>
      <c r="F27" s="30">
        <f>SUM(F28:F30)</f>
        <v>0</v>
      </c>
      <c r="G27" s="34" t="s">
        <v>672</v>
      </c>
      <c r="H27" s="25">
        <v>1</v>
      </c>
    </row>
    <row r="28" spans="1:8" x14ac:dyDescent="0.25">
      <c r="A28" s="25" t="s">
        <v>185</v>
      </c>
      <c r="B28" s="25">
        <v>1</v>
      </c>
      <c r="C28" s="102" t="s">
        <v>186</v>
      </c>
      <c r="D28" s="10">
        <v>2110</v>
      </c>
      <c r="E28" s="10">
        <v>5</v>
      </c>
      <c r="F28" s="10">
        <v>0</v>
      </c>
      <c r="G28" s="34" t="s">
        <v>672</v>
      </c>
      <c r="H28" s="25">
        <v>1</v>
      </c>
    </row>
    <row r="29" spans="1:8" x14ac:dyDescent="0.25">
      <c r="A29" s="26"/>
      <c r="B29" s="25">
        <v>1</v>
      </c>
      <c r="C29" s="102" t="s">
        <v>187</v>
      </c>
      <c r="D29" s="10">
        <v>2066</v>
      </c>
      <c r="E29" s="10">
        <v>3</v>
      </c>
      <c r="F29" s="10">
        <v>0</v>
      </c>
      <c r="G29" s="34" t="s">
        <v>672</v>
      </c>
      <c r="H29" s="25">
        <v>1</v>
      </c>
    </row>
    <row r="30" spans="1:8" x14ac:dyDescent="0.25">
      <c r="A30" s="26"/>
      <c r="B30" s="25">
        <v>1</v>
      </c>
      <c r="C30" s="102" t="s">
        <v>188</v>
      </c>
      <c r="D30" s="10">
        <v>2114</v>
      </c>
      <c r="E30" s="10">
        <v>3</v>
      </c>
      <c r="F30" s="10">
        <v>0</v>
      </c>
      <c r="G30" s="34" t="s">
        <v>672</v>
      </c>
      <c r="H30" s="25">
        <v>1</v>
      </c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A32" s="31" t="s">
        <v>189</v>
      </c>
      <c r="B32" s="25">
        <f>SUM(B33:B38)</f>
        <v>6</v>
      </c>
      <c r="C32" s="32" t="s">
        <v>35</v>
      </c>
      <c r="D32" s="32" t="s">
        <v>35</v>
      </c>
      <c r="E32" s="30">
        <f>SUM(E33:E38)</f>
        <v>36</v>
      </c>
      <c r="F32" s="30">
        <f>SUM(F33:F38)</f>
        <v>22</v>
      </c>
      <c r="G32" s="34" t="s">
        <v>675</v>
      </c>
      <c r="H32" s="25">
        <v>1</v>
      </c>
    </row>
    <row r="33" spans="1:8" x14ac:dyDescent="0.25">
      <c r="A33" s="25" t="s">
        <v>190</v>
      </c>
      <c r="B33" s="25">
        <v>1</v>
      </c>
      <c r="C33" s="102" t="s">
        <v>191</v>
      </c>
      <c r="D33" s="10">
        <v>2156</v>
      </c>
      <c r="E33" s="10">
        <v>10</v>
      </c>
      <c r="F33" s="10">
        <v>12</v>
      </c>
      <c r="G33" s="34" t="s">
        <v>675</v>
      </c>
      <c r="H33" s="25">
        <v>1</v>
      </c>
    </row>
    <row r="34" spans="1:8" x14ac:dyDescent="0.25">
      <c r="A34" s="26"/>
      <c r="B34" s="25">
        <v>1</v>
      </c>
      <c r="C34" s="102" t="s">
        <v>192</v>
      </c>
      <c r="D34" s="10">
        <v>2083</v>
      </c>
      <c r="E34" s="10">
        <v>8</v>
      </c>
      <c r="F34" s="10">
        <v>10</v>
      </c>
      <c r="G34" s="34" t="s">
        <v>675</v>
      </c>
      <c r="H34" s="25">
        <v>1</v>
      </c>
    </row>
    <row r="35" spans="1:8" x14ac:dyDescent="0.25">
      <c r="A35" s="26"/>
      <c r="B35" s="25">
        <v>1</v>
      </c>
      <c r="C35" s="102" t="s">
        <v>193</v>
      </c>
      <c r="D35" s="10">
        <v>2156</v>
      </c>
      <c r="E35" s="10">
        <v>6</v>
      </c>
      <c r="F35" s="10">
        <v>0</v>
      </c>
      <c r="G35" s="34" t="s">
        <v>675</v>
      </c>
      <c r="H35" s="25">
        <v>1</v>
      </c>
    </row>
    <row r="36" spans="1:8" x14ac:dyDescent="0.25">
      <c r="A36" s="26"/>
      <c r="B36" s="25">
        <v>1</v>
      </c>
      <c r="C36" s="102" t="s">
        <v>194</v>
      </c>
      <c r="D36" s="10">
        <v>2079</v>
      </c>
      <c r="E36" s="10">
        <v>3</v>
      </c>
      <c r="F36" s="10">
        <v>0</v>
      </c>
      <c r="G36" s="34" t="s">
        <v>675</v>
      </c>
      <c r="H36" s="25">
        <v>1</v>
      </c>
    </row>
    <row r="37" spans="1:8" x14ac:dyDescent="0.25">
      <c r="A37" s="26"/>
      <c r="B37" s="25">
        <v>1</v>
      </c>
      <c r="C37" s="102" t="s">
        <v>195</v>
      </c>
      <c r="D37" s="10">
        <v>2080</v>
      </c>
      <c r="E37" s="10">
        <v>6</v>
      </c>
      <c r="F37" s="10">
        <v>0</v>
      </c>
      <c r="G37" s="34" t="s">
        <v>675</v>
      </c>
      <c r="H37" s="25">
        <v>1</v>
      </c>
    </row>
    <row r="38" spans="1:8" x14ac:dyDescent="0.25">
      <c r="A38" s="26"/>
      <c r="B38" s="25">
        <v>1</v>
      </c>
      <c r="C38" s="102" t="s">
        <v>196</v>
      </c>
      <c r="D38" s="10">
        <v>2077</v>
      </c>
      <c r="E38" s="10">
        <v>3</v>
      </c>
      <c r="F38" s="10">
        <v>0</v>
      </c>
      <c r="G38" s="34" t="s">
        <v>675</v>
      </c>
      <c r="H38" s="25">
        <v>1</v>
      </c>
    </row>
    <row r="39" spans="1:8" x14ac:dyDescent="0.25">
      <c r="A39" s="26"/>
      <c r="B39" s="26"/>
      <c r="C39" s="26"/>
      <c r="D39" s="26"/>
      <c r="E39" s="26"/>
      <c r="F39" s="26"/>
      <c r="G39" s="26"/>
      <c r="H39" s="26"/>
    </row>
    <row r="40" spans="1:8" x14ac:dyDescent="0.25">
      <c r="A40" s="31" t="s">
        <v>197</v>
      </c>
      <c r="B40" s="25">
        <f>SUM(B41:B45)</f>
        <v>5</v>
      </c>
      <c r="C40" s="32" t="s">
        <v>35</v>
      </c>
      <c r="D40" s="32" t="s">
        <v>35</v>
      </c>
      <c r="E40" s="30">
        <f>SUM(E41:E45)</f>
        <v>59</v>
      </c>
      <c r="F40" s="30">
        <f>SUM(F41:F45)</f>
        <v>28</v>
      </c>
      <c r="G40" s="34" t="s">
        <v>672</v>
      </c>
      <c r="H40" s="25">
        <v>1</v>
      </c>
    </row>
    <row r="41" spans="1:8" x14ac:dyDescent="0.25">
      <c r="A41" s="25" t="s">
        <v>198</v>
      </c>
      <c r="B41" s="25">
        <v>1</v>
      </c>
      <c r="C41" s="102" t="s">
        <v>199</v>
      </c>
      <c r="D41" s="10">
        <v>2144</v>
      </c>
      <c r="E41" s="10">
        <v>11</v>
      </c>
      <c r="F41" s="10">
        <v>0</v>
      </c>
      <c r="G41" s="34" t="s">
        <v>672</v>
      </c>
      <c r="H41" s="25">
        <v>1</v>
      </c>
    </row>
    <row r="42" spans="1:8" x14ac:dyDescent="0.25">
      <c r="A42" s="26"/>
      <c r="B42" s="25">
        <v>1</v>
      </c>
      <c r="C42" s="102" t="s">
        <v>200</v>
      </c>
      <c r="D42" s="10">
        <v>2142</v>
      </c>
      <c r="E42" s="10">
        <v>7</v>
      </c>
      <c r="F42" s="10">
        <v>0</v>
      </c>
      <c r="G42" s="34" t="s">
        <v>672</v>
      </c>
      <c r="H42" s="25">
        <v>1</v>
      </c>
    </row>
    <row r="43" spans="1:8" x14ac:dyDescent="0.25">
      <c r="A43" s="26"/>
      <c r="B43" s="25">
        <v>1</v>
      </c>
      <c r="C43" s="102" t="s">
        <v>201</v>
      </c>
      <c r="D43" s="10">
        <v>2161</v>
      </c>
      <c r="E43" s="10">
        <v>10</v>
      </c>
      <c r="F43" s="10">
        <v>13</v>
      </c>
      <c r="G43" s="34" t="s">
        <v>672</v>
      </c>
      <c r="H43" s="25">
        <v>1</v>
      </c>
    </row>
    <row r="44" spans="1:8" x14ac:dyDescent="0.25">
      <c r="A44" s="26"/>
      <c r="B44" s="25">
        <v>1</v>
      </c>
      <c r="C44" s="102" t="s">
        <v>202</v>
      </c>
      <c r="D44" s="10">
        <v>2161</v>
      </c>
      <c r="E44" s="10">
        <v>9</v>
      </c>
      <c r="F44" s="10">
        <v>0</v>
      </c>
      <c r="G44" s="34" t="s">
        <v>672</v>
      </c>
      <c r="H44" s="25">
        <v>1</v>
      </c>
    </row>
    <row r="45" spans="1:8" x14ac:dyDescent="0.25">
      <c r="A45" s="26"/>
      <c r="B45" s="25">
        <v>1</v>
      </c>
      <c r="C45" s="102" t="s">
        <v>203</v>
      </c>
      <c r="D45" s="10">
        <v>2160</v>
      </c>
      <c r="E45" s="10">
        <v>22</v>
      </c>
      <c r="F45" s="10">
        <v>15</v>
      </c>
      <c r="G45" s="34" t="s">
        <v>672</v>
      </c>
      <c r="H45" s="25">
        <v>1</v>
      </c>
    </row>
    <row r="46" spans="1:8" x14ac:dyDescent="0.25">
      <c r="A46" s="26"/>
      <c r="B46" s="26"/>
      <c r="C46" s="26"/>
      <c r="D46" s="26"/>
      <c r="E46" s="26"/>
      <c r="F46" s="26"/>
      <c r="G46" s="26"/>
      <c r="H46" s="26"/>
    </row>
    <row r="47" spans="1:8" x14ac:dyDescent="0.25">
      <c r="A47" s="31" t="s">
        <v>204</v>
      </c>
      <c r="B47" s="25">
        <f>SUM(B48:B51)</f>
        <v>4</v>
      </c>
      <c r="C47" s="32" t="s">
        <v>35</v>
      </c>
      <c r="D47" s="32" t="s">
        <v>35</v>
      </c>
      <c r="E47" s="30">
        <f>SUM(E48:E51)</f>
        <v>42</v>
      </c>
      <c r="F47" s="30">
        <f>SUM(F48:F51)</f>
        <v>32</v>
      </c>
      <c r="G47" s="34" t="s">
        <v>672</v>
      </c>
      <c r="H47" s="25">
        <v>1</v>
      </c>
    </row>
    <row r="48" spans="1:8" x14ac:dyDescent="0.25">
      <c r="A48" s="25" t="s">
        <v>205</v>
      </c>
      <c r="B48" s="25">
        <v>1</v>
      </c>
      <c r="C48" s="102" t="s">
        <v>206</v>
      </c>
      <c r="D48" s="10">
        <v>2064</v>
      </c>
      <c r="E48" s="10">
        <v>4</v>
      </c>
      <c r="F48" s="10">
        <v>0</v>
      </c>
      <c r="G48" s="34" t="s">
        <v>672</v>
      </c>
      <c r="H48" s="25">
        <v>1</v>
      </c>
    </row>
    <row r="49" spans="1:8" x14ac:dyDescent="0.25">
      <c r="A49" s="26"/>
      <c r="B49" s="25">
        <v>1</v>
      </c>
      <c r="C49" s="102" t="s">
        <v>207</v>
      </c>
      <c r="D49" s="10">
        <v>2073</v>
      </c>
      <c r="E49" s="10">
        <v>12</v>
      </c>
      <c r="F49" s="10">
        <v>16</v>
      </c>
      <c r="G49" s="34" t="s">
        <v>672</v>
      </c>
      <c r="H49" s="25">
        <v>1</v>
      </c>
    </row>
    <row r="50" spans="1:8" x14ac:dyDescent="0.25">
      <c r="A50" s="26"/>
      <c r="B50" s="25">
        <v>1</v>
      </c>
      <c r="C50" s="102" t="s">
        <v>208</v>
      </c>
      <c r="D50" s="10">
        <v>2075</v>
      </c>
      <c r="E50" s="10">
        <v>14</v>
      </c>
      <c r="F50" s="10">
        <v>0</v>
      </c>
      <c r="G50" s="34" t="s">
        <v>672</v>
      </c>
      <c r="H50" s="25">
        <v>1</v>
      </c>
    </row>
    <row r="51" spans="1:8" x14ac:dyDescent="0.25">
      <c r="A51" s="26"/>
      <c r="B51" s="25">
        <v>1</v>
      </c>
      <c r="C51" s="102" t="s">
        <v>209</v>
      </c>
      <c r="D51" s="10">
        <v>2076</v>
      </c>
      <c r="E51" s="10">
        <v>12</v>
      </c>
      <c r="F51" s="10">
        <v>16</v>
      </c>
      <c r="G51" s="34" t="s">
        <v>672</v>
      </c>
      <c r="H51" s="25">
        <v>1</v>
      </c>
    </row>
    <row r="53" spans="1:8" x14ac:dyDescent="0.25">
      <c r="A53" s="31" t="s">
        <v>210</v>
      </c>
      <c r="B53" s="25">
        <f>SUM(B54:B70)</f>
        <v>17</v>
      </c>
      <c r="C53" s="32" t="s">
        <v>35</v>
      </c>
      <c r="D53" s="32" t="s">
        <v>35</v>
      </c>
      <c r="E53" s="30">
        <f>SUM(E54:E70)</f>
        <v>90</v>
      </c>
      <c r="F53" s="30">
        <f>SUM(F54:F70)</f>
        <v>26</v>
      </c>
      <c r="G53" s="34" t="s">
        <v>678</v>
      </c>
      <c r="H53" s="25">
        <v>1</v>
      </c>
    </row>
    <row r="54" spans="1:8" x14ac:dyDescent="0.25">
      <c r="A54" s="25" t="s">
        <v>211</v>
      </c>
      <c r="B54" s="25">
        <v>1</v>
      </c>
      <c r="C54" s="102" t="s">
        <v>212</v>
      </c>
      <c r="D54" s="10">
        <v>2795</v>
      </c>
      <c r="E54" s="10">
        <v>14</v>
      </c>
      <c r="F54" s="10">
        <v>0</v>
      </c>
      <c r="G54" s="34" t="s">
        <v>678</v>
      </c>
      <c r="H54" s="25">
        <v>1</v>
      </c>
    </row>
    <row r="55" spans="1:8" x14ac:dyDescent="0.25">
      <c r="A55" s="26"/>
      <c r="B55" s="25">
        <v>1</v>
      </c>
      <c r="C55" s="102" t="s">
        <v>213</v>
      </c>
      <c r="D55" s="10">
        <v>2787</v>
      </c>
      <c r="E55" s="10">
        <v>3</v>
      </c>
      <c r="F55" s="10">
        <v>0</v>
      </c>
      <c r="G55" s="34" t="s">
        <v>678</v>
      </c>
      <c r="H55" s="25">
        <v>1</v>
      </c>
    </row>
    <row r="56" spans="1:8" x14ac:dyDescent="0.25">
      <c r="A56" s="26"/>
      <c r="B56" s="25">
        <v>1</v>
      </c>
      <c r="C56" s="102" t="s">
        <v>214</v>
      </c>
      <c r="D56" s="10">
        <v>2800</v>
      </c>
      <c r="E56" s="10">
        <v>6</v>
      </c>
      <c r="F56" s="10">
        <v>0</v>
      </c>
      <c r="G56" s="34" t="s">
        <v>678</v>
      </c>
      <c r="H56" s="25">
        <v>1</v>
      </c>
    </row>
    <row r="57" spans="1:8" x14ac:dyDescent="0.25">
      <c r="A57" s="26"/>
      <c r="B57" s="25">
        <v>1</v>
      </c>
      <c r="C57" s="102" t="s">
        <v>215</v>
      </c>
      <c r="D57" s="10">
        <v>2800</v>
      </c>
      <c r="E57" s="10">
        <v>4</v>
      </c>
      <c r="F57" s="10">
        <v>0</v>
      </c>
      <c r="G57" s="34" t="s">
        <v>678</v>
      </c>
      <c r="H57" s="25">
        <v>1</v>
      </c>
    </row>
    <row r="58" spans="1:8" x14ac:dyDescent="0.25">
      <c r="A58" s="26"/>
      <c r="B58" s="25">
        <v>1</v>
      </c>
      <c r="C58" s="102" t="s">
        <v>216</v>
      </c>
      <c r="D58" s="10">
        <v>2864</v>
      </c>
      <c r="E58" s="10">
        <v>0</v>
      </c>
      <c r="F58" s="10">
        <v>7</v>
      </c>
      <c r="G58" s="34" t="s">
        <v>678</v>
      </c>
      <c r="H58" s="25">
        <v>1</v>
      </c>
    </row>
    <row r="59" spans="1:8" x14ac:dyDescent="0.25">
      <c r="A59" s="26"/>
      <c r="B59" s="25">
        <v>1</v>
      </c>
      <c r="C59" s="102" t="s">
        <v>217</v>
      </c>
      <c r="D59" s="10">
        <v>2818</v>
      </c>
      <c r="E59" s="10">
        <v>5</v>
      </c>
      <c r="F59" s="10">
        <v>0</v>
      </c>
      <c r="G59" s="34" t="s">
        <v>678</v>
      </c>
      <c r="H59" s="25">
        <v>1</v>
      </c>
    </row>
    <row r="60" spans="1:8" x14ac:dyDescent="0.25">
      <c r="A60" s="26"/>
      <c r="B60" s="25">
        <v>1</v>
      </c>
      <c r="C60" s="102" t="s">
        <v>218</v>
      </c>
      <c r="D60" s="10">
        <v>2852</v>
      </c>
      <c r="E60" s="10">
        <v>6</v>
      </c>
      <c r="F60" s="10">
        <v>0</v>
      </c>
      <c r="G60" s="34" t="s">
        <v>678</v>
      </c>
      <c r="H60" s="25">
        <v>1</v>
      </c>
    </row>
    <row r="61" spans="1:8" x14ac:dyDescent="0.25">
      <c r="A61" s="26"/>
      <c r="B61" s="25">
        <v>1</v>
      </c>
      <c r="C61" s="102" t="s">
        <v>219</v>
      </c>
      <c r="D61" s="10">
        <v>2790</v>
      </c>
      <c r="E61" s="10">
        <v>5</v>
      </c>
      <c r="F61" s="10">
        <v>0</v>
      </c>
      <c r="G61" s="34" t="s">
        <v>678</v>
      </c>
      <c r="H61" s="25">
        <v>1</v>
      </c>
    </row>
    <row r="62" spans="1:8" x14ac:dyDescent="0.25">
      <c r="A62" s="26"/>
      <c r="B62" s="25">
        <v>1</v>
      </c>
      <c r="C62" s="102" t="s">
        <v>220</v>
      </c>
      <c r="D62" s="10">
        <v>2795</v>
      </c>
      <c r="E62" s="10">
        <v>3</v>
      </c>
      <c r="F62" s="10">
        <v>0</v>
      </c>
      <c r="G62" s="34" t="s">
        <v>678</v>
      </c>
      <c r="H62" s="25">
        <v>1</v>
      </c>
    </row>
    <row r="63" spans="1:8" x14ac:dyDescent="0.25">
      <c r="A63" s="26"/>
      <c r="B63" s="25">
        <v>1</v>
      </c>
      <c r="C63" s="102" t="s">
        <v>221</v>
      </c>
      <c r="D63" s="10">
        <v>2790</v>
      </c>
      <c r="E63" s="10">
        <v>4</v>
      </c>
      <c r="F63" s="10">
        <v>0</v>
      </c>
      <c r="G63" s="34" t="s">
        <v>678</v>
      </c>
      <c r="H63" s="25">
        <v>1</v>
      </c>
    </row>
    <row r="64" spans="1:8" x14ac:dyDescent="0.25">
      <c r="A64" s="26"/>
      <c r="B64" s="25">
        <v>1</v>
      </c>
      <c r="C64" s="102" t="s">
        <v>222</v>
      </c>
      <c r="D64" s="10">
        <v>2798</v>
      </c>
      <c r="E64" s="10">
        <v>4</v>
      </c>
      <c r="F64" s="10">
        <v>0</v>
      </c>
      <c r="G64" s="34" t="s">
        <v>678</v>
      </c>
      <c r="H64" s="25">
        <v>1</v>
      </c>
    </row>
    <row r="65" spans="1:8" x14ac:dyDescent="0.25">
      <c r="A65" s="26"/>
      <c r="B65" s="25">
        <v>1</v>
      </c>
      <c r="C65" s="102" t="s">
        <v>223</v>
      </c>
      <c r="D65" s="10">
        <v>2790</v>
      </c>
      <c r="E65" s="10">
        <v>3</v>
      </c>
      <c r="F65" s="10">
        <v>0</v>
      </c>
      <c r="G65" s="34" t="s">
        <v>678</v>
      </c>
      <c r="H65" s="25">
        <v>1</v>
      </c>
    </row>
    <row r="66" spans="1:8" x14ac:dyDescent="0.25">
      <c r="A66" s="26"/>
      <c r="B66" s="25">
        <v>1</v>
      </c>
      <c r="C66" s="102" t="s">
        <v>224</v>
      </c>
      <c r="D66" s="10">
        <v>2787</v>
      </c>
      <c r="E66" s="10">
        <v>7</v>
      </c>
      <c r="F66" s="10">
        <v>6</v>
      </c>
      <c r="G66" s="34" t="s">
        <v>678</v>
      </c>
      <c r="H66" s="25">
        <v>1</v>
      </c>
    </row>
    <row r="67" spans="1:8" x14ac:dyDescent="0.25">
      <c r="A67" s="26"/>
      <c r="B67" s="25">
        <v>1</v>
      </c>
      <c r="C67" s="102" t="s">
        <v>225</v>
      </c>
      <c r="D67" s="10">
        <v>2800</v>
      </c>
      <c r="E67" s="10">
        <v>14</v>
      </c>
      <c r="F67" s="10">
        <v>13</v>
      </c>
      <c r="G67" s="34" t="s">
        <v>678</v>
      </c>
      <c r="H67" s="25">
        <v>1</v>
      </c>
    </row>
    <row r="68" spans="1:8" x14ac:dyDescent="0.25">
      <c r="A68" s="26"/>
      <c r="B68" s="25">
        <v>1</v>
      </c>
      <c r="C68" s="102" t="s">
        <v>226</v>
      </c>
      <c r="D68" s="10">
        <v>2795</v>
      </c>
      <c r="E68" s="10">
        <v>5</v>
      </c>
      <c r="F68" s="10">
        <v>0</v>
      </c>
      <c r="G68" s="34" t="s">
        <v>678</v>
      </c>
      <c r="H68" s="25">
        <v>1</v>
      </c>
    </row>
    <row r="69" spans="1:8" x14ac:dyDescent="0.25">
      <c r="A69" s="26"/>
      <c r="B69" s="25">
        <v>1</v>
      </c>
      <c r="C69" s="102" t="s">
        <v>227</v>
      </c>
      <c r="D69" s="10">
        <v>2800</v>
      </c>
      <c r="E69" s="10">
        <v>3</v>
      </c>
      <c r="F69" s="10">
        <v>0</v>
      </c>
      <c r="G69" s="34" t="s">
        <v>678</v>
      </c>
      <c r="H69" s="25">
        <v>1</v>
      </c>
    </row>
    <row r="70" spans="1:8" x14ac:dyDescent="0.25">
      <c r="A70" s="26"/>
      <c r="B70" s="25">
        <v>1</v>
      </c>
      <c r="C70" s="102" t="s">
        <v>228</v>
      </c>
      <c r="D70" s="10">
        <v>2798</v>
      </c>
      <c r="E70" s="10">
        <v>4</v>
      </c>
      <c r="F70" s="10">
        <v>0</v>
      </c>
      <c r="G70" s="34" t="s">
        <v>678</v>
      </c>
      <c r="H70" s="25">
        <v>1</v>
      </c>
    </row>
    <row r="72" spans="1:8" x14ac:dyDescent="0.25">
      <c r="A72" s="31" t="s">
        <v>229</v>
      </c>
      <c r="B72" s="25">
        <f>SUM(B73:B81)</f>
        <v>9</v>
      </c>
      <c r="C72" s="32" t="s">
        <v>35</v>
      </c>
      <c r="D72" s="32" t="s">
        <v>35</v>
      </c>
      <c r="E72" s="30">
        <f>SUM(E73:E81)</f>
        <v>61</v>
      </c>
      <c r="F72" s="30">
        <f>SUM(F73:F81)</f>
        <v>9</v>
      </c>
      <c r="G72" s="34" t="s">
        <v>675</v>
      </c>
      <c r="H72" s="25">
        <v>1</v>
      </c>
    </row>
    <row r="73" spans="1:8" x14ac:dyDescent="0.25">
      <c r="A73" s="25" t="s">
        <v>230</v>
      </c>
      <c r="B73" s="25">
        <v>1</v>
      </c>
      <c r="C73" s="102" t="s">
        <v>231</v>
      </c>
      <c r="D73" s="10">
        <v>2761</v>
      </c>
      <c r="E73" s="10">
        <v>5</v>
      </c>
      <c r="F73" s="10">
        <v>0</v>
      </c>
      <c r="G73" s="34" t="s">
        <v>675</v>
      </c>
      <c r="H73" s="25">
        <v>1</v>
      </c>
    </row>
    <row r="74" spans="1:8" x14ac:dyDescent="0.25">
      <c r="A74" s="26"/>
      <c r="B74" s="25">
        <v>1</v>
      </c>
      <c r="C74" s="102" t="s">
        <v>232</v>
      </c>
      <c r="D74" s="10">
        <v>2767</v>
      </c>
      <c r="E74" s="10">
        <v>4</v>
      </c>
      <c r="F74" s="10">
        <v>0</v>
      </c>
      <c r="G74" s="34" t="s">
        <v>675</v>
      </c>
      <c r="H74" s="25">
        <v>1</v>
      </c>
    </row>
    <row r="75" spans="1:8" x14ac:dyDescent="0.25">
      <c r="A75" s="26"/>
      <c r="B75" s="25">
        <v>1</v>
      </c>
      <c r="C75" s="102" t="s">
        <v>233</v>
      </c>
      <c r="D75" s="10">
        <v>2761</v>
      </c>
      <c r="E75" s="10">
        <v>5</v>
      </c>
      <c r="F75" s="10">
        <v>9</v>
      </c>
      <c r="G75" s="34" t="s">
        <v>675</v>
      </c>
      <c r="H75" s="25">
        <v>1</v>
      </c>
    </row>
    <row r="76" spans="1:8" x14ac:dyDescent="0.25">
      <c r="A76" s="26"/>
      <c r="B76" s="25">
        <v>1</v>
      </c>
      <c r="C76" s="102" t="s">
        <v>234</v>
      </c>
      <c r="D76" s="10">
        <v>2765</v>
      </c>
      <c r="E76" s="10">
        <v>11</v>
      </c>
      <c r="F76" s="10">
        <v>0</v>
      </c>
      <c r="G76" s="34" t="s">
        <v>675</v>
      </c>
      <c r="H76" s="25">
        <v>1</v>
      </c>
    </row>
    <row r="77" spans="1:8" x14ac:dyDescent="0.25">
      <c r="A77" s="26"/>
      <c r="B77" s="25">
        <v>1</v>
      </c>
      <c r="C77" s="102" t="s">
        <v>235</v>
      </c>
      <c r="D77" s="10">
        <v>2770</v>
      </c>
      <c r="E77" s="10">
        <v>12</v>
      </c>
      <c r="F77" s="10">
        <v>0</v>
      </c>
      <c r="G77" s="34" t="s">
        <v>675</v>
      </c>
      <c r="H77" s="25">
        <v>1</v>
      </c>
    </row>
    <row r="78" spans="1:8" x14ac:dyDescent="0.25">
      <c r="A78" s="26"/>
      <c r="B78" s="25">
        <v>1</v>
      </c>
      <c r="C78" s="102" t="s">
        <v>236</v>
      </c>
      <c r="D78" s="10">
        <v>2761</v>
      </c>
      <c r="E78" s="10">
        <v>6</v>
      </c>
      <c r="F78" s="10">
        <v>0</v>
      </c>
      <c r="G78" s="34" t="s">
        <v>675</v>
      </c>
      <c r="H78" s="25">
        <v>1</v>
      </c>
    </row>
    <row r="79" spans="1:8" x14ac:dyDescent="0.25">
      <c r="A79" s="26"/>
      <c r="B79" s="25">
        <v>1</v>
      </c>
      <c r="C79" s="102" t="s">
        <v>237</v>
      </c>
      <c r="D79" s="10">
        <v>2766</v>
      </c>
      <c r="E79" s="10">
        <v>3</v>
      </c>
      <c r="F79" s="10">
        <v>0</v>
      </c>
      <c r="G79" s="34" t="s">
        <v>675</v>
      </c>
      <c r="H79" s="25">
        <v>1</v>
      </c>
    </row>
    <row r="80" spans="1:8" x14ac:dyDescent="0.25">
      <c r="A80" s="26"/>
      <c r="B80" s="25">
        <v>1</v>
      </c>
      <c r="C80" s="102" t="s">
        <v>238</v>
      </c>
      <c r="D80" s="10">
        <v>2770</v>
      </c>
      <c r="E80" s="10">
        <v>4</v>
      </c>
      <c r="F80" s="10">
        <v>0</v>
      </c>
      <c r="G80" s="34" t="s">
        <v>675</v>
      </c>
      <c r="H80" s="25">
        <v>1</v>
      </c>
    </row>
    <row r="81" spans="1:8" x14ac:dyDescent="0.25">
      <c r="A81" s="26"/>
      <c r="B81" s="25">
        <v>1</v>
      </c>
      <c r="C81" s="102" t="s">
        <v>239</v>
      </c>
      <c r="D81" s="10">
        <v>2767</v>
      </c>
      <c r="E81" s="10">
        <v>11</v>
      </c>
      <c r="F81" s="10">
        <v>0</v>
      </c>
      <c r="G81" s="34" t="s">
        <v>675</v>
      </c>
      <c r="H81" s="25">
        <v>1</v>
      </c>
    </row>
    <row r="83" spans="1:8" x14ac:dyDescent="0.25">
      <c r="A83" s="31" t="s">
        <v>240</v>
      </c>
      <c r="B83" s="25">
        <f>SUM(B84:B88)</f>
        <v>5</v>
      </c>
      <c r="C83" s="32" t="s">
        <v>35</v>
      </c>
      <c r="D83" s="32" t="s">
        <v>35</v>
      </c>
      <c r="E83" s="30">
        <f>SUM(E84:E88)</f>
        <v>39</v>
      </c>
      <c r="F83" s="30">
        <f>SUM(F84:F88)</f>
        <v>17</v>
      </c>
      <c r="G83" s="34" t="s">
        <v>672</v>
      </c>
      <c r="H83" s="25">
        <v>1</v>
      </c>
    </row>
    <row r="84" spans="1:8" x14ac:dyDescent="0.25">
      <c r="A84" s="25" t="s">
        <v>241</v>
      </c>
      <c r="B84" s="25">
        <v>1</v>
      </c>
      <c r="C84" s="102" t="s">
        <v>242</v>
      </c>
      <c r="D84" s="10">
        <v>2230</v>
      </c>
      <c r="E84" s="10">
        <v>12</v>
      </c>
      <c r="F84" s="10">
        <v>0</v>
      </c>
      <c r="G84" s="34" t="s">
        <v>672</v>
      </c>
      <c r="H84" s="25">
        <v>1</v>
      </c>
    </row>
    <row r="85" spans="1:8" x14ac:dyDescent="0.25">
      <c r="A85" s="26"/>
      <c r="B85" s="25">
        <v>1</v>
      </c>
      <c r="C85" s="102" t="s">
        <v>243</v>
      </c>
      <c r="D85" s="10">
        <v>2227</v>
      </c>
      <c r="E85" s="10">
        <v>4</v>
      </c>
      <c r="F85" s="10">
        <v>0</v>
      </c>
      <c r="G85" s="34" t="s">
        <v>672</v>
      </c>
      <c r="H85" s="25">
        <v>1</v>
      </c>
    </row>
    <row r="86" spans="1:8" x14ac:dyDescent="0.25">
      <c r="A86" s="26"/>
      <c r="B86" s="25">
        <v>1</v>
      </c>
      <c r="C86" s="102" t="s">
        <v>244</v>
      </c>
      <c r="D86" s="10">
        <v>2226</v>
      </c>
      <c r="E86" s="10">
        <v>13</v>
      </c>
      <c r="F86" s="10">
        <v>17</v>
      </c>
      <c r="G86" s="34" t="s">
        <v>672</v>
      </c>
      <c r="H86" s="25">
        <v>1</v>
      </c>
    </row>
    <row r="87" spans="1:8" x14ac:dyDescent="0.25">
      <c r="A87" s="26"/>
      <c r="B87" s="25">
        <v>1</v>
      </c>
      <c r="C87" s="102" t="s">
        <v>245</v>
      </c>
      <c r="D87" s="10">
        <v>2228</v>
      </c>
      <c r="E87" s="10">
        <v>3</v>
      </c>
      <c r="F87" s="10">
        <v>0</v>
      </c>
      <c r="G87" s="34" t="s">
        <v>672</v>
      </c>
      <c r="H87" s="25">
        <v>1</v>
      </c>
    </row>
    <row r="88" spans="1:8" x14ac:dyDescent="0.25">
      <c r="A88" s="26"/>
      <c r="B88" s="25">
        <v>1</v>
      </c>
      <c r="C88" s="102" t="s">
        <v>246</v>
      </c>
      <c r="D88" s="10">
        <v>2232</v>
      </c>
      <c r="E88" s="10">
        <v>7</v>
      </c>
      <c r="F88" s="10">
        <v>0</v>
      </c>
      <c r="G88" s="34" t="s">
        <v>672</v>
      </c>
      <c r="H88" s="25">
        <v>1</v>
      </c>
    </row>
    <row r="89" spans="1:8" x14ac:dyDescent="0.25">
      <c r="A89" s="31"/>
    </row>
    <row r="90" spans="1:8" x14ac:dyDescent="0.25">
      <c r="A90" s="31" t="s">
        <v>247</v>
      </c>
      <c r="B90" s="25">
        <f>SUM(B91:B94)</f>
        <v>4</v>
      </c>
      <c r="C90" s="32" t="s">
        <v>35</v>
      </c>
      <c r="D90" s="32" t="s">
        <v>35</v>
      </c>
      <c r="E90" s="30">
        <f>SUM(E91:E94)</f>
        <v>32</v>
      </c>
      <c r="F90" s="30">
        <f>SUM(F91:F94)</f>
        <v>21</v>
      </c>
      <c r="G90" s="34" t="s">
        <v>679</v>
      </c>
      <c r="H90" s="25">
        <v>1</v>
      </c>
    </row>
    <row r="91" spans="1:8" x14ac:dyDescent="0.25">
      <c r="A91" s="25" t="s">
        <v>254</v>
      </c>
      <c r="B91" s="25">
        <v>1</v>
      </c>
      <c r="C91" s="102" t="s">
        <v>248</v>
      </c>
      <c r="D91" s="10">
        <v>2450</v>
      </c>
      <c r="E91" s="10">
        <v>17</v>
      </c>
      <c r="F91" s="10">
        <v>12</v>
      </c>
      <c r="G91" s="34" t="s">
        <v>679</v>
      </c>
      <c r="H91" s="25">
        <v>1</v>
      </c>
    </row>
    <row r="92" spans="1:8" x14ac:dyDescent="0.25">
      <c r="A92" s="26"/>
      <c r="B92" s="25">
        <v>1</v>
      </c>
      <c r="C92" s="102" t="s">
        <v>249</v>
      </c>
      <c r="D92" s="10">
        <v>2447</v>
      </c>
      <c r="E92" s="10">
        <v>4</v>
      </c>
      <c r="F92" s="10">
        <v>0</v>
      </c>
      <c r="G92" s="34" t="s">
        <v>679</v>
      </c>
      <c r="H92" s="25">
        <v>1</v>
      </c>
    </row>
    <row r="93" spans="1:8" x14ac:dyDescent="0.25">
      <c r="A93" s="26"/>
      <c r="B93" s="25">
        <v>1</v>
      </c>
      <c r="C93" s="102" t="s">
        <v>250</v>
      </c>
      <c r="D93" s="10">
        <v>2452</v>
      </c>
      <c r="E93" s="10">
        <v>4</v>
      </c>
      <c r="F93" s="10">
        <v>0</v>
      </c>
      <c r="G93" s="34" t="s">
        <v>679</v>
      </c>
      <c r="H93" s="25">
        <v>1</v>
      </c>
    </row>
    <row r="94" spans="1:8" x14ac:dyDescent="0.25">
      <c r="A94" s="26"/>
      <c r="B94" s="25">
        <v>1</v>
      </c>
      <c r="C94" s="102" t="s">
        <v>251</v>
      </c>
      <c r="D94" s="10">
        <v>2450</v>
      </c>
      <c r="E94" s="10">
        <v>7</v>
      </c>
      <c r="F94" s="10">
        <v>9</v>
      </c>
      <c r="G94" s="34" t="s">
        <v>679</v>
      </c>
      <c r="H94" s="25">
        <v>1</v>
      </c>
    </row>
    <row r="97" spans="1:8" x14ac:dyDescent="0.25">
      <c r="A97" s="31" t="s">
        <v>252</v>
      </c>
      <c r="B97" s="25">
        <f>SUM(B98:B105)</f>
        <v>8</v>
      </c>
      <c r="C97" s="32" t="s">
        <v>35</v>
      </c>
      <c r="D97" s="32" t="s">
        <v>35</v>
      </c>
      <c r="E97" s="30">
        <f>SUM(E98:E105)</f>
        <v>42</v>
      </c>
      <c r="F97" s="30">
        <f>SUM(F98:F105)</f>
        <v>15</v>
      </c>
      <c r="G97" s="34" t="s">
        <v>679</v>
      </c>
      <c r="H97" s="25">
        <v>1</v>
      </c>
    </row>
    <row r="98" spans="1:8" x14ac:dyDescent="0.25">
      <c r="A98" s="25" t="s">
        <v>253</v>
      </c>
      <c r="B98" s="25">
        <v>1</v>
      </c>
      <c r="C98" s="102" t="s">
        <v>255</v>
      </c>
      <c r="D98" s="10">
        <v>2515</v>
      </c>
      <c r="E98" s="10">
        <v>7</v>
      </c>
      <c r="F98" s="10">
        <v>7</v>
      </c>
      <c r="G98" s="34" t="s">
        <v>679</v>
      </c>
      <c r="H98" s="25">
        <v>1</v>
      </c>
    </row>
    <row r="99" spans="1:8" x14ac:dyDescent="0.25">
      <c r="A99" s="26"/>
      <c r="B99" s="25">
        <v>1</v>
      </c>
      <c r="C99" s="102" t="s">
        <v>256</v>
      </c>
      <c r="D99" s="10">
        <v>2526</v>
      </c>
      <c r="E99" s="10">
        <v>3</v>
      </c>
      <c r="F99" s="10">
        <v>0</v>
      </c>
      <c r="G99" s="34" t="s">
        <v>679</v>
      </c>
      <c r="H99" s="25">
        <v>1</v>
      </c>
    </row>
    <row r="100" spans="1:8" x14ac:dyDescent="0.25">
      <c r="A100" s="26"/>
      <c r="B100" s="25">
        <v>1</v>
      </c>
      <c r="C100" s="102" t="s">
        <v>257</v>
      </c>
      <c r="D100" s="10">
        <v>2519</v>
      </c>
      <c r="E100" s="10">
        <v>3</v>
      </c>
      <c r="F100" s="10">
        <v>0</v>
      </c>
      <c r="G100" s="34" t="s">
        <v>679</v>
      </c>
      <c r="H100" s="25">
        <v>1</v>
      </c>
    </row>
    <row r="101" spans="1:8" x14ac:dyDescent="0.25">
      <c r="A101" s="26"/>
      <c r="B101" s="25">
        <v>1</v>
      </c>
      <c r="C101" s="102" t="s">
        <v>258</v>
      </c>
      <c r="D101" s="10">
        <v>2508</v>
      </c>
      <c r="E101" s="10">
        <v>9</v>
      </c>
      <c r="F101" s="10">
        <v>0</v>
      </c>
      <c r="G101" s="34" t="s">
        <v>679</v>
      </c>
      <c r="H101" s="25">
        <v>1</v>
      </c>
    </row>
    <row r="102" spans="1:8" x14ac:dyDescent="0.25">
      <c r="A102" s="26"/>
      <c r="B102" s="25">
        <v>1</v>
      </c>
      <c r="C102" s="102" t="s">
        <v>259</v>
      </c>
      <c r="D102" s="10">
        <v>2526</v>
      </c>
      <c r="E102" s="10">
        <v>4</v>
      </c>
      <c r="F102" s="10">
        <v>0</v>
      </c>
      <c r="G102" s="34" t="s">
        <v>679</v>
      </c>
      <c r="H102" s="25">
        <v>1</v>
      </c>
    </row>
    <row r="103" spans="1:8" x14ac:dyDescent="0.25">
      <c r="A103" s="26"/>
      <c r="B103" s="25">
        <v>1</v>
      </c>
      <c r="C103" s="102" t="s">
        <v>260</v>
      </c>
      <c r="D103" s="10">
        <v>2502</v>
      </c>
      <c r="E103" s="10">
        <v>5</v>
      </c>
      <c r="F103" s="10">
        <v>0</v>
      </c>
      <c r="G103" s="34" t="s">
        <v>679</v>
      </c>
      <c r="H103" s="25">
        <v>1</v>
      </c>
    </row>
    <row r="104" spans="1:8" x14ac:dyDescent="0.25">
      <c r="A104" s="26"/>
      <c r="B104" s="25">
        <v>1</v>
      </c>
      <c r="C104" s="102" t="s">
        <v>261</v>
      </c>
      <c r="D104" s="10">
        <v>2526</v>
      </c>
      <c r="E104" s="10">
        <v>4</v>
      </c>
      <c r="F104" s="10">
        <v>4</v>
      </c>
      <c r="G104" s="34" t="s">
        <v>679</v>
      </c>
      <c r="H104" s="25">
        <v>1</v>
      </c>
    </row>
    <row r="105" spans="1:8" x14ac:dyDescent="0.25">
      <c r="A105" s="26"/>
      <c r="B105" s="25">
        <v>1</v>
      </c>
      <c r="C105" s="102" t="s">
        <v>262</v>
      </c>
      <c r="D105" s="10">
        <v>2517</v>
      </c>
      <c r="E105" s="10">
        <v>7</v>
      </c>
      <c r="F105" s="10">
        <v>4</v>
      </c>
      <c r="G105" s="34" t="s">
        <v>679</v>
      </c>
      <c r="H105" s="25">
        <v>1</v>
      </c>
    </row>
    <row r="107" spans="1:8" x14ac:dyDescent="0.25">
      <c r="A107" s="31" t="s">
        <v>263</v>
      </c>
      <c r="B107" s="25">
        <f>SUM(B108:B111)</f>
        <v>4</v>
      </c>
      <c r="C107" s="32" t="s">
        <v>35</v>
      </c>
      <c r="D107" s="32" t="s">
        <v>35</v>
      </c>
      <c r="E107" s="30">
        <f>SUM(E108:E111)</f>
        <v>34</v>
      </c>
      <c r="F107" s="30">
        <f>SUM(F108:F111)</f>
        <v>21</v>
      </c>
      <c r="G107" s="34" t="s">
        <v>679</v>
      </c>
      <c r="H107" s="25">
        <v>1</v>
      </c>
    </row>
    <row r="108" spans="1:8" x14ac:dyDescent="0.25">
      <c r="A108" s="25" t="s">
        <v>264</v>
      </c>
      <c r="B108" s="25">
        <v>1</v>
      </c>
      <c r="C108" s="102" t="s">
        <v>265</v>
      </c>
      <c r="D108" s="10">
        <v>2261</v>
      </c>
      <c r="E108" s="10">
        <v>10</v>
      </c>
      <c r="F108" s="10">
        <v>0</v>
      </c>
      <c r="G108" s="34" t="s">
        <v>679</v>
      </c>
      <c r="H108" s="25">
        <v>1</v>
      </c>
    </row>
    <row r="109" spans="1:8" x14ac:dyDescent="0.25">
      <c r="A109" s="26"/>
      <c r="B109" s="25">
        <v>1</v>
      </c>
      <c r="C109" s="102" t="s">
        <v>266</v>
      </c>
      <c r="D109" s="10">
        <v>2259</v>
      </c>
      <c r="E109" s="10">
        <v>7</v>
      </c>
      <c r="F109" s="10">
        <v>0</v>
      </c>
      <c r="G109" s="34" t="s">
        <v>679</v>
      </c>
      <c r="H109" s="25">
        <v>1</v>
      </c>
    </row>
    <row r="110" spans="1:8" x14ac:dyDescent="0.25">
      <c r="A110" s="26"/>
      <c r="B110" s="25">
        <v>1</v>
      </c>
      <c r="C110" s="102" t="s">
        <v>267</v>
      </c>
      <c r="D110" s="10">
        <v>2261</v>
      </c>
      <c r="E110" s="10">
        <v>8</v>
      </c>
      <c r="F110" s="10">
        <v>10</v>
      </c>
      <c r="G110" s="34" t="s">
        <v>679</v>
      </c>
      <c r="H110" s="25">
        <v>1</v>
      </c>
    </row>
    <row r="111" spans="1:8" x14ac:dyDescent="0.25">
      <c r="A111" s="26"/>
      <c r="B111" s="25">
        <v>1</v>
      </c>
      <c r="C111" s="102" t="s">
        <v>268</v>
      </c>
      <c r="D111" s="10">
        <v>2259</v>
      </c>
      <c r="E111" s="10">
        <v>9</v>
      </c>
      <c r="F111" s="10">
        <v>11</v>
      </c>
      <c r="G111" s="34" t="s">
        <v>679</v>
      </c>
      <c r="H111" s="25">
        <v>1</v>
      </c>
    </row>
    <row r="113" spans="1:8" x14ac:dyDescent="0.25">
      <c r="A113" s="31" t="s">
        <v>269</v>
      </c>
      <c r="B113" s="25">
        <f>SUM(B114:B117)</f>
        <v>4</v>
      </c>
      <c r="C113" s="32" t="s">
        <v>35</v>
      </c>
      <c r="D113" s="32" t="s">
        <v>35</v>
      </c>
      <c r="E113" s="30">
        <f>SUM(E114:E117)</f>
        <v>29</v>
      </c>
      <c r="F113" s="30">
        <f>SUM(F114:F117)</f>
        <v>20</v>
      </c>
      <c r="G113" s="34" t="s">
        <v>678</v>
      </c>
      <c r="H113" s="25">
        <v>1</v>
      </c>
    </row>
    <row r="114" spans="1:8" x14ac:dyDescent="0.25">
      <c r="A114" s="25" t="s">
        <v>270</v>
      </c>
      <c r="B114" s="25">
        <v>1</v>
      </c>
      <c r="C114" s="102" t="s">
        <v>271</v>
      </c>
      <c r="D114" s="10">
        <v>2550</v>
      </c>
      <c r="E114" s="10">
        <v>16</v>
      </c>
      <c r="F114" s="10">
        <v>20</v>
      </c>
      <c r="G114" s="34" t="s">
        <v>678</v>
      </c>
      <c r="H114" s="25">
        <v>1</v>
      </c>
    </row>
    <row r="115" spans="1:8" x14ac:dyDescent="0.25">
      <c r="A115" s="26"/>
      <c r="B115" s="25">
        <v>1</v>
      </c>
      <c r="C115" s="102" t="s">
        <v>272</v>
      </c>
      <c r="D115" s="10">
        <v>2580</v>
      </c>
      <c r="E115" s="10">
        <v>3</v>
      </c>
      <c r="F115" s="10">
        <v>0</v>
      </c>
      <c r="G115" s="34" t="s">
        <v>678</v>
      </c>
      <c r="H115" s="25">
        <v>1</v>
      </c>
    </row>
    <row r="116" spans="1:8" x14ac:dyDescent="0.25">
      <c r="A116" s="26"/>
      <c r="B116" s="25">
        <v>1</v>
      </c>
      <c r="C116" s="102" t="s">
        <v>273</v>
      </c>
      <c r="D116" s="10">
        <v>2580</v>
      </c>
      <c r="E116" s="10">
        <v>5</v>
      </c>
      <c r="F116" s="10">
        <v>0</v>
      </c>
      <c r="G116" s="34" t="s">
        <v>678</v>
      </c>
      <c r="H116" s="25">
        <v>1</v>
      </c>
    </row>
    <row r="117" spans="1:8" x14ac:dyDescent="0.25">
      <c r="A117" s="26"/>
      <c r="B117" s="25">
        <v>1</v>
      </c>
      <c r="C117" s="102" t="s">
        <v>274</v>
      </c>
      <c r="D117" s="10">
        <v>2550</v>
      </c>
      <c r="E117" s="10">
        <v>5</v>
      </c>
      <c r="F117" s="10">
        <v>0</v>
      </c>
      <c r="G117" s="34" t="s">
        <v>678</v>
      </c>
      <c r="H117" s="25">
        <v>1</v>
      </c>
    </row>
    <row r="119" spans="1:8" x14ac:dyDescent="0.25">
      <c r="A119" s="31" t="s">
        <v>275</v>
      </c>
      <c r="B119" s="25">
        <f>SUM(B120:B120)</f>
        <v>1</v>
      </c>
      <c r="C119" s="32" t="s">
        <v>35</v>
      </c>
      <c r="D119" s="32" t="s">
        <v>35</v>
      </c>
      <c r="E119" s="30">
        <f>SUM(E120:E120)</f>
        <v>8</v>
      </c>
      <c r="F119" s="30">
        <f>SUM(F120:F120)</f>
        <v>10</v>
      </c>
      <c r="G119" s="34" t="s">
        <v>678</v>
      </c>
      <c r="H119" s="25">
        <v>1</v>
      </c>
    </row>
    <row r="120" spans="1:8" x14ac:dyDescent="0.25">
      <c r="A120" s="25" t="s">
        <v>279</v>
      </c>
      <c r="B120" s="25">
        <v>1</v>
      </c>
      <c r="C120" s="102" t="s">
        <v>276</v>
      </c>
      <c r="D120" s="10">
        <v>3644</v>
      </c>
      <c r="E120" s="10">
        <v>8</v>
      </c>
      <c r="F120" s="10">
        <v>10</v>
      </c>
      <c r="G120" s="34" t="s">
        <v>678</v>
      </c>
      <c r="H120" s="25">
        <v>1</v>
      </c>
    </row>
    <row r="122" spans="1:8" x14ac:dyDescent="0.25">
      <c r="A122" s="31" t="s">
        <v>277</v>
      </c>
      <c r="B122" s="25">
        <f>SUM(B123:B126)</f>
        <v>4</v>
      </c>
      <c r="C122" s="32" t="s">
        <v>35</v>
      </c>
      <c r="D122" s="32" t="s">
        <v>35</v>
      </c>
      <c r="E122" s="30">
        <f>SUM(E123:E126)</f>
        <v>39</v>
      </c>
      <c r="F122" s="30">
        <f>SUM(F123:F126)</f>
        <v>30</v>
      </c>
      <c r="G122" s="34" t="s">
        <v>675</v>
      </c>
      <c r="H122" s="25">
        <v>1</v>
      </c>
    </row>
    <row r="123" spans="1:8" x14ac:dyDescent="0.25">
      <c r="A123" s="25" t="s">
        <v>278</v>
      </c>
      <c r="B123" s="25">
        <v>1</v>
      </c>
      <c r="C123" s="102" t="s">
        <v>280</v>
      </c>
      <c r="D123" s="10">
        <v>2176</v>
      </c>
      <c r="E123" s="10">
        <v>11</v>
      </c>
      <c r="F123" s="10">
        <v>15</v>
      </c>
      <c r="G123" s="34" t="s">
        <v>675</v>
      </c>
      <c r="H123" s="25">
        <v>1</v>
      </c>
    </row>
    <row r="124" spans="1:8" x14ac:dyDescent="0.25">
      <c r="A124" s="26"/>
      <c r="B124" s="25">
        <v>1</v>
      </c>
      <c r="C124" s="102" t="s">
        <v>281</v>
      </c>
      <c r="D124" s="10">
        <v>2170</v>
      </c>
      <c r="E124" s="10">
        <v>11</v>
      </c>
      <c r="F124" s="10">
        <v>0</v>
      </c>
      <c r="G124" s="34" t="s">
        <v>675</v>
      </c>
      <c r="H124" s="25">
        <v>1</v>
      </c>
    </row>
    <row r="125" spans="1:8" x14ac:dyDescent="0.25">
      <c r="A125" s="26"/>
      <c r="B125" s="25">
        <v>1</v>
      </c>
      <c r="C125" s="102" t="s">
        <v>282</v>
      </c>
      <c r="D125" s="10">
        <v>2163</v>
      </c>
      <c r="E125" s="10">
        <v>12</v>
      </c>
      <c r="F125" s="10">
        <v>15</v>
      </c>
      <c r="G125" s="34" t="s">
        <v>675</v>
      </c>
      <c r="H125" s="25">
        <v>1</v>
      </c>
    </row>
    <row r="126" spans="1:8" x14ac:dyDescent="0.25">
      <c r="A126" s="26"/>
      <c r="B126" s="25">
        <v>1</v>
      </c>
      <c r="C126" s="102" t="s">
        <v>283</v>
      </c>
      <c r="D126" s="10">
        <v>2164</v>
      </c>
      <c r="E126" s="10">
        <v>5</v>
      </c>
      <c r="F126" s="10">
        <v>0</v>
      </c>
      <c r="G126" s="34" t="s">
        <v>675</v>
      </c>
      <c r="H126" s="25">
        <v>1</v>
      </c>
    </row>
    <row r="128" spans="1:8" x14ac:dyDescent="0.25">
      <c r="A128" s="31" t="s">
        <v>284</v>
      </c>
      <c r="B128" s="25">
        <f>SUM(B129:B133)</f>
        <v>5</v>
      </c>
      <c r="C128" s="32" t="s">
        <v>35</v>
      </c>
      <c r="D128" s="32" t="s">
        <v>35</v>
      </c>
      <c r="E128" s="30">
        <f>SUM(E129:E133)</f>
        <v>27</v>
      </c>
      <c r="F128" s="30">
        <f>SUM(F129:F133)</f>
        <v>15</v>
      </c>
      <c r="G128" s="34" t="s">
        <v>678</v>
      </c>
      <c r="H128" s="25">
        <v>1</v>
      </c>
    </row>
    <row r="129" spans="1:8" x14ac:dyDescent="0.25">
      <c r="A129" s="25" t="s">
        <v>285</v>
      </c>
      <c r="B129" s="25">
        <v>1</v>
      </c>
      <c r="C129" s="102" t="s">
        <v>286</v>
      </c>
      <c r="D129" s="10">
        <v>2540</v>
      </c>
      <c r="E129" s="10">
        <v>10</v>
      </c>
      <c r="F129" s="10">
        <v>0</v>
      </c>
      <c r="G129" s="34" t="s">
        <v>678</v>
      </c>
      <c r="H129" s="25">
        <v>1</v>
      </c>
    </row>
    <row r="130" spans="1:8" x14ac:dyDescent="0.25">
      <c r="A130" s="26"/>
      <c r="B130" s="25">
        <v>1</v>
      </c>
      <c r="C130" s="102" t="s">
        <v>287</v>
      </c>
      <c r="D130" s="10">
        <v>2540</v>
      </c>
      <c r="E130" s="10">
        <v>7</v>
      </c>
      <c r="F130" s="10">
        <v>9</v>
      </c>
      <c r="G130" s="34" t="s">
        <v>678</v>
      </c>
      <c r="H130" s="25">
        <v>1</v>
      </c>
    </row>
    <row r="131" spans="1:8" x14ac:dyDescent="0.25">
      <c r="A131" s="26"/>
      <c r="B131" s="25">
        <v>1</v>
      </c>
      <c r="C131" s="102" t="s">
        <v>288</v>
      </c>
      <c r="D131" s="10">
        <v>2533</v>
      </c>
      <c r="E131" s="10">
        <v>3</v>
      </c>
      <c r="F131" s="10">
        <v>0</v>
      </c>
      <c r="G131" s="34" t="s">
        <v>678</v>
      </c>
      <c r="H131" s="25">
        <v>1</v>
      </c>
    </row>
    <row r="132" spans="1:8" x14ac:dyDescent="0.25">
      <c r="A132" s="26"/>
      <c r="B132" s="25">
        <v>1</v>
      </c>
      <c r="C132" s="102" t="s">
        <v>289</v>
      </c>
      <c r="D132" s="10">
        <v>2537</v>
      </c>
      <c r="E132" s="10">
        <v>2</v>
      </c>
      <c r="F132" s="10">
        <v>6</v>
      </c>
      <c r="G132" s="34" t="s">
        <v>678</v>
      </c>
      <c r="H132" s="25">
        <v>1</v>
      </c>
    </row>
    <row r="133" spans="1:8" x14ac:dyDescent="0.25">
      <c r="A133" s="26"/>
      <c r="B133" s="25">
        <v>1</v>
      </c>
      <c r="C133" s="102" t="s">
        <v>290</v>
      </c>
      <c r="D133" s="10">
        <v>2541</v>
      </c>
      <c r="E133" s="10">
        <v>5</v>
      </c>
      <c r="F133" s="10">
        <v>0</v>
      </c>
      <c r="G133" s="34" t="s">
        <v>678</v>
      </c>
      <c r="H133" s="25">
        <v>1</v>
      </c>
    </row>
    <row r="135" spans="1:8" x14ac:dyDescent="0.25">
      <c r="A135" s="31" t="s">
        <v>291</v>
      </c>
      <c r="B135" s="25">
        <f>SUM(B136:B145)</f>
        <v>10</v>
      </c>
      <c r="C135" s="32" t="s">
        <v>35</v>
      </c>
      <c r="D135" s="32" t="s">
        <v>35</v>
      </c>
      <c r="E135" s="30">
        <f>SUM(E136:E145)</f>
        <v>115</v>
      </c>
      <c r="F135" s="30">
        <f>SUM(F136:F145)</f>
        <v>34</v>
      </c>
      <c r="G135" s="34" t="s">
        <v>672</v>
      </c>
      <c r="H135" s="25">
        <v>1</v>
      </c>
    </row>
    <row r="136" spans="1:8" x14ac:dyDescent="0.25">
      <c r="A136" s="25" t="s">
        <v>292</v>
      </c>
      <c r="B136" s="25">
        <v>1</v>
      </c>
      <c r="C136" s="102" t="s">
        <v>293</v>
      </c>
      <c r="D136" s="10">
        <v>2038</v>
      </c>
      <c r="E136" s="10">
        <v>17</v>
      </c>
      <c r="F136" s="10">
        <v>0</v>
      </c>
      <c r="G136" s="34" t="s">
        <v>672</v>
      </c>
      <c r="H136" s="25">
        <v>1</v>
      </c>
    </row>
    <row r="137" spans="1:8" x14ac:dyDescent="0.25">
      <c r="A137" s="26"/>
      <c r="B137" s="25">
        <v>1</v>
      </c>
      <c r="C137" s="102" t="s">
        <v>294</v>
      </c>
      <c r="D137" s="10">
        <v>2131</v>
      </c>
      <c r="E137" s="10">
        <v>11</v>
      </c>
      <c r="F137" s="10">
        <v>15</v>
      </c>
      <c r="G137" s="34" t="s">
        <v>672</v>
      </c>
      <c r="H137" s="25">
        <v>1</v>
      </c>
    </row>
    <row r="138" spans="1:8" x14ac:dyDescent="0.25">
      <c r="A138" s="26"/>
      <c r="B138" s="25">
        <v>1</v>
      </c>
      <c r="C138" s="102" t="s">
        <v>295</v>
      </c>
      <c r="D138" s="10">
        <v>2193</v>
      </c>
      <c r="E138" s="10">
        <v>12</v>
      </c>
      <c r="F138" s="10">
        <v>0</v>
      </c>
      <c r="G138" s="34" t="s">
        <v>672</v>
      </c>
      <c r="H138" s="25">
        <v>1</v>
      </c>
    </row>
    <row r="139" spans="1:8" x14ac:dyDescent="0.25">
      <c r="A139" s="26"/>
      <c r="B139" s="25">
        <v>1</v>
      </c>
      <c r="C139" s="102" t="s">
        <v>296</v>
      </c>
      <c r="D139" s="10">
        <v>2133</v>
      </c>
      <c r="E139" s="10">
        <v>14</v>
      </c>
      <c r="F139" s="10">
        <v>0</v>
      </c>
      <c r="G139" s="34" t="s">
        <v>672</v>
      </c>
      <c r="H139" s="25">
        <v>1</v>
      </c>
    </row>
    <row r="140" spans="1:8" x14ac:dyDescent="0.25">
      <c r="A140" s="26"/>
      <c r="B140" s="25">
        <v>1</v>
      </c>
      <c r="C140" s="102" t="s">
        <v>297</v>
      </c>
      <c r="D140" s="10">
        <v>2203</v>
      </c>
      <c r="E140" s="10">
        <v>3</v>
      </c>
      <c r="F140" s="10">
        <v>0</v>
      </c>
      <c r="G140" s="34" t="s">
        <v>672</v>
      </c>
      <c r="H140" s="25">
        <v>1</v>
      </c>
    </row>
    <row r="141" spans="1:8" x14ac:dyDescent="0.25">
      <c r="A141" s="26"/>
      <c r="B141" s="25">
        <v>1</v>
      </c>
      <c r="C141" s="102" t="s">
        <v>298</v>
      </c>
      <c r="D141" s="10">
        <v>2045</v>
      </c>
      <c r="E141" s="10">
        <v>9</v>
      </c>
      <c r="F141" s="10">
        <v>0</v>
      </c>
      <c r="G141" s="34" t="s">
        <v>672</v>
      </c>
      <c r="H141" s="25">
        <v>1</v>
      </c>
    </row>
    <row r="142" spans="1:8" x14ac:dyDescent="0.25">
      <c r="A142" s="26"/>
      <c r="B142" s="25">
        <v>1</v>
      </c>
      <c r="C142" s="102" t="s">
        <v>299</v>
      </c>
      <c r="D142" s="10">
        <v>2049</v>
      </c>
      <c r="E142" s="10">
        <v>9</v>
      </c>
      <c r="F142" s="10">
        <v>0</v>
      </c>
      <c r="G142" s="34" t="s">
        <v>672</v>
      </c>
      <c r="H142" s="25">
        <v>1</v>
      </c>
    </row>
    <row r="143" spans="1:8" x14ac:dyDescent="0.25">
      <c r="A143" s="26"/>
      <c r="B143" s="25">
        <v>1</v>
      </c>
      <c r="C143" s="102" t="s">
        <v>300</v>
      </c>
      <c r="D143" s="10">
        <v>2204</v>
      </c>
      <c r="E143" s="10">
        <v>23</v>
      </c>
      <c r="F143" s="10">
        <v>0</v>
      </c>
      <c r="G143" s="34" t="s">
        <v>672</v>
      </c>
      <c r="H143" s="25">
        <v>1</v>
      </c>
    </row>
    <row r="144" spans="1:8" x14ac:dyDescent="0.25">
      <c r="A144" s="26"/>
      <c r="B144" s="25">
        <v>1</v>
      </c>
      <c r="C144" s="102" t="s">
        <v>21</v>
      </c>
      <c r="D144" s="10">
        <v>2042</v>
      </c>
      <c r="E144" s="10">
        <v>3</v>
      </c>
      <c r="F144" s="10">
        <v>0</v>
      </c>
      <c r="G144" s="34" t="s">
        <v>672</v>
      </c>
      <c r="H144" s="25">
        <v>1</v>
      </c>
    </row>
    <row r="145" spans="1:8" x14ac:dyDescent="0.25">
      <c r="A145" s="26"/>
      <c r="B145" s="25">
        <v>1</v>
      </c>
      <c r="C145" s="102" t="s">
        <v>301</v>
      </c>
      <c r="D145" s="10">
        <v>2048</v>
      </c>
      <c r="E145" s="10">
        <v>14</v>
      </c>
      <c r="F145" s="10">
        <v>19</v>
      </c>
      <c r="G145" s="34" t="s">
        <v>672</v>
      </c>
      <c r="H145" s="25">
        <v>1</v>
      </c>
    </row>
    <row r="147" spans="1:8" x14ac:dyDescent="0.25">
      <c r="A147" s="31" t="s">
        <v>302</v>
      </c>
      <c r="B147" s="25">
        <f>SUM(B148:B155)</f>
        <v>8</v>
      </c>
      <c r="C147" s="32" t="s">
        <v>35</v>
      </c>
      <c r="D147" s="32" t="s">
        <v>35</v>
      </c>
      <c r="E147" s="30">
        <f>SUM(E148:E155)</f>
        <v>72</v>
      </c>
      <c r="F147" s="30">
        <f>SUM(F148:F155)</f>
        <v>16</v>
      </c>
      <c r="G147" s="34" t="s">
        <v>675</v>
      </c>
      <c r="H147" s="25">
        <v>1</v>
      </c>
    </row>
    <row r="148" spans="1:8" x14ac:dyDescent="0.25">
      <c r="A148" s="25" t="s">
        <v>303</v>
      </c>
      <c r="B148" s="25">
        <v>1</v>
      </c>
      <c r="C148" s="102" t="s">
        <v>304</v>
      </c>
      <c r="D148" s="10">
        <v>2148</v>
      </c>
      <c r="E148" s="10">
        <v>6</v>
      </c>
      <c r="F148" s="10">
        <v>0</v>
      </c>
      <c r="G148" s="34" t="s">
        <v>675</v>
      </c>
      <c r="H148" s="25">
        <v>1</v>
      </c>
    </row>
    <row r="149" spans="1:8" x14ac:dyDescent="0.25">
      <c r="A149" s="26"/>
      <c r="B149" s="25">
        <v>1</v>
      </c>
      <c r="C149" s="102" t="s">
        <v>305</v>
      </c>
      <c r="D149" s="10">
        <v>2768</v>
      </c>
      <c r="E149" s="10">
        <v>10</v>
      </c>
      <c r="F149" s="10">
        <v>9</v>
      </c>
      <c r="G149" s="34" t="s">
        <v>675</v>
      </c>
      <c r="H149" s="25">
        <v>1</v>
      </c>
    </row>
    <row r="150" spans="1:8" x14ac:dyDescent="0.25">
      <c r="A150" s="26"/>
      <c r="B150" s="25">
        <v>1</v>
      </c>
      <c r="C150" s="102" t="s">
        <v>306</v>
      </c>
      <c r="D150" s="10">
        <v>2147</v>
      </c>
      <c r="E150" s="10">
        <v>4</v>
      </c>
      <c r="F150" s="10">
        <v>0</v>
      </c>
      <c r="G150" s="34" t="s">
        <v>675</v>
      </c>
      <c r="H150" s="25">
        <v>1</v>
      </c>
    </row>
    <row r="151" spans="1:8" x14ac:dyDescent="0.25">
      <c r="A151" s="26"/>
      <c r="B151" s="25">
        <v>1</v>
      </c>
      <c r="C151" s="102" t="s">
        <v>307</v>
      </c>
      <c r="D151" s="10">
        <v>2765</v>
      </c>
      <c r="E151" s="10">
        <v>6</v>
      </c>
      <c r="F151" s="10">
        <v>0</v>
      </c>
      <c r="G151" s="34" t="s">
        <v>675</v>
      </c>
      <c r="H151" s="25">
        <v>1</v>
      </c>
    </row>
    <row r="152" spans="1:8" x14ac:dyDescent="0.25">
      <c r="A152" s="26"/>
      <c r="B152" s="25">
        <v>1</v>
      </c>
      <c r="C152" s="102" t="s">
        <v>308</v>
      </c>
      <c r="D152" s="10">
        <v>2763</v>
      </c>
      <c r="E152" s="10">
        <v>17</v>
      </c>
      <c r="F152" s="10">
        <v>0</v>
      </c>
      <c r="G152" s="34" t="s">
        <v>675</v>
      </c>
      <c r="H152" s="25">
        <v>1</v>
      </c>
    </row>
    <row r="153" spans="1:8" x14ac:dyDescent="0.25">
      <c r="A153" s="26"/>
      <c r="B153" s="25">
        <v>1</v>
      </c>
      <c r="C153" s="102" t="s">
        <v>309</v>
      </c>
      <c r="D153" s="10">
        <v>2762</v>
      </c>
      <c r="E153" s="10">
        <v>6</v>
      </c>
      <c r="F153" s="10">
        <v>0</v>
      </c>
      <c r="G153" s="34" t="s">
        <v>675</v>
      </c>
      <c r="H153" s="25">
        <v>1</v>
      </c>
    </row>
    <row r="154" spans="1:8" x14ac:dyDescent="0.25">
      <c r="A154" s="26"/>
      <c r="B154" s="25">
        <v>1</v>
      </c>
      <c r="C154" s="102" t="s">
        <v>310</v>
      </c>
      <c r="D154" s="10">
        <v>2147</v>
      </c>
      <c r="E154" s="10">
        <v>20</v>
      </c>
      <c r="F154" s="10">
        <v>7</v>
      </c>
      <c r="G154" s="34" t="s">
        <v>675</v>
      </c>
      <c r="H154" s="25">
        <v>1</v>
      </c>
    </row>
    <row r="155" spans="1:8" x14ac:dyDescent="0.25">
      <c r="A155" s="26"/>
      <c r="B155" s="25">
        <v>1</v>
      </c>
      <c r="C155" s="102" t="s">
        <v>311</v>
      </c>
      <c r="D155" s="10">
        <v>2768</v>
      </c>
      <c r="E155" s="10">
        <v>3</v>
      </c>
      <c r="F155" s="10">
        <v>0</v>
      </c>
      <c r="G155" s="34" t="s">
        <v>675</v>
      </c>
      <c r="H155" s="25">
        <v>1</v>
      </c>
    </row>
    <row r="157" spans="1:8" x14ac:dyDescent="0.25">
      <c r="A157" s="31" t="s">
        <v>312</v>
      </c>
      <c r="B157" s="25">
        <f>SUM(B158:B164)</f>
        <v>7</v>
      </c>
      <c r="C157" s="32" t="s">
        <v>35</v>
      </c>
      <c r="D157" s="32" t="s">
        <v>35</v>
      </c>
      <c r="E157" s="30">
        <f>SUM(E158:E164)</f>
        <v>44</v>
      </c>
      <c r="F157" s="30">
        <f>SUM(F158:F164)</f>
        <v>0</v>
      </c>
      <c r="G157" s="34" t="s">
        <v>675</v>
      </c>
      <c r="H157" s="25">
        <v>1</v>
      </c>
    </row>
    <row r="158" spans="1:8" x14ac:dyDescent="0.25">
      <c r="A158" s="25" t="s">
        <v>313</v>
      </c>
      <c r="B158" s="25">
        <v>1</v>
      </c>
      <c r="C158" s="102" t="s">
        <v>314</v>
      </c>
      <c r="D158" s="10">
        <v>2234</v>
      </c>
      <c r="E158" s="10">
        <v>4</v>
      </c>
      <c r="F158" s="10">
        <v>0</v>
      </c>
      <c r="G158" s="34" t="s">
        <v>675</v>
      </c>
      <c r="H158" s="25">
        <v>1</v>
      </c>
    </row>
    <row r="159" spans="1:8" x14ac:dyDescent="0.25">
      <c r="A159" s="26"/>
      <c r="B159" s="25">
        <v>1</v>
      </c>
      <c r="C159" s="102" t="s">
        <v>315</v>
      </c>
      <c r="D159" s="10">
        <v>2234</v>
      </c>
      <c r="E159" s="10">
        <v>4</v>
      </c>
      <c r="F159" s="10">
        <v>0</v>
      </c>
      <c r="G159" s="34" t="s">
        <v>675</v>
      </c>
      <c r="H159" s="25">
        <v>1</v>
      </c>
    </row>
    <row r="160" spans="1:8" x14ac:dyDescent="0.25">
      <c r="A160" s="26"/>
      <c r="B160" s="25">
        <v>1</v>
      </c>
      <c r="C160" s="102" t="s">
        <v>316</v>
      </c>
      <c r="D160" s="10">
        <v>2234</v>
      </c>
      <c r="E160" s="10">
        <v>9</v>
      </c>
      <c r="F160" s="10">
        <v>0</v>
      </c>
      <c r="G160" s="34" t="s">
        <v>675</v>
      </c>
      <c r="H160" s="25">
        <v>1</v>
      </c>
    </row>
    <row r="161" spans="1:8" x14ac:dyDescent="0.25">
      <c r="A161" s="26"/>
      <c r="B161" s="25">
        <v>1</v>
      </c>
      <c r="C161" s="102" t="s">
        <v>317</v>
      </c>
      <c r="D161" s="10">
        <v>2233</v>
      </c>
      <c r="E161" s="10">
        <v>4</v>
      </c>
      <c r="F161" s="10">
        <v>0</v>
      </c>
      <c r="G161" s="34" t="s">
        <v>675</v>
      </c>
      <c r="H161" s="25">
        <v>1</v>
      </c>
    </row>
    <row r="162" spans="1:8" x14ac:dyDescent="0.25">
      <c r="A162" s="26"/>
      <c r="B162" s="25">
        <v>1</v>
      </c>
      <c r="C162" s="102" t="s">
        <v>318</v>
      </c>
      <c r="D162" s="10">
        <v>2234</v>
      </c>
      <c r="E162" s="10">
        <v>7</v>
      </c>
      <c r="F162" s="10">
        <v>0</v>
      </c>
      <c r="G162" s="34" t="s">
        <v>675</v>
      </c>
      <c r="H162" s="25">
        <v>1</v>
      </c>
    </row>
    <row r="163" spans="1:8" x14ac:dyDescent="0.25">
      <c r="A163" s="26"/>
      <c r="B163" s="25">
        <v>1</v>
      </c>
      <c r="C163" s="102" t="s">
        <v>319</v>
      </c>
      <c r="D163" s="10">
        <v>2232</v>
      </c>
      <c r="E163" s="10">
        <v>11</v>
      </c>
      <c r="F163" s="10">
        <v>0</v>
      </c>
      <c r="G163" s="34" t="s">
        <v>675</v>
      </c>
      <c r="H163" s="25">
        <v>1</v>
      </c>
    </row>
    <row r="164" spans="1:8" x14ac:dyDescent="0.25">
      <c r="A164" s="26"/>
      <c r="B164" s="25">
        <v>1</v>
      </c>
      <c r="C164" s="102" t="s">
        <v>320</v>
      </c>
      <c r="D164" s="10">
        <v>2564</v>
      </c>
      <c r="E164" s="10">
        <v>5</v>
      </c>
      <c r="F164" s="10">
        <v>0</v>
      </c>
      <c r="G164" s="34" t="s">
        <v>675</v>
      </c>
      <c r="H164" s="25">
        <v>1</v>
      </c>
    </row>
    <row r="166" spans="1:8" x14ac:dyDescent="0.25">
      <c r="A166" s="31" t="s">
        <v>321</v>
      </c>
      <c r="B166" s="25">
        <f>SUM(B167:B175)</f>
        <v>9</v>
      </c>
      <c r="C166" s="32" t="s">
        <v>35</v>
      </c>
      <c r="D166" s="32" t="s">
        <v>35</v>
      </c>
      <c r="E166" s="30">
        <f>SUM(E167:E175)</f>
        <v>65</v>
      </c>
      <c r="F166" s="30">
        <f>SUM(F167:F175)</f>
        <v>22</v>
      </c>
      <c r="G166" s="34" t="s">
        <v>675</v>
      </c>
      <c r="H166" s="25">
        <v>1</v>
      </c>
    </row>
    <row r="167" spans="1:8" x14ac:dyDescent="0.25">
      <c r="A167" s="25" t="s">
        <v>322</v>
      </c>
      <c r="B167" s="25">
        <v>1</v>
      </c>
      <c r="C167" s="102" t="s">
        <v>323</v>
      </c>
      <c r="D167" s="10">
        <v>2560</v>
      </c>
      <c r="E167" s="10">
        <v>5</v>
      </c>
      <c r="F167" s="10">
        <v>0</v>
      </c>
      <c r="G167" s="34" t="s">
        <v>675</v>
      </c>
      <c r="H167" s="25">
        <v>1</v>
      </c>
    </row>
    <row r="168" spans="1:8" x14ac:dyDescent="0.25">
      <c r="A168" s="26"/>
      <c r="B168" s="25">
        <v>1</v>
      </c>
      <c r="C168" s="102" t="s">
        <v>324</v>
      </c>
      <c r="D168" s="10">
        <v>2567</v>
      </c>
      <c r="E168" s="10">
        <v>12</v>
      </c>
      <c r="F168" s="10">
        <v>16</v>
      </c>
      <c r="G168" s="34" t="s">
        <v>675</v>
      </c>
      <c r="H168" s="25">
        <v>1</v>
      </c>
    </row>
    <row r="169" spans="1:8" x14ac:dyDescent="0.25">
      <c r="A169" s="26"/>
      <c r="B169" s="25">
        <v>1</v>
      </c>
      <c r="C169" s="102" t="s">
        <v>325</v>
      </c>
      <c r="D169" s="10">
        <v>2567</v>
      </c>
      <c r="E169" s="10">
        <v>12</v>
      </c>
      <c r="F169" s="10">
        <v>0</v>
      </c>
      <c r="G169" s="34" t="s">
        <v>675</v>
      </c>
      <c r="H169" s="25">
        <v>1</v>
      </c>
    </row>
    <row r="170" spans="1:8" x14ac:dyDescent="0.25">
      <c r="A170" s="26"/>
      <c r="B170" s="25">
        <v>1</v>
      </c>
      <c r="C170" s="102" t="s">
        <v>326</v>
      </c>
      <c r="D170" s="10">
        <v>2567</v>
      </c>
      <c r="E170" s="10">
        <v>11</v>
      </c>
      <c r="F170" s="10">
        <v>0</v>
      </c>
      <c r="G170" s="34" t="s">
        <v>675</v>
      </c>
      <c r="H170" s="25">
        <v>1</v>
      </c>
    </row>
    <row r="171" spans="1:8" x14ac:dyDescent="0.25">
      <c r="A171" s="26"/>
      <c r="B171" s="25">
        <v>1</v>
      </c>
      <c r="C171" s="102" t="s">
        <v>327</v>
      </c>
      <c r="D171" s="10">
        <v>2571</v>
      </c>
      <c r="E171" s="10">
        <v>6</v>
      </c>
      <c r="F171" s="10">
        <v>0</v>
      </c>
      <c r="G171" s="34" t="s">
        <v>675</v>
      </c>
      <c r="H171" s="25">
        <v>1</v>
      </c>
    </row>
    <row r="172" spans="1:8" x14ac:dyDescent="0.25">
      <c r="A172" s="26"/>
      <c r="B172" s="25">
        <v>1</v>
      </c>
      <c r="C172" s="102" t="s">
        <v>328</v>
      </c>
      <c r="D172" s="10">
        <v>2570</v>
      </c>
      <c r="E172" s="10">
        <v>4</v>
      </c>
      <c r="F172" s="10">
        <v>0</v>
      </c>
      <c r="G172" s="34" t="s">
        <v>675</v>
      </c>
      <c r="H172" s="25">
        <v>1</v>
      </c>
    </row>
    <row r="173" spans="1:8" x14ac:dyDescent="0.25">
      <c r="A173" s="26"/>
      <c r="B173" s="25">
        <v>1</v>
      </c>
      <c r="C173" s="102" t="s">
        <v>329</v>
      </c>
      <c r="D173" s="10">
        <v>2570</v>
      </c>
      <c r="E173" s="10">
        <v>7</v>
      </c>
      <c r="F173" s="10">
        <v>0</v>
      </c>
      <c r="G173" s="34" t="s">
        <v>675</v>
      </c>
      <c r="H173" s="25">
        <v>1</v>
      </c>
    </row>
    <row r="174" spans="1:8" x14ac:dyDescent="0.25">
      <c r="A174" s="26"/>
      <c r="B174" s="25">
        <v>1</v>
      </c>
      <c r="C174" s="102" t="s">
        <v>330</v>
      </c>
      <c r="D174" s="10">
        <v>2745</v>
      </c>
      <c r="E174" s="10">
        <v>1</v>
      </c>
      <c r="F174" s="10">
        <v>6</v>
      </c>
      <c r="G174" s="34" t="s">
        <v>675</v>
      </c>
      <c r="H174" s="25">
        <v>1</v>
      </c>
    </row>
    <row r="175" spans="1:8" x14ac:dyDescent="0.25">
      <c r="A175" s="26"/>
      <c r="B175" s="25">
        <v>1</v>
      </c>
      <c r="C175" s="102" t="s">
        <v>331</v>
      </c>
      <c r="D175" s="10">
        <v>2571</v>
      </c>
      <c r="E175" s="10">
        <v>7</v>
      </c>
      <c r="F175" s="10">
        <v>0</v>
      </c>
      <c r="G175" s="34" t="s">
        <v>675</v>
      </c>
      <c r="H175" s="25">
        <v>1</v>
      </c>
    </row>
    <row r="177" spans="1:8" x14ac:dyDescent="0.25">
      <c r="A177" s="31" t="s">
        <v>332</v>
      </c>
      <c r="B177" s="25">
        <f>SUM(B178:B191)</f>
        <v>14</v>
      </c>
      <c r="C177" s="32" t="s">
        <v>35</v>
      </c>
      <c r="D177" s="32" t="s">
        <v>35</v>
      </c>
      <c r="E177" s="30">
        <f>SUM(E178:E191)</f>
        <v>71</v>
      </c>
      <c r="F177" s="30">
        <f>SUM(F178:F191)</f>
        <v>21</v>
      </c>
      <c r="G177" s="34" t="s">
        <v>678</v>
      </c>
      <c r="H177" s="25">
        <v>1</v>
      </c>
    </row>
    <row r="178" spans="1:8" x14ac:dyDescent="0.25">
      <c r="A178" s="25" t="s">
        <v>333</v>
      </c>
      <c r="B178" s="25">
        <v>1</v>
      </c>
      <c r="C178" s="102" t="s">
        <v>334</v>
      </c>
      <c r="D178" s="10">
        <v>2278</v>
      </c>
      <c r="E178" s="10">
        <v>10</v>
      </c>
      <c r="F178" s="10">
        <v>0</v>
      </c>
      <c r="G178" s="34" t="s">
        <v>678</v>
      </c>
      <c r="H178" s="25">
        <v>1</v>
      </c>
    </row>
    <row r="179" spans="1:8" x14ac:dyDescent="0.25">
      <c r="A179" s="26"/>
      <c r="B179" s="25">
        <v>1</v>
      </c>
      <c r="C179" s="102" t="s">
        <v>335</v>
      </c>
      <c r="D179" s="10">
        <v>2330</v>
      </c>
      <c r="E179" s="10">
        <v>5</v>
      </c>
      <c r="F179" s="10">
        <v>7</v>
      </c>
      <c r="G179" s="34" t="s">
        <v>678</v>
      </c>
      <c r="H179" s="25">
        <v>1</v>
      </c>
    </row>
    <row r="180" spans="1:8" x14ac:dyDescent="0.25">
      <c r="A180" s="26"/>
      <c r="B180" s="25">
        <v>1</v>
      </c>
      <c r="C180" s="102" t="s">
        <v>336</v>
      </c>
      <c r="D180" s="10">
        <v>2285</v>
      </c>
      <c r="E180" s="10">
        <v>3</v>
      </c>
      <c r="F180" s="10">
        <v>0</v>
      </c>
      <c r="G180" s="34" t="s">
        <v>678</v>
      </c>
      <c r="H180" s="25">
        <v>1</v>
      </c>
    </row>
    <row r="181" spans="1:8" x14ac:dyDescent="0.25">
      <c r="A181" s="26"/>
      <c r="B181" s="25">
        <v>1</v>
      </c>
      <c r="C181" s="102" t="s">
        <v>337</v>
      </c>
      <c r="D181" s="10">
        <v>2325</v>
      </c>
      <c r="E181" s="10">
        <v>4</v>
      </c>
      <c r="F181" s="10">
        <v>0</v>
      </c>
      <c r="G181" s="34" t="s">
        <v>678</v>
      </c>
      <c r="H181" s="25">
        <v>1</v>
      </c>
    </row>
    <row r="182" spans="1:8" x14ac:dyDescent="0.25">
      <c r="A182" s="26"/>
      <c r="B182" s="25">
        <v>1</v>
      </c>
      <c r="C182" s="102" t="s">
        <v>338</v>
      </c>
      <c r="D182" s="10">
        <v>2325</v>
      </c>
      <c r="E182" s="10">
        <v>7</v>
      </c>
      <c r="F182" s="10">
        <v>0</v>
      </c>
      <c r="G182" s="34" t="s">
        <v>678</v>
      </c>
      <c r="H182" s="25">
        <v>1</v>
      </c>
    </row>
    <row r="183" spans="1:8" x14ac:dyDescent="0.25">
      <c r="A183" s="26"/>
      <c r="B183" s="25">
        <v>1</v>
      </c>
      <c r="C183" s="102" t="s">
        <v>339</v>
      </c>
      <c r="D183" s="10">
        <v>2283</v>
      </c>
      <c r="E183" s="10">
        <v>8</v>
      </c>
      <c r="F183" s="10">
        <v>10</v>
      </c>
      <c r="G183" s="34" t="s">
        <v>678</v>
      </c>
      <c r="H183" s="25">
        <v>1</v>
      </c>
    </row>
    <row r="184" spans="1:8" x14ac:dyDescent="0.25">
      <c r="A184" s="26"/>
      <c r="B184" s="25">
        <v>1</v>
      </c>
      <c r="C184" s="102" t="s">
        <v>340</v>
      </c>
      <c r="D184" s="10">
        <v>2325</v>
      </c>
      <c r="E184" s="10">
        <v>4</v>
      </c>
      <c r="F184" s="10">
        <v>0</v>
      </c>
      <c r="G184" s="34" t="s">
        <v>678</v>
      </c>
      <c r="H184" s="25">
        <v>1</v>
      </c>
    </row>
    <row r="185" spans="1:8" x14ac:dyDescent="0.25">
      <c r="A185" s="26"/>
      <c r="B185" s="25">
        <v>1</v>
      </c>
      <c r="C185" s="102" t="s">
        <v>341</v>
      </c>
      <c r="D185" s="10">
        <v>2283</v>
      </c>
      <c r="E185" s="10">
        <v>3</v>
      </c>
      <c r="F185" s="10">
        <v>0</v>
      </c>
      <c r="G185" s="34" t="s">
        <v>678</v>
      </c>
      <c r="H185" s="25">
        <v>1</v>
      </c>
    </row>
    <row r="186" spans="1:8" x14ac:dyDescent="0.25">
      <c r="A186" s="26"/>
      <c r="B186" s="25">
        <v>1</v>
      </c>
      <c r="C186" s="102" t="s">
        <v>342</v>
      </c>
      <c r="D186" s="10">
        <v>2264</v>
      </c>
      <c r="E186" s="10">
        <v>3</v>
      </c>
      <c r="F186" s="10">
        <v>0</v>
      </c>
      <c r="G186" s="34" t="s">
        <v>678</v>
      </c>
      <c r="H186" s="25">
        <v>1</v>
      </c>
    </row>
    <row r="187" spans="1:8" x14ac:dyDescent="0.25">
      <c r="A187" s="26"/>
      <c r="B187" s="25">
        <v>1</v>
      </c>
      <c r="C187" s="102" t="s">
        <v>343</v>
      </c>
      <c r="D187" s="10">
        <v>2323</v>
      </c>
      <c r="E187" s="10">
        <v>6</v>
      </c>
      <c r="F187" s="10">
        <v>0</v>
      </c>
      <c r="G187" s="34" t="s">
        <v>678</v>
      </c>
      <c r="H187" s="25">
        <v>1</v>
      </c>
    </row>
    <row r="188" spans="1:8" x14ac:dyDescent="0.25">
      <c r="A188" s="26"/>
      <c r="B188" s="25">
        <v>1</v>
      </c>
      <c r="C188" s="102" t="s">
        <v>344</v>
      </c>
      <c r="D188" s="10">
        <v>2335</v>
      </c>
      <c r="E188" s="10">
        <v>4</v>
      </c>
      <c r="F188" s="10">
        <v>0</v>
      </c>
      <c r="G188" s="34" t="s">
        <v>678</v>
      </c>
      <c r="H188" s="25">
        <v>1</v>
      </c>
    </row>
    <row r="189" spans="1:8" x14ac:dyDescent="0.25">
      <c r="A189" s="26"/>
      <c r="B189" s="25">
        <v>1</v>
      </c>
      <c r="C189" s="102" t="s">
        <v>345</v>
      </c>
      <c r="D189" s="10">
        <v>2284</v>
      </c>
      <c r="E189" s="10">
        <v>5</v>
      </c>
      <c r="F189" s="10">
        <v>4</v>
      </c>
      <c r="G189" s="34" t="s">
        <v>678</v>
      </c>
      <c r="H189" s="25">
        <v>1</v>
      </c>
    </row>
    <row r="190" spans="1:8" x14ac:dyDescent="0.25">
      <c r="A190" s="26"/>
      <c r="B190" s="25">
        <v>1</v>
      </c>
      <c r="C190" s="102" t="s">
        <v>346</v>
      </c>
      <c r="D190" s="10">
        <v>2284</v>
      </c>
      <c r="E190" s="10">
        <v>3</v>
      </c>
      <c r="F190" s="10">
        <v>0</v>
      </c>
      <c r="G190" s="34" t="s">
        <v>678</v>
      </c>
      <c r="H190" s="25">
        <v>1</v>
      </c>
    </row>
    <row r="191" spans="1:8" x14ac:dyDescent="0.25">
      <c r="A191" s="26"/>
      <c r="B191" s="25">
        <v>1</v>
      </c>
      <c r="C191" s="102" t="s">
        <v>347</v>
      </c>
      <c r="D191" s="10">
        <v>2259</v>
      </c>
      <c r="E191" s="10">
        <v>6</v>
      </c>
      <c r="F191" s="10">
        <v>0</v>
      </c>
      <c r="G191" s="34" t="s">
        <v>678</v>
      </c>
      <c r="H191" s="25">
        <v>1</v>
      </c>
    </row>
    <row r="193" spans="1:8" x14ac:dyDescent="0.25">
      <c r="A193" s="31" t="s">
        <v>348</v>
      </c>
      <c r="B193" s="25">
        <f>SUM(B194:B203)</f>
        <v>10</v>
      </c>
      <c r="C193" s="32" t="s">
        <v>35</v>
      </c>
      <c r="D193" s="32" t="s">
        <v>35</v>
      </c>
      <c r="E193" s="30">
        <f>SUM(E194:E203)</f>
        <v>93</v>
      </c>
      <c r="F193" s="30">
        <f>SUM(F194:F203)</f>
        <v>0</v>
      </c>
      <c r="G193" s="34" t="s">
        <v>672</v>
      </c>
      <c r="H193" s="25">
        <v>1</v>
      </c>
    </row>
    <row r="194" spans="1:8" x14ac:dyDescent="0.25">
      <c r="A194" s="25" t="s">
        <v>349</v>
      </c>
      <c r="B194" s="25">
        <v>1</v>
      </c>
      <c r="C194" s="102" t="s">
        <v>350</v>
      </c>
      <c r="D194" s="10">
        <v>2019</v>
      </c>
      <c r="E194" s="10">
        <v>8</v>
      </c>
      <c r="F194" s="10">
        <v>0</v>
      </c>
      <c r="G194" s="34" t="s">
        <v>672</v>
      </c>
      <c r="H194" s="25">
        <v>1</v>
      </c>
    </row>
    <row r="195" spans="1:8" x14ac:dyDescent="0.25">
      <c r="A195" s="26"/>
      <c r="B195" s="25">
        <v>1</v>
      </c>
      <c r="C195" s="102" t="s">
        <v>351</v>
      </c>
      <c r="D195" s="10">
        <v>2036</v>
      </c>
      <c r="E195" s="10">
        <v>3</v>
      </c>
      <c r="F195" s="10">
        <v>0</v>
      </c>
      <c r="G195" s="34" t="s">
        <v>672</v>
      </c>
      <c r="H195" s="25">
        <v>1</v>
      </c>
    </row>
    <row r="196" spans="1:8" x14ac:dyDescent="0.25">
      <c r="A196" s="26"/>
      <c r="B196" s="25">
        <v>1</v>
      </c>
      <c r="C196" s="102" t="s">
        <v>352</v>
      </c>
      <c r="D196" s="10">
        <v>2034</v>
      </c>
      <c r="E196" s="10">
        <v>3</v>
      </c>
      <c r="F196" s="10">
        <v>0</v>
      </c>
      <c r="G196" s="34" t="s">
        <v>672</v>
      </c>
      <c r="H196" s="25">
        <v>1</v>
      </c>
    </row>
    <row r="197" spans="1:8" x14ac:dyDescent="0.25">
      <c r="A197" s="26"/>
      <c r="B197" s="25">
        <v>1</v>
      </c>
      <c r="C197" s="102" t="s">
        <v>353</v>
      </c>
      <c r="D197" s="10">
        <v>2018</v>
      </c>
      <c r="E197" s="10">
        <v>9</v>
      </c>
      <c r="F197" s="10">
        <v>0</v>
      </c>
      <c r="G197" s="34" t="s">
        <v>672</v>
      </c>
      <c r="H197" s="25">
        <v>1</v>
      </c>
    </row>
    <row r="198" spans="1:8" x14ac:dyDescent="0.25">
      <c r="A198" s="26"/>
      <c r="B198" s="25">
        <v>1</v>
      </c>
      <c r="C198" s="102" t="s">
        <v>354</v>
      </c>
      <c r="D198" s="10">
        <v>2036</v>
      </c>
      <c r="E198" s="10">
        <v>12</v>
      </c>
      <c r="F198" s="10">
        <v>0</v>
      </c>
      <c r="G198" s="34" t="s">
        <v>672</v>
      </c>
      <c r="H198" s="25">
        <v>1</v>
      </c>
    </row>
    <row r="199" spans="1:8" x14ac:dyDescent="0.25">
      <c r="A199" s="26"/>
      <c r="B199" s="25">
        <v>1</v>
      </c>
      <c r="C199" s="102" t="s">
        <v>355</v>
      </c>
      <c r="D199" s="10">
        <v>2035</v>
      </c>
      <c r="E199" s="10">
        <v>11</v>
      </c>
      <c r="F199" s="10">
        <v>0</v>
      </c>
      <c r="G199" s="34" t="s">
        <v>672</v>
      </c>
      <c r="H199" s="25">
        <v>1</v>
      </c>
    </row>
    <row r="200" spans="1:8" x14ac:dyDescent="0.25">
      <c r="A200" s="26"/>
      <c r="B200" s="25">
        <v>1</v>
      </c>
      <c r="C200" s="102" t="s">
        <v>356</v>
      </c>
      <c r="D200" s="10">
        <v>2020</v>
      </c>
      <c r="E200" s="10">
        <v>11</v>
      </c>
      <c r="F200" s="10">
        <v>0</v>
      </c>
      <c r="G200" s="34" t="s">
        <v>672</v>
      </c>
      <c r="H200" s="25">
        <v>1</v>
      </c>
    </row>
    <row r="201" spans="1:8" x14ac:dyDescent="0.25">
      <c r="A201" s="26"/>
      <c r="B201" s="25">
        <v>1</v>
      </c>
      <c r="C201" s="102" t="s">
        <v>357</v>
      </c>
      <c r="D201" s="10">
        <v>2036</v>
      </c>
      <c r="E201" s="10">
        <v>13</v>
      </c>
      <c r="F201" s="10">
        <v>0</v>
      </c>
      <c r="G201" s="34" t="s">
        <v>672</v>
      </c>
      <c r="H201" s="25">
        <v>1</v>
      </c>
    </row>
    <row r="202" spans="1:8" x14ac:dyDescent="0.25">
      <c r="A202" s="26"/>
      <c r="B202" s="25">
        <v>1</v>
      </c>
      <c r="C202" s="102" t="s">
        <v>358</v>
      </c>
      <c r="D202" s="10">
        <v>2036</v>
      </c>
      <c r="E202" s="10">
        <v>11</v>
      </c>
      <c r="F202" s="10">
        <v>0</v>
      </c>
      <c r="G202" s="34" t="s">
        <v>672</v>
      </c>
      <c r="H202" s="25">
        <v>1</v>
      </c>
    </row>
    <row r="203" spans="1:8" x14ac:dyDescent="0.25">
      <c r="A203" s="26"/>
      <c r="B203" s="25">
        <v>1</v>
      </c>
      <c r="C203" s="102" t="s">
        <v>359</v>
      </c>
      <c r="D203" s="10">
        <v>2034</v>
      </c>
      <c r="E203" s="10">
        <v>12</v>
      </c>
      <c r="F203" s="10">
        <v>0</v>
      </c>
      <c r="G203" s="34" t="s">
        <v>672</v>
      </c>
      <c r="H203" s="25">
        <v>1</v>
      </c>
    </row>
    <row r="205" spans="1:8" x14ac:dyDescent="0.25">
      <c r="A205" s="31" t="s">
        <v>360</v>
      </c>
      <c r="B205" s="25">
        <f>SUM(B206:B217)</f>
        <v>12</v>
      </c>
      <c r="C205" s="32" t="s">
        <v>35</v>
      </c>
      <c r="D205" s="32" t="s">
        <v>35</v>
      </c>
      <c r="E205" s="30">
        <f>SUM(E206:E217)</f>
        <v>99</v>
      </c>
      <c r="F205" s="30">
        <f>SUM(F206:F217)</f>
        <v>45</v>
      </c>
      <c r="G205" s="34" t="s">
        <v>675</v>
      </c>
      <c r="H205" s="25">
        <v>1</v>
      </c>
    </row>
    <row r="206" spans="1:8" x14ac:dyDescent="0.25">
      <c r="A206" s="25" t="s">
        <v>361</v>
      </c>
      <c r="B206" s="25">
        <v>1</v>
      </c>
      <c r="C206" s="102" t="s">
        <v>362</v>
      </c>
      <c r="D206" s="10">
        <v>2747</v>
      </c>
      <c r="E206" s="10">
        <v>12</v>
      </c>
      <c r="F206" s="10">
        <v>16</v>
      </c>
      <c r="G206" s="34" t="s">
        <v>675</v>
      </c>
      <c r="H206" s="25">
        <v>1</v>
      </c>
    </row>
    <row r="207" spans="1:8" x14ac:dyDescent="0.25">
      <c r="A207" s="26"/>
      <c r="B207" s="25">
        <v>1</v>
      </c>
      <c r="C207" s="102" t="s">
        <v>363</v>
      </c>
      <c r="D207" s="10">
        <v>2747</v>
      </c>
      <c r="E207" s="10">
        <v>6</v>
      </c>
      <c r="F207" s="10">
        <v>0</v>
      </c>
      <c r="G207" s="34" t="s">
        <v>675</v>
      </c>
      <c r="H207" s="25">
        <v>1</v>
      </c>
    </row>
    <row r="208" spans="1:8" x14ac:dyDescent="0.25">
      <c r="A208" s="26"/>
      <c r="B208" s="25">
        <v>1</v>
      </c>
      <c r="C208" s="102" t="s">
        <v>364</v>
      </c>
      <c r="D208" s="10">
        <v>2749</v>
      </c>
      <c r="E208" s="10">
        <v>10</v>
      </c>
      <c r="F208" s="10">
        <v>12</v>
      </c>
      <c r="G208" s="34" t="s">
        <v>675</v>
      </c>
      <c r="H208" s="25">
        <v>1</v>
      </c>
    </row>
    <row r="209" spans="1:8" x14ac:dyDescent="0.25">
      <c r="A209" s="26"/>
      <c r="B209" s="25">
        <v>1</v>
      </c>
      <c r="C209" s="102" t="s">
        <v>365</v>
      </c>
      <c r="D209" s="10">
        <v>2747</v>
      </c>
      <c r="E209" s="10">
        <v>9</v>
      </c>
      <c r="F209" s="10">
        <v>0</v>
      </c>
      <c r="G209" s="34" t="s">
        <v>675</v>
      </c>
      <c r="H209" s="25">
        <v>1</v>
      </c>
    </row>
    <row r="210" spans="1:8" x14ac:dyDescent="0.25">
      <c r="A210" s="26"/>
      <c r="B210" s="25">
        <v>1</v>
      </c>
      <c r="C210" s="102" t="s">
        <v>366</v>
      </c>
      <c r="D210" s="10">
        <v>2760</v>
      </c>
      <c r="E210" s="10">
        <v>9</v>
      </c>
      <c r="F210" s="10">
        <v>0</v>
      </c>
      <c r="G210" s="34" t="s">
        <v>675</v>
      </c>
      <c r="H210" s="25">
        <v>1</v>
      </c>
    </row>
    <row r="211" spans="1:8" x14ac:dyDescent="0.25">
      <c r="A211" s="26"/>
      <c r="B211" s="25">
        <v>1</v>
      </c>
      <c r="C211" s="102" t="s">
        <v>367</v>
      </c>
      <c r="D211" s="10">
        <v>2749</v>
      </c>
      <c r="E211" s="10">
        <v>13</v>
      </c>
      <c r="F211" s="10">
        <v>17</v>
      </c>
      <c r="G211" s="34" t="s">
        <v>675</v>
      </c>
      <c r="H211" s="25">
        <v>1</v>
      </c>
    </row>
    <row r="212" spans="1:8" x14ac:dyDescent="0.25">
      <c r="A212" s="26"/>
      <c r="B212" s="25">
        <v>1</v>
      </c>
      <c r="C212" s="102" t="s">
        <v>368</v>
      </c>
      <c r="D212" s="10">
        <v>2745</v>
      </c>
      <c r="E212" s="10">
        <v>11</v>
      </c>
      <c r="F212" s="10">
        <v>0</v>
      </c>
      <c r="G212" s="34" t="s">
        <v>675</v>
      </c>
      <c r="H212" s="25">
        <v>1</v>
      </c>
    </row>
    <row r="213" spans="1:8" x14ac:dyDescent="0.25">
      <c r="A213" s="26"/>
      <c r="B213" s="25">
        <v>1</v>
      </c>
      <c r="C213" s="102" t="s">
        <v>369</v>
      </c>
      <c r="D213" s="10">
        <v>2750</v>
      </c>
      <c r="E213" s="10">
        <v>9</v>
      </c>
      <c r="F213" s="10">
        <v>0</v>
      </c>
      <c r="G213" s="34" t="s">
        <v>675</v>
      </c>
      <c r="H213" s="25">
        <v>1</v>
      </c>
    </row>
    <row r="214" spans="1:8" x14ac:dyDescent="0.25">
      <c r="A214" s="26"/>
      <c r="B214" s="25">
        <v>1</v>
      </c>
      <c r="C214" s="102" t="s">
        <v>370</v>
      </c>
      <c r="D214" s="10">
        <v>2753</v>
      </c>
      <c r="E214" s="10">
        <v>5</v>
      </c>
      <c r="F214" s="10">
        <v>0</v>
      </c>
      <c r="G214" s="34" t="s">
        <v>675</v>
      </c>
      <c r="H214" s="25">
        <v>1</v>
      </c>
    </row>
    <row r="215" spans="1:8" x14ac:dyDescent="0.25">
      <c r="A215" s="26"/>
      <c r="B215" s="25">
        <v>1</v>
      </c>
      <c r="C215" s="102" t="s">
        <v>371</v>
      </c>
      <c r="D215" s="10">
        <v>2750</v>
      </c>
      <c r="E215" s="10">
        <v>4</v>
      </c>
      <c r="F215" s="10">
        <v>0</v>
      </c>
      <c r="G215" s="34" t="s">
        <v>675</v>
      </c>
      <c r="H215" s="25">
        <v>1</v>
      </c>
    </row>
    <row r="216" spans="1:8" x14ac:dyDescent="0.25">
      <c r="A216" s="26"/>
      <c r="B216" s="25">
        <v>1</v>
      </c>
      <c r="C216" s="102" t="s">
        <v>372</v>
      </c>
      <c r="D216" s="10">
        <v>2760</v>
      </c>
      <c r="E216" s="10">
        <v>6</v>
      </c>
      <c r="F216" s="10">
        <v>0</v>
      </c>
      <c r="G216" s="34" t="s">
        <v>675</v>
      </c>
      <c r="H216" s="25">
        <v>1</v>
      </c>
    </row>
    <row r="217" spans="1:8" x14ac:dyDescent="0.25">
      <c r="A217" s="26"/>
      <c r="B217" s="25">
        <v>1</v>
      </c>
      <c r="C217" s="102" t="s">
        <v>373</v>
      </c>
      <c r="D217" s="10">
        <v>2747</v>
      </c>
      <c r="E217" s="10">
        <v>5</v>
      </c>
      <c r="F217" s="10">
        <v>0</v>
      </c>
      <c r="G217" s="34" t="s">
        <v>675</v>
      </c>
      <c r="H217" s="25">
        <v>1</v>
      </c>
    </row>
    <row r="219" spans="1:8" x14ac:dyDescent="0.25">
      <c r="A219" s="31" t="s">
        <v>374</v>
      </c>
      <c r="B219" s="25">
        <f>SUM(B220:B223)</f>
        <v>4</v>
      </c>
      <c r="C219" s="32" t="s">
        <v>35</v>
      </c>
      <c r="D219" s="32" t="s">
        <v>35</v>
      </c>
      <c r="E219" s="30">
        <f>SUM(E220:E223)</f>
        <v>16</v>
      </c>
      <c r="F219" s="30">
        <f>SUM(F220:F223)</f>
        <v>0</v>
      </c>
      <c r="G219" s="34" t="s">
        <v>678</v>
      </c>
      <c r="H219" s="25">
        <v>1</v>
      </c>
    </row>
    <row r="220" spans="1:8" x14ac:dyDescent="0.25">
      <c r="A220" s="25" t="s">
        <v>375</v>
      </c>
      <c r="B220" s="25">
        <v>1</v>
      </c>
      <c r="C220" s="102" t="s">
        <v>376</v>
      </c>
      <c r="D220" s="10">
        <v>2320</v>
      </c>
      <c r="E220" s="10">
        <v>4</v>
      </c>
      <c r="F220" s="10">
        <v>0</v>
      </c>
      <c r="G220" s="34" t="s">
        <v>678</v>
      </c>
      <c r="H220" s="25">
        <v>1</v>
      </c>
    </row>
    <row r="221" spans="1:8" x14ac:dyDescent="0.25">
      <c r="A221" s="26"/>
      <c r="B221" s="25">
        <v>1</v>
      </c>
      <c r="C221" s="102" t="s">
        <v>377</v>
      </c>
      <c r="D221" s="10">
        <v>2320</v>
      </c>
      <c r="E221" s="10">
        <v>5</v>
      </c>
      <c r="F221" s="10">
        <v>0</v>
      </c>
      <c r="G221" s="34" t="s">
        <v>678</v>
      </c>
      <c r="H221" s="25">
        <v>1</v>
      </c>
    </row>
    <row r="222" spans="1:8" x14ac:dyDescent="0.25">
      <c r="A222" s="26"/>
      <c r="B222" s="25">
        <v>1</v>
      </c>
      <c r="C222" s="102" t="s">
        <v>378</v>
      </c>
      <c r="D222" s="10">
        <v>2421</v>
      </c>
      <c r="E222" s="10">
        <v>3</v>
      </c>
      <c r="F222" s="10">
        <v>0</v>
      </c>
      <c r="G222" s="34" t="s">
        <v>678</v>
      </c>
      <c r="H222" s="25">
        <v>1</v>
      </c>
    </row>
    <row r="223" spans="1:8" x14ac:dyDescent="0.25">
      <c r="A223" s="26"/>
      <c r="B223" s="25">
        <v>1</v>
      </c>
      <c r="C223" s="102" t="s">
        <v>379</v>
      </c>
      <c r="D223" s="10">
        <v>2324</v>
      </c>
      <c r="E223" s="10">
        <v>4</v>
      </c>
      <c r="F223" s="10">
        <v>0</v>
      </c>
      <c r="G223" s="34" t="s">
        <v>678</v>
      </c>
      <c r="H223" s="25">
        <v>1</v>
      </c>
    </row>
    <row r="225" spans="1:8" x14ac:dyDescent="0.25">
      <c r="A225" s="31" t="s">
        <v>380</v>
      </c>
      <c r="B225" s="25">
        <f>SUM(B226:B229)</f>
        <v>4</v>
      </c>
      <c r="C225" s="32" t="s">
        <v>35</v>
      </c>
      <c r="D225" s="32" t="s">
        <v>35</v>
      </c>
      <c r="E225" s="30">
        <f>SUM(E226:E229)</f>
        <v>36</v>
      </c>
      <c r="F225" s="30">
        <f>SUM(F226:F229)</f>
        <v>0</v>
      </c>
      <c r="G225" s="34" t="s">
        <v>675</v>
      </c>
      <c r="H225" s="25">
        <v>1</v>
      </c>
    </row>
    <row r="226" spans="1:8" x14ac:dyDescent="0.25">
      <c r="A226" s="25" t="s">
        <v>381</v>
      </c>
      <c r="B226" s="25">
        <v>1</v>
      </c>
      <c r="C226" s="102" t="s">
        <v>382</v>
      </c>
      <c r="D226" s="10">
        <v>2567</v>
      </c>
      <c r="E226" s="10">
        <v>7</v>
      </c>
      <c r="F226" s="10">
        <v>0</v>
      </c>
      <c r="G226" s="34" t="s">
        <v>675</v>
      </c>
      <c r="H226" s="25">
        <v>1</v>
      </c>
    </row>
    <row r="227" spans="1:8" x14ac:dyDescent="0.25">
      <c r="A227" s="26"/>
      <c r="B227" s="25">
        <v>1</v>
      </c>
      <c r="C227" s="102" t="s">
        <v>383</v>
      </c>
      <c r="D227" s="10">
        <v>2557</v>
      </c>
      <c r="E227" s="10">
        <v>12</v>
      </c>
      <c r="F227" s="10">
        <v>0</v>
      </c>
      <c r="G227" s="34" t="s">
        <v>675</v>
      </c>
      <c r="H227" s="25">
        <v>1</v>
      </c>
    </row>
    <row r="228" spans="1:8" x14ac:dyDescent="0.25">
      <c r="A228" s="26"/>
      <c r="B228" s="25">
        <v>1</v>
      </c>
      <c r="C228" s="102" t="s">
        <v>384</v>
      </c>
      <c r="D228" s="10">
        <v>2560</v>
      </c>
      <c r="E228" s="10">
        <v>5</v>
      </c>
      <c r="F228" s="10">
        <v>0</v>
      </c>
      <c r="G228" s="34" t="s">
        <v>675</v>
      </c>
      <c r="H228" s="25">
        <v>1</v>
      </c>
    </row>
    <row r="229" spans="1:8" x14ac:dyDescent="0.25">
      <c r="A229" s="26"/>
      <c r="B229" s="25">
        <v>1</v>
      </c>
      <c r="C229" s="102" t="s">
        <v>385</v>
      </c>
      <c r="D229" s="10">
        <v>2566</v>
      </c>
      <c r="E229" s="10">
        <v>12</v>
      </c>
      <c r="F229" s="10">
        <v>0</v>
      </c>
      <c r="G229" s="34" t="s">
        <v>675</v>
      </c>
      <c r="H229" s="25">
        <v>1</v>
      </c>
    </row>
    <row r="232" spans="1:8" x14ac:dyDescent="0.25">
      <c r="A232" s="31" t="s">
        <v>386</v>
      </c>
      <c r="B232" s="25">
        <f>SUM(B233:B238)</f>
        <v>6</v>
      </c>
      <c r="C232" s="32" t="s">
        <v>35</v>
      </c>
      <c r="D232" s="32" t="s">
        <v>35</v>
      </c>
      <c r="E232" s="30">
        <f>SUM(E233:E238)</f>
        <v>45</v>
      </c>
      <c r="F232" s="30">
        <f>SUM(F233:F238)</f>
        <v>10</v>
      </c>
      <c r="G232" s="34" t="s">
        <v>672</v>
      </c>
      <c r="H232" s="25">
        <v>1</v>
      </c>
    </row>
    <row r="233" spans="1:8" x14ac:dyDescent="0.25">
      <c r="A233" s="25" t="s">
        <v>387</v>
      </c>
      <c r="B233" s="25">
        <v>1</v>
      </c>
      <c r="C233" s="102" t="s">
        <v>388</v>
      </c>
      <c r="D233" s="10">
        <v>2085</v>
      </c>
      <c r="E233" s="10">
        <v>6</v>
      </c>
      <c r="F233" s="10">
        <v>0</v>
      </c>
      <c r="G233" s="34" t="s">
        <v>672</v>
      </c>
      <c r="H233" s="25">
        <v>1</v>
      </c>
    </row>
    <row r="234" spans="1:8" x14ac:dyDescent="0.25">
      <c r="A234" s="26"/>
      <c r="B234" s="25">
        <v>1</v>
      </c>
      <c r="C234" s="102" t="s">
        <v>389</v>
      </c>
      <c r="D234" s="10">
        <v>2107</v>
      </c>
      <c r="E234" s="10">
        <v>10</v>
      </c>
      <c r="F234" s="10">
        <v>0</v>
      </c>
      <c r="G234" s="34" t="s">
        <v>672</v>
      </c>
      <c r="H234" s="25">
        <v>1</v>
      </c>
    </row>
    <row r="235" spans="1:8" x14ac:dyDescent="0.25">
      <c r="A235" s="26"/>
      <c r="B235" s="25">
        <v>1</v>
      </c>
      <c r="C235" s="102" t="s">
        <v>390</v>
      </c>
      <c r="D235" s="10">
        <v>2099</v>
      </c>
      <c r="E235" s="10">
        <v>11</v>
      </c>
      <c r="F235" s="10">
        <v>0</v>
      </c>
      <c r="G235" s="34" t="s">
        <v>672</v>
      </c>
      <c r="H235" s="25">
        <v>1</v>
      </c>
    </row>
    <row r="236" spans="1:8" x14ac:dyDescent="0.25">
      <c r="A236" s="26"/>
      <c r="B236" s="25">
        <v>1</v>
      </c>
      <c r="C236" s="102" t="s">
        <v>391</v>
      </c>
      <c r="D236" s="10">
        <v>2101</v>
      </c>
      <c r="E236" s="10">
        <v>5</v>
      </c>
      <c r="F236" s="10">
        <v>0</v>
      </c>
      <c r="G236" s="34" t="s">
        <v>672</v>
      </c>
      <c r="H236" s="25">
        <v>1</v>
      </c>
    </row>
    <row r="237" spans="1:8" x14ac:dyDescent="0.25">
      <c r="A237" s="26"/>
      <c r="B237" s="25">
        <v>1</v>
      </c>
      <c r="C237" s="102" t="s">
        <v>392</v>
      </c>
      <c r="D237" s="10">
        <v>2106</v>
      </c>
      <c r="E237" s="10">
        <v>5</v>
      </c>
      <c r="F237" s="10">
        <v>0</v>
      </c>
      <c r="G237" s="34" t="s">
        <v>672</v>
      </c>
      <c r="H237" s="25">
        <v>1</v>
      </c>
    </row>
    <row r="238" spans="1:8" x14ac:dyDescent="0.25">
      <c r="A238" s="26"/>
      <c r="B238" s="25">
        <v>1</v>
      </c>
      <c r="C238" s="102" t="s">
        <v>393</v>
      </c>
      <c r="D238" s="10">
        <v>2108</v>
      </c>
      <c r="E238" s="10">
        <v>8</v>
      </c>
      <c r="F238" s="10">
        <v>10</v>
      </c>
      <c r="G238" s="34" t="s">
        <v>672</v>
      </c>
      <c r="H238" s="25">
        <v>1</v>
      </c>
    </row>
    <row r="240" spans="1:8" x14ac:dyDescent="0.25">
      <c r="A240" s="31" t="s">
        <v>394</v>
      </c>
      <c r="B240" s="25">
        <f>SUM(B241:B252)</f>
        <v>12</v>
      </c>
      <c r="C240" s="32" t="s">
        <v>35</v>
      </c>
      <c r="D240" s="32" t="s">
        <v>35</v>
      </c>
      <c r="E240" s="30">
        <f>SUM(E241:E252)</f>
        <v>74</v>
      </c>
      <c r="F240" s="30">
        <f>SUM(F241:F252)</f>
        <v>15</v>
      </c>
      <c r="G240" s="34" t="s">
        <v>679</v>
      </c>
      <c r="H240" s="25">
        <v>1</v>
      </c>
    </row>
    <row r="241" spans="1:8" x14ac:dyDescent="0.25">
      <c r="A241" s="25" t="s">
        <v>395</v>
      </c>
      <c r="B241" s="25">
        <v>1</v>
      </c>
      <c r="C241" s="102" t="s">
        <v>396</v>
      </c>
      <c r="D241" s="10">
        <v>2774</v>
      </c>
      <c r="E241" s="10">
        <v>11</v>
      </c>
      <c r="F241" s="10">
        <v>0</v>
      </c>
      <c r="G241" s="34" t="s">
        <v>679</v>
      </c>
      <c r="H241" s="25">
        <v>1</v>
      </c>
    </row>
    <row r="242" spans="1:8" x14ac:dyDescent="0.25">
      <c r="A242" s="26"/>
      <c r="B242" s="25">
        <v>1</v>
      </c>
      <c r="C242" s="102" t="s">
        <v>397</v>
      </c>
      <c r="D242" s="10">
        <v>2750</v>
      </c>
      <c r="E242" s="10">
        <v>5</v>
      </c>
      <c r="F242" s="10">
        <v>0</v>
      </c>
      <c r="G242" s="34" t="s">
        <v>679</v>
      </c>
      <c r="H242" s="25">
        <v>1</v>
      </c>
    </row>
    <row r="243" spans="1:8" x14ac:dyDescent="0.25">
      <c r="A243" s="26"/>
      <c r="B243" s="25">
        <v>1</v>
      </c>
      <c r="C243" s="102" t="s">
        <v>398</v>
      </c>
      <c r="D243" s="10">
        <v>2780</v>
      </c>
      <c r="E243" s="10">
        <v>8</v>
      </c>
      <c r="F243" s="10">
        <v>0</v>
      </c>
      <c r="G243" s="34" t="s">
        <v>679</v>
      </c>
      <c r="H243" s="25">
        <v>1</v>
      </c>
    </row>
    <row r="244" spans="1:8" x14ac:dyDescent="0.25">
      <c r="A244" s="26"/>
      <c r="B244" s="25">
        <v>1</v>
      </c>
      <c r="C244" s="102" t="s">
        <v>399</v>
      </c>
      <c r="D244" s="10">
        <v>2758</v>
      </c>
      <c r="E244" s="10">
        <v>7</v>
      </c>
      <c r="F244" s="10">
        <v>0</v>
      </c>
      <c r="G244" s="34" t="s">
        <v>679</v>
      </c>
      <c r="H244" s="25">
        <v>1</v>
      </c>
    </row>
    <row r="245" spans="1:8" x14ac:dyDescent="0.25">
      <c r="A245" s="26"/>
      <c r="B245" s="25">
        <v>1</v>
      </c>
      <c r="C245" s="102" t="s">
        <v>400</v>
      </c>
      <c r="D245" s="10">
        <v>2783</v>
      </c>
      <c r="E245" s="10">
        <v>5</v>
      </c>
      <c r="F245" s="10">
        <v>0</v>
      </c>
      <c r="G245" s="34" t="s">
        <v>679</v>
      </c>
      <c r="H245" s="25">
        <v>1</v>
      </c>
    </row>
    <row r="246" spans="1:8" x14ac:dyDescent="0.25">
      <c r="A246" s="26"/>
      <c r="B246" s="25">
        <v>1</v>
      </c>
      <c r="C246" s="102" t="s">
        <v>401</v>
      </c>
      <c r="D246" s="10">
        <v>2750</v>
      </c>
      <c r="E246" s="10">
        <v>4</v>
      </c>
      <c r="F246" s="10">
        <v>0</v>
      </c>
      <c r="G246" s="34" t="s">
        <v>679</v>
      </c>
      <c r="H246" s="25">
        <v>1</v>
      </c>
    </row>
    <row r="247" spans="1:8" x14ac:dyDescent="0.25">
      <c r="A247" s="26"/>
      <c r="B247" s="25">
        <v>1</v>
      </c>
      <c r="C247" s="102" t="s">
        <v>402</v>
      </c>
      <c r="D247" s="10">
        <v>2774</v>
      </c>
      <c r="E247" s="10">
        <v>7</v>
      </c>
      <c r="F247" s="10">
        <v>0</v>
      </c>
      <c r="G247" s="34" t="s">
        <v>679</v>
      </c>
      <c r="H247" s="25">
        <v>1</v>
      </c>
    </row>
    <row r="248" spans="1:8" x14ac:dyDescent="0.25">
      <c r="A248" s="26"/>
      <c r="B248" s="25">
        <v>1</v>
      </c>
      <c r="C248" s="102" t="s">
        <v>403</v>
      </c>
      <c r="D248" s="10">
        <v>2754</v>
      </c>
      <c r="E248" s="10">
        <v>0</v>
      </c>
      <c r="F248" s="10">
        <v>6</v>
      </c>
      <c r="G248" s="34" t="s">
        <v>679</v>
      </c>
      <c r="H248" s="25">
        <v>1</v>
      </c>
    </row>
    <row r="249" spans="1:8" x14ac:dyDescent="0.25">
      <c r="A249" s="26"/>
      <c r="B249" s="25">
        <v>1</v>
      </c>
      <c r="C249" s="102" t="s">
        <v>404</v>
      </c>
      <c r="D249" s="10">
        <v>2753</v>
      </c>
      <c r="E249" s="10">
        <v>10</v>
      </c>
      <c r="F249" s="10">
        <v>9</v>
      </c>
      <c r="G249" s="34" t="s">
        <v>679</v>
      </c>
      <c r="H249" s="25">
        <v>1</v>
      </c>
    </row>
    <row r="250" spans="1:8" x14ac:dyDescent="0.25">
      <c r="A250" s="26"/>
      <c r="B250" s="25">
        <v>1</v>
      </c>
      <c r="C250" s="102" t="s">
        <v>405</v>
      </c>
      <c r="D250" s="10">
        <v>2756</v>
      </c>
      <c r="E250" s="10">
        <v>7</v>
      </c>
      <c r="F250" s="10">
        <v>0</v>
      </c>
      <c r="G250" s="34" t="s">
        <v>679</v>
      </c>
      <c r="H250" s="25">
        <v>1</v>
      </c>
    </row>
    <row r="251" spans="1:8" x14ac:dyDescent="0.25">
      <c r="A251" s="26"/>
      <c r="B251" s="25">
        <v>1</v>
      </c>
      <c r="C251" s="102" t="s">
        <v>406</v>
      </c>
      <c r="D251" s="10">
        <v>2777</v>
      </c>
      <c r="E251" s="10">
        <v>5</v>
      </c>
      <c r="F251" s="10">
        <v>0</v>
      </c>
      <c r="G251" s="34" t="s">
        <v>679</v>
      </c>
      <c r="H251" s="25">
        <v>1</v>
      </c>
    </row>
    <row r="252" spans="1:8" x14ac:dyDescent="0.25">
      <c r="A252" s="26"/>
      <c r="B252" s="25">
        <v>1</v>
      </c>
      <c r="C252" s="102" t="s">
        <v>407</v>
      </c>
      <c r="D252" s="10">
        <v>2756</v>
      </c>
      <c r="E252" s="10">
        <v>5</v>
      </c>
      <c r="F252" s="10">
        <v>0</v>
      </c>
      <c r="G252" s="34" t="s">
        <v>679</v>
      </c>
      <c r="H252" s="25">
        <v>1</v>
      </c>
    </row>
    <row r="254" spans="1:8" x14ac:dyDescent="0.25">
      <c r="A254" s="31" t="s">
        <v>408</v>
      </c>
      <c r="B254" s="25">
        <f>SUM(B255:B259)</f>
        <v>5</v>
      </c>
      <c r="C254" s="32" t="s">
        <v>35</v>
      </c>
      <c r="D254" s="32" t="s">
        <v>35</v>
      </c>
      <c r="E254" s="30">
        <f>SUM(E255:E259)</f>
        <v>50</v>
      </c>
      <c r="F254" s="30">
        <f>SUM(F255:F259)</f>
        <v>16</v>
      </c>
      <c r="G254" s="34" t="s">
        <v>675</v>
      </c>
      <c r="H254" s="25">
        <v>1</v>
      </c>
    </row>
    <row r="255" spans="1:8" x14ac:dyDescent="0.25">
      <c r="A255" s="25" t="s">
        <v>409</v>
      </c>
      <c r="B255" s="25">
        <v>1</v>
      </c>
      <c r="C255" s="102" t="s">
        <v>304</v>
      </c>
      <c r="D255" s="10">
        <v>2148</v>
      </c>
      <c r="E255" s="10">
        <v>10</v>
      </c>
      <c r="F255" s="10">
        <v>0</v>
      </c>
      <c r="G255" s="34" t="s">
        <v>675</v>
      </c>
      <c r="H255" s="25">
        <v>1</v>
      </c>
    </row>
    <row r="256" spans="1:8" x14ac:dyDescent="0.25">
      <c r="A256" s="26"/>
      <c r="B256" s="25">
        <v>1</v>
      </c>
      <c r="C256" s="102" t="s">
        <v>410</v>
      </c>
      <c r="D256" s="10">
        <v>2165</v>
      </c>
      <c r="E256" s="10">
        <v>12</v>
      </c>
      <c r="F256" s="10">
        <v>16</v>
      </c>
      <c r="G256" s="34" t="s">
        <v>675</v>
      </c>
      <c r="H256" s="25">
        <v>1</v>
      </c>
    </row>
    <row r="257" spans="1:8" x14ac:dyDescent="0.25">
      <c r="A257" s="26"/>
      <c r="B257" s="25">
        <v>1</v>
      </c>
      <c r="C257" s="102" t="s">
        <v>411</v>
      </c>
      <c r="D257" s="10">
        <v>2145</v>
      </c>
      <c r="E257" s="10">
        <v>14</v>
      </c>
      <c r="F257" s="10">
        <v>0</v>
      </c>
      <c r="G257" s="34" t="s">
        <v>675</v>
      </c>
      <c r="H257" s="25">
        <v>1</v>
      </c>
    </row>
    <row r="258" spans="1:8" x14ac:dyDescent="0.25">
      <c r="A258" s="26"/>
      <c r="B258" s="25">
        <v>1</v>
      </c>
      <c r="C258" s="102" t="s">
        <v>412</v>
      </c>
      <c r="D258" s="10">
        <v>2175</v>
      </c>
      <c r="E258" s="10">
        <v>8</v>
      </c>
      <c r="F258" s="10">
        <v>0</v>
      </c>
      <c r="G258" s="34" t="s">
        <v>675</v>
      </c>
      <c r="H258" s="25">
        <v>1</v>
      </c>
    </row>
    <row r="259" spans="1:8" x14ac:dyDescent="0.25">
      <c r="A259" s="26"/>
      <c r="B259" s="25">
        <v>1</v>
      </c>
      <c r="C259" s="102" t="s">
        <v>413</v>
      </c>
      <c r="D259" s="10">
        <v>2759</v>
      </c>
      <c r="E259" s="10">
        <v>6</v>
      </c>
      <c r="F259" s="10">
        <v>0</v>
      </c>
      <c r="G259" s="34" t="s">
        <v>675</v>
      </c>
      <c r="H259" s="25">
        <v>1</v>
      </c>
    </row>
    <row r="261" spans="1:8" x14ac:dyDescent="0.25">
      <c r="A261" s="31" t="s">
        <v>414</v>
      </c>
      <c r="B261" s="25">
        <f>SUM(B262:B264)</f>
        <v>3</v>
      </c>
      <c r="C261" s="32" t="s">
        <v>35</v>
      </c>
      <c r="D261" s="32" t="s">
        <v>35</v>
      </c>
      <c r="E261" s="30">
        <f>SUM(E262:E264)</f>
        <v>17</v>
      </c>
      <c r="F261" s="30">
        <f>SUM(F262:F264)</f>
        <v>6</v>
      </c>
      <c r="G261" s="34" t="s">
        <v>675</v>
      </c>
      <c r="H261" s="25">
        <v>1</v>
      </c>
    </row>
    <row r="262" spans="1:8" x14ac:dyDescent="0.25">
      <c r="A262" s="25" t="s">
        <v>415</v>
      </c>
      <c r="B262" s="25">
        <v>1</v>
      </c>
      <c r="C262" s="102" t="s">
        <v>416</v>
      </c>
      <c r="D262" s="10">
        <v>2153</v>
      </c>
      <c r="E262" s="10">
        <v>4</v>
      </c>
      <c r="F262" s="10">
        <v>0</v>
      </c>
      <c r="G262" s="34" t="s">
        <v>675</v>
      </c>
      <c r="H262" s="25">
        <v>1</v>
      </c>
    </row>
    <row r="263" spans="1:8" x14ac:dyDescent="0.25">
      <c r="A263" s="26"/>
      <c r="B263" s="25">
        <v>1</v>
      </c>
      <c r="C263" s="102" t="s">
        <v>417</v>
      </c>
      <c r="D263" s="10">
        <v>2154</v>
      </c>
      <c r="E263" s="10">
        <v>7</v>
      </c>
      <c r="F263" s="10">
        <v>6</v>
      </c>
      <c r="G263" s="34" t="s">
        <v>675</v>
      </c>
      <c r="H263" s="25">
        <v>1</v>
      </c>
    </row>
    <row r="264" spans="1:8" x14ac:dyDescent="0.25">
      <c r="A264" s="26"/>
      <c r="B264" s="25">
        <v>1</v>
      </c>
      <c r="C264" s="102" t="s">
        <v>418</v>
      </c>
      <c r="D264" s="10">
        <v>2155</v>
      </c>
      <c r="E264" s="10">
        <v>6</v>
      </c>
      <c r="F264" s="10">
        <v>0</v>
      </c>
      <c r="G264" s="34" t="s">
        <v>675</v>
      </c>
      <c r="H264" s="25">
        <v>1</v>
      </c>
    </row>
    <row r="266" spans="1:8" x14ac:dyDescent="0.25">
      <c r="A266" s="31" t="s">
        <v>419</v>
      </c>
      <c r="B266" s="25">
        <f>SUM(B267:B273)</f>
        <v>7</v>
      </c>
      <c r="C266" s="32" t="s">
        <v>35</v>
      </c>
      <c r="D266" s="32" t="s">
        <v>35</v>
      </c>
      <c r="E266" s="30">
        <f>SUM(E267:E273)</f>
        <v>36</v>
      </c>
      <c r="F266" s="30">
        <f>SUM(F267:F273)</f>
        <v>30</v>
      </c>
      <c r="G266" s="34" t="s">
        <v>678</v>
      </c>
      <c r="H266" s="25">
        <v>1</v>
      </c>
    </row>
    <row r="267" spans="1:8" x14ac:dyDescent="0.25">
      <c r="A267" s="25" t="s">
        <v>420</v>
      </c>
      <c r="B267" s="25">
        <v>1</v>
      </c>
      <c r="C267" s="102" t="s">
        <v>421</v>
      </c>
      <c r="D267" s="10">
        <v>2350</v>
      </c>
      <c r="E267" s="10">
        <v>4</v>
      </c>
      <c r="F267" s="10">
        <v>0</v>
      </c>
      <c r="G267" s="34" t="s">
        <v>678</v>
      </c>
      <c r="H267" s="25">
        <v>1</v>
      </c>
    </row>
    <row r="268" spans="1:8" x14ac:dyDescent="0.25">
      <c r="A268" s="26"/>
      <c r="B268" s="25">
        <v>1</v>
      </c>
      <c r="C268" s="102" t="s">
        <v>422</v>
      </c>
      <c r="D268" s="10">
        <v>2355</v>
      </c>
      <c r="E268" s="10">
        <v>5</v>
      </c>
      <c r="F268" s="10">
        <v>7</v>
      </c>
      <c r="G268" s="34" t="s">
        <v>678</v>
      </c>
      <c r="H268" s="25">
        <v>1</v>
      </c>
    </row>
    <row r="269" spans="1:8" x14ac:dyDescent="0.25">
      <c r="A269" s="26"/>
      <c r="B269" s="25">
        <v>1</v>
      </c>
      <c r="C269" s="102" t="s">
        <v>423</v>
      </c>
      <c r="D269" s="10">
        <v>2333</v>
      </c>
      <c r="E269" s="10">
        <v>5</v>
      </c>
      <c r="F269" s="10">
        <v>0</v>
      </c>
      <c r="G269" s="34" t="s">
        <v>678</v>
      </c>
      <c r="H269" s="25">
        <v>1</v>
      </c>
    </row>
    <row r="270" spans="1:8" x14ac:dyDescent="0.25">
      <c r="A270" s="26"/>
      <c r="B270" s="25">
        <v>1</v>
      </c>
      <c r="C270" s="102" t="s">
        <v>424</v>
      </c>
      <c r="D270" s="10">
        <v>2340</v>
      </c>
      <c r="E270" s="10">
        <v>3</v>
      </c>
      <c r="F270" s="10">
        <v>6</v>
      </c>
      <c r="G270" s="34" t="s">
        <v>678</v>
      </c>
      <c r="H270" s="25">
        <v>1</v>
      </c>
    </row>
    <row r="271" spans="1:8" x14ac:dyDescent="0.25">
      <c r="A271" s="26"/>
      <c r="B271" s="25">
        <v>1</v>
      </c>
      <c r="C271" s="102" t="s">
        <v>425</v>
      </c>
      <c r="D271" s="10">
        <v>2333</v>
      </c>
      <c r="E271" s="10">
        <v>3</v>
      </c>
      <c r="F271" s="10">
        <v>5</v>
      </c>
      <c r="G271" s="34" t="s">
        <v>678</v>
      </c>
      <c r="H271" s="25">
        <v>1</v>
      </c>
    </row>
    <row r="272" spans="1:8" x14ac:dyDescent="0.25">
      <c r="A272" s="26"/>
      <c r="B272" s="25">
        <v>1</v>
      </c>
      <c r="C272" s="102" t="s">
        <v>426</v>
      </c>
      <c r="D272" s="10">
        <v>2337</v>
      </c>
      <c r="E272" s="10">
        <v>6</v>
      </c>
      <c r="F272" s="10">
        <v>0</v>
      </c>
      <c r="G272" s="34" t="s">
        <v>678</v>
      </c>
      <c r="H272" s="25">
        <v>1</v>
      </c>
    </row>
    <row r="273" spans="1:8" x14ac:dyDescent="0.25">
      <c r="A273" s="26"/>
      <c r="B273" s="25">
        <v>1</v>
      </c>
      <c r="C273" s="102" t="s">
        <v>427</v>
      </c>
      <c r="D273" s="10">
        <v>2340</v>
      </c>
      <c r="E273" s="10">
        <v>10</v>
      </c>
      <c r="F273" s="10">
        <v>12</v>
      </c>
      <c r="G273" s="34" t="s">
        <v>678</v>
      </c>
      <c r="H273" s="25">
        <v>1</v>
      </c>
    </row>
    <row r="275" spans="1:8" x14ac:dyDescent="0.25">
      <c r="A275" s="31" t="s">
        <v>428</v>
      </c>
      <c r="B275" s="25">
        <f>SUM(B276:B280)</f>
        <v>5</v>
      </c>
      <c r="C275" s="32" t="s">
        <v>35</v>
      </c>
      <c r="D275" s="32" t="s">
        <v>35</v>
      </c>
      <c r="E275" s="30">
        <f>SUM(E276:E280)</f>
        <v>25</v>
      </c>
      <c r="F275" s="30">
        <f>SUM(F276:F280)</f>
        <v>0</v>
      </c>
      <c r="G275" s="34" t="s">
        <v>672</v>
      </c>
      <c r="H275" s="25">
        <v>1</v>
      </c>
    </row>
    <row r="276" spans="1:8" x14ac:dyDescent="0.25">
      <c r="A276" s="25" t="s">
        <v>429</v>
      </c>
      <c r="B276" s="25">
        <v>1</v>
      </c>
      <c r="C276" s="102" t="s">
        <v>430</v>
      </c>
      <c r="D276" s="10">
        <v>2303</v>
      </c>
      <c r="E276" s="10">
        <v>6</v>
      </c>
      <c r="F276" s="10">
        <v>0</v>
      </c>
      <c r="G276" s="34" t="s">
        <v>672</v>
      </c>
      <c r="H276" s="25">
        <v>1</v>
      </c>
    </row>
    <row r="277" spans="1:8" x14ac:dyDescent="0.25">
      <c r="A277" s="26"/>
      <c r="B277" s="25">
        <v>1</v>
      </c>
      <c r="C277" s="102" t="s">
        <v>431</v>
      </c>
      <c r="D277" s="10">
        <v>2291</v>
      </c>
      <c r="E277" s="10">
        <v>6</v>
      </c>
      <c r="F277" s="10">
        <v>0</v>
      </c>
      <c r="G277" s="34" t="s">
        <v>672</v>
      </c>
      <c r="H277" s="25">
        <v>1</v>
      </c>
    </row>
    <row r="278" spans="1:8" x14ac:dyDescent="0.25">
      <c r="A278" s="26"/>
      <c r="B278" s="25">
        <v>1</v>
      </c>
      <c r="C278" s="102" t="s">
        <v>432</v>
      </c>
      <c r="D278" s="10">
        <v>2305</v>
      </c>
      <c r="E278" s="10">
        <v>5</v>
      </c>
      <c r="F278" s="10">
        <v>0</v>
      </c>
      <c r="G278" s="34" t="s">
        <v>672</v>
      </c>
      <c r="H278" s="25">
        <v>1</v>
      </c>
    </row>
    <row r="279" spans="1:8" x14ac:dyDescent="0.25">
      <c r="A279" s="26"/>
      <c r="B279" s="25">
        <v>1</v>
      </c>
      <c r="C279" s="102" t="s">
        <v>433</v>
      </c>
      <c r="D279" s="10">
        <v>2307</v>
      </c>
      <c r="E279" s="10">
        <v>5</v>
      </c>
      <c r="F279" s="10">
        <v>0</v>
      </c>
      <c r="G279" s="34" t="s">
        <v>672</v>
      </c>
      <c r="H279" s="25">
        <v>1</v>
      </c>
    </row>
    <row r="280" spans="1:8" x14ac:dyDescent="0.25">
      <c r="A280" s="26"/>
      <c r="B280" s="25">
        <v>1</v>
      </c>
      <c r="C280" s="102" t="s">
        <v>434</v>
      </c>
      <c r="D280" s="10">
        <v>2287</v>
      </c>
      <c r="E280" s="10">
        <v>3</v>
      </c>
      <c r="F280" s="10">
        <v>0</v>
      </c>
      <c r="G280" s="34" t="s">
        <v>672</v>
      </c>
      <c r="H280" s="25">
        <v>1</v>
      </c>
    </row>
    <row r="282" spans="1:8" x14ac:dyDescent="0.25">
      <c r="A282" s="31" t="s">
        <v>435</v>
      </c>
      <c r="B282" s="25">
        <f>SUM(B283:B286)</f>
        <v>4</v>
      </c>
      <c r="C282" s="32" t="s">
        <v>35</v>
      </c>
      <c r="D282" s="32" t="s">
        <v>35</v>
      </c>
      <c r="E282" s="30">
        <f>SUM(E283:E286)</f>
        <v>25</v>
      </c>
      <c r="F282" s="30">
        <f>SUM(F283:F286)</f>
        <v>20</v>
      </c>
      <c r="G282" s="34" t="s">
        <v>678</v>
      </c>
      <c r="H282" s="25">
        <v>1</v>
      </c>
    </row>
    <row r="283" spans="1:8" x14ac:dyDescent="0.25">
      <c r="A283" s="25" t="s">
        <v>436</v>
      </c>
      <c r="B283" s="25">
        <v>1</v>
      </c>
      <c r="C283" s="102" t="s">
        <v>437</v>
      </c>
      <c r="D283" s="10">
        <v>2470</v>
      </c>
      <c r="E283" s="10">
        <v>7</v>
      </c>
      <c r="F283" s="10">
        <v>9</v>
      </c>
      <c r="G283" s="34" t="s">
        <v>678</v>
      </c>
      <c r="H283" s="25">
        <v>1</v>
      </c>
    </row>
    <row r="284" spans="1:8" x14ac:dyDescent="0.25">
      <c r="A284" s="26"/>
      <c r="B284" s="25">
        <v>1</v>
      </c>
      <c r="C284" s="102" t="s">
        <v>438</v>
      </c>
      <c r="D284" s="10">
        <v>2456</v>
      </c>
      <c r="E284" s="10">
        <v>5</v>
      </c>
      <c r="F284" s="10">
        <v>0</v>
      </c>
      <c r="G284" s="34" t="s">
        <v>678</v>
      </c>
      <c r="H284" s="25">
        <v>1</v>
      </c>
    </row>
    <row r="285" spans="1:8" x14ac:dyDescent="0.25">
      <c r="A285" s="26"/>
      <c r="B285" s="25">
        <v>1</v>
      </c>
      <c r="C285" s="102" t="s">
        <v>439</v>
      </c>
      <c r="D285" s="10">
        <v>2460</v>
      </c>
      <c r="E285" s="10">
        <v>9</v>
      </c>
      <c r="F285" s="10">
        <v>11</v>
      </c>
      <c r="G285" s="34" t="s">
        <v>678</v>
      </c>
      <c r="H285" s="25">
        <v>1</v>
      </c>
    </row>
    <row r="286" spans="1:8" x14ac:dyDescent="0.25">
      <c r="A286" s="26"/>
      <c r="B286" s="25">
        <v>1</v>
      </c>
      <c r="C286" s="102" t="s">
        <v>440</v>
      </c>
      <c r="D286" s="10">
        <v>2469</v>
      </c>
      <c r="E286" s="10">
        <v>4</v>
      </c>
      <c r="F286" s="10">
        <v>0</v>
      </c>
      <c r="G286" s="34" t="s">
        <v>678</v>
      </c>
      <c r="H286" s="25">
        <v>1</v>
      </c>
    </row>
    <row r="288" spans="1:8" x14ac:dyDescent="0.25">
      <c r="A288" s="31" t="s">
        <v>441</v>
      </c>
      <c r="B288" s="25">
        <f>SUM(B289:B289)</f>
        <v>1</v>
      </c>
      <c r="C288" s="32" t="s">
        <v>35</v>
      </c>
      <c r="D288" s="32" t="s">
        <v>35</v>
      </c>
      <c r="E288" s="30">
        <f>SUM(E289:E289)</f>
        <v>6</v>
      </c>
      <c r="F288" s="30">
        <f>SUM(F289:F289)</f>
        <v>8</v>
      </c>
      <c r="G288" s="34" t="s">
        <v>678</v>
      </c>
      <c r="H288" s="25">
        <v>1</v>
      </c>
    </row>
    <row r="289" spans="1:8" x14ac:dyDescent="0.25">
      <c r="A289" s="25" t="s">
        <v>442</v>
      </c>
      <c r="B289" s="25">
        <v>1</v>
      </c>
      <c r="C289" s="102" t="s">
        <v>443</v>
      </c>
      <c r="D289" s="10">
        <v>2668</v>
      </c>
      <c r="E289" s="10">
        <v>6</v>
      </c>
      <c r="F289" s="10">
        <v>8</v>
      </c>
      <c r="G289" s="34" t="s">
        <v>678</v>
      </c>
      <c r="H289" s="25">
        <v>1</v>
      </c>
    </row>
    <row r="291" spans="1:8" x14ac:dyDescent="0.25">
      <c r="A291" s="31" t="s">
        <v>444</v>
      </c>
      <c r="B291" s="25">
        <f>SUM(B292:B300)</f>
        <v>9</v>
      </c>
      <c r="C291" s="32" t="s">
        <v>35</v>
      </c>
      <c r="D291" s="32" t="s">
        <v>35</v>
      </c>
      <c r="E291" s="30">
        <f>SUM(E292:E300)</f>
        <v>49</v>
      </c>
      <c r="F291" s="30">
        <f>SUM(F292:F300)</f>
        <v>24</v>
      </c>
      <c r="G291" s="34" t="s">
        <v>672</v>
      </c>
      <c r="H291" s="25">
        <v>1</v>
      </c>
    </row>
    <row r="292" spans="1:8" x14ac:dyDescent="0.25">
      <c r="A292" s="25" t="s">
        <v>445</v>
      </c>
      <c r="B292" s="25">
        <v>1</v>
      </c>
      <c r="C292" s="102" t="s">
        <v>446</v>
      </c>
      <c r="D292" s="10">
        <v>2118</v>
      </c>
      <c r="E292" s="10">
        <v>0</v>
      </c>
      <c r="F292" s="10">
        <v>5</v>
      </c>
      <c r="G292" s="34" t="s">
        <v>672</v>
      </c>
      <c r="H292" s="25">
        <v>1</v>
      </c>
    </row>
    <row r="293" spans="1:8" x14ac:dyDescent="0.25">
      <c r="A293" s="26"/>
      <c r="B293" s="25">
        <v>1</v>
      </c>
      <c r="C293" s="102" t="s">
        <v>447</v>
      </c>
      <c r="D293" s="10">
        <v>2145</v>
      </c>
      <c r="E293" s="10">
        <v>3</v>
      </c>
      <c r="F293" s="10">
        <v>0</v>
      </c>
      <c r="G293" s="34" t="s">
        <v>672</v>
      </c>
      <c r="H293" s="25">
        <v>1</v>
      </c>
    </row>
    <row r="294" spans="1:8" x14ac:dyDescent="0.25">
      <c r="A294" s="26"/>
      <c r="B294" s="25">
        <v>1</v>
      </c>
      <c r="C294" s="102" t="s">
        <v>448</v>
      </c>
      <c r="D294" s="10">
        <v>2117</v>
      </c>
      <c r="E294" s="10">
        <v>12</v>
      </c>
      <c r="F294" s="10">
        <v>0</v>
      </c>
      <c r="G294" s="34" t="s">
        <v>672</v>
      </c>
      <c r="H294" s="25">
        <v>1</v>
      </c>
    </row>
    <row r="295" spans="1:8" x14ac:dyDescent="0.25">
      <c r="A295" s="26"/>
      <c r="B295" s="25">
        <v>1</v>
      </c>
      <c r="C295" s="102" t="s">
        <v>449</v>
      </c>
      <c r="D295" s="10">
        <v>2117</v>
      </c>
      <c r="E295" s="10">
        <v>3</v>
      </c>
      <c r="F295" s="10">
        <v>15</v>
      </c>
      <c r="G295" s="34" t="s">
        <v>672</v>
      </c>
      <c r="H295" s="25">
        <v>1</v>
      </c>
    </row>
    <row r="296" spans="1:8" x14ac:dyDescent="0.25">
      <c r="A296" s="26"/>
      <c r="B296" s="25">
        <v>1</v>
      </c>
      <c r="C296" s="102" t="s">
        <v>450</v>
      </c>
      <c r="D296" s="10">
        <v>2151</v>
      </c>
      <c r="E296" s="10">
        <v>4</v>
      </c>
      <c r="F296" s="10">
        <v>0</v>
      </c>
      <c r="G296" s="34" t="s">
        <v>672</v>
      </c>
      <c r="H296" s="25">
        <v>1</v>
      </c>
    </row>
    <row r="297" spans="1:8" x14ac:dyDescent="0.25">
      <c r="A297" s="26"/>
      <c r="B297" s="25">
        <v>1</v>
      </c>
      <c r="C297" s="102" t="s">
        <v>451</v>
      </c>
      <c r="D297" s="10">
        <v>2117</v>
      </c>
      <c r="E297" s="10">
        <v>7</v>
      </c>
      <c r="F297" s="10">
        <v>0</v>
      </c>
      <c r="G297" s="34" t="s">
        <v>672</v>
      </c>
      <c r="H297" s="25">
        <v>1</v>
      </c>
    </row>
    <row r="298" spans="1:8" x14ac:dyDescent="0.25">
      <c r="A298" s="26"/>
      <c r="B298" s="25">
        <v>1</v>
      </c>
      <c r="C298" s="102" t="s">
        <v>452</v>
      </c>
      <c r="D298" s="10">
        <v>2116</v>
      </c>
      <c r="E298" s="10">
        <v>3</v>
      </c>
      <c r="F298" s="10">
        <v>0</v>
      </c>
      <c r="G298" s="34" t="s">
        <v>672</v>
      </c>
      <c r="H298" s="25">
        <v>1</v>
      </c>
    </row>
    <row r="299" spans="1:8" x14ac:dyDescent="0.25">
      <c r="A299" s="26"/>
      <c r="B299" s="25">
        <v>1</v>
      </c>
      <c r="C299" s="102" t="s">
        <v>453</v>
      </c>
      <c r="D299" s="10">
        <v>2117</v>
      </c>
      <c r="E299" s="10">
        <v>12</v>
      </c>
      <c r="F299" s="10">
        <v>4</v>
      </c>
      <c r="G299" s="34" t="s">
        <v>672</v>
      </c>
      <c r="H299" s="25">
        <v>1</v>
      </c>
    </row>
    <row r="300" spans="1:8" x14ac:dyDescent="0.25">
      <c r="A300" s="26"/>
      <c r="B300" s="25">
        <v>1</v>
      </c>
      <c r="C300" s="102" t="s">
        <v>454</v>
      </c>
      <c r="D300" s="10">
        <v>2146</v>
      </c>
      <c r="E300" s="10">
        <v>5</v>
      </c>
      <c r="F300" s="10">
        <v>0</v>
      </c>
      <c r="G300" s="34" t="s">
        <v>672</v>
      </c>
      <c r="H300" s="25">
        <v>1</v>
      </c>
    </row>
    <row r="302" spans="1:8" x14ac:dyDescent="0.25">
      <c r="A302" s="31" t="s">
        <v>455</v>
      </c>
      <c r="B302" s="25">
        <f>SUM(B303:B308)</f>
        <v>6</v>
      </c>
      <c r="C302" s="32" t="s">
        <v>35</v>
      </c>
      <c r="D302" s="32" t="s">
        <v>35</v>
      </c>
      <c r="E302" s="30">
        <f>SUM(E303:E308)</f>
        <v>47</v>
      </c>
      <c r="F302" s="30">
        <f>SUM(F303:F308)</f>
        <v>24</v>
      </c>
      <c r="G302" s="34" t="s">
        <v>679</v>
      </c>
      <c r="H302" s="25">
        <v>1</v>
      </c>
    </row>
    <row r="303" spans="1:8" x14ac:dyDescent="0.25">
      <c r="A303" s="25" t="s">
        <v>456</v>
      </c>
      <c r="B303" s="25">
        <v>1</v>
      </c>
      <c r="C303" s="102" t="s">
        <v>457</v>
      </c>
      <c r="D303" s="10">
        <v>2320</v>
      </c>
      <c r="E303" s="10">
        <v>8</v>
      </c>
      <c r="F303" s="10">
        <v>7</v>
      </c>
      <c r="G303" s="34" t="s">
        <v>679</v>
      </c>
      <c r="H303" s="25">
        <v>1</v>
      </c>
    </row>
    <row r="304" spans="1:8" x14ac:dyDescent="0.25">
      <c r="A304" s="26"/>
      <c r="B304" s="25">
        <v>1</v>
      </c>
      <c r="C304" s="102" t="s">
        <v>458</v>
      </c>
      <c r="D304" s="10">
        <v>2318</v>
      </c>
      <c r="E304" s="10">
        <v>4</v>
      </c>
      <c r="F304" s="10">
        <v>0</v>
      </c>
      <c r="G304" s="34" t="s">
        <v>679</v>
      </c>
      <c r="H304" s="25">
        <v>1</v>
      </c>
    </row>
    <row r="305" spans="1:8" x14ac:dyDescent="0.25">
      <c r="A305" s="26"/>
      <c r="B305" s="25">
        <v>1</v>
      </c>
      <c r="C305" s="102" t="s">
        <v>459</v>
      </c>
      <c r="D305" s="10">
        <v>2320</v>
      </c>
      <c r="E305" s="10">
        <v>23</v>
      </c>
      <c r="F305" s="10">
        <v>17</v>
      </c>
      <c r="G305" s="34" t="s">
        <v>679</v>
      </c>
      <c r="H305" s="25">
        <v>1</v>
      </c>
    </row>
    <row r="306" spans="1:8" x14ac:dyDescent="0.25">
      <c r="A306" s="26"/>
      <c r="B306" s="25">
        <v>1</v>
      </c>
      <c r="C306" s="102" t="s">
        <v>460</v>
      </c>
      <c r="D306" s="10">
        <v>2318</v>
      </c>
      <c r="E306" s="10">
        <v>5</v>
      </c>
      <c r="F306" s="10">
        <v>0</v>
      </c>
      <c r="G306" s="34" t="s">
        <v>679</v>
      </c>
      <c r="H306" s="25">
        <v>1</v>
      </c>
    </row>
    <row r="307" spans="1:8" x14ac:dyDescent="0.25">
      <c r="A307" s="26"/>
      <c r="B307" s="25">
        <v>1</v>
      </c>
      <c r="C307" s="102" t="s">
        <v>461</v>
      </c>
      <c r="D307" s="10">
        <v>2320</v>
      </c>
      <c r="E307" s="10">
        <v>3</v>
      </c>
      <c r="F307" s="10">
        <v>0</v>
      </c>
      <c r="G307" s="34" t="s">
        <v>679</v>
      </c>
      <c r="H307" s="25">
        <v>1</v>
      </c>
    </row>
    <row r="308" spans="1:8" x14ac:dyDescent="0.25">
      <c r="A308" s="26"/>
      <c r="B308" s="25">
        <v>1</v>
      </c>
      <c r="C308" s="102" t="s">
        <v>462</v>
      </c>
      <c r="D308" s="10">
        <v>2322</v>
      </c>
      <c r="E308" s="10">
        <v>4</v>
      </c>
      <c r="F308" s="10">
        <v>0</v>
      </c>
      <c r="G308" s="34" t="s">
        <v>679</v>
      </c>
      <c r="H308" s="25">
        <v>1</v>
      </c>
    </row>
    <row r="310" spans="1:8" x14ac:dyDescent="0.25">
      <c r="A310" s="31" t="s">
        <v>463</v>
      </c>
      <c r="B310" s="25">
        <f>SUM(B311:B320)</f>
        <v>10</v>
      </c>
      <c r="C310" s="32" t="s">
        <v>35</v>
      </c>
      <c r="D310" s="32" t="s">
        <v>35</v>
      </c>
      <c r="E310" s="30">
        <f>SUM(E311:E320)</f>
        <v>80</v>
      </c>
      <c r="F310" s="30">
        <f>SUM(F311:F320)</f>
        <v>14</v>
      </c>
      <c r="G310" s="34" t="s">
        <v>672</v>
      </c>
      <c r="H310" s="25">
        <v>1</v>
      </c>
    </row>
    <row r="311" spans="1:8" x14ac:dyDescent="0.25">
      <c r="A311" s="25" t="s">
        <v>464</v>
      </c>
      <c r="B311" s="25">
        <v>1</v>
      </c>
      <c r="C311" s="102" t="s">
        <v>465</v>
      </c>
      <c r="D311" s="10">
        <v>2134</v>
      </c>
      <c r="E311" s="10">
        <v>8</v>
      </c>
      <c r="F311" s="10">
        <v>0</v>
      </c>
      <c r="G311" s="34" t="s">
        <v>672</v>
      </c>
      <c r="H311" s="25">
        <v>1</v>
      </c>
    </row>
    <row r="312" spans="1:8" x14ac:dyDescent="0.25">
      <c r="A312" s="26"/>
      <c r="B312" s="25">
        <v>1</v>
      </c>
      <c r="C312" s="102" t="s">
        <v>466</v>
      </c>
      <c r="D312" s="10">
        <v>2137</v>
      </c>
      <c r="E312" s="10">
        <v>16</v>
      </c>
      <c r="F312" s="10">
        <v>0</v>
      </c>
      <c r="G312" s="34" t="s">
        <v>672</v>
      </c>
      <c r="H312" s="25">
        <v>1</v>
      </c>
    </row>
    <row r="313" spans="1:8" x14ac:dyDescent="0.25">
      <c r="A313" s="26"/>
      <c r="B313" s="25">
        <v>1</v>
      </c>
      <c r="C313" s="102" t="s">
        <v>467</v>
      </c>
      <c r="D313" s="10">
        <v>2138</v>
      </c>
      <c r="E313" s="10">
        <v>4</v>
      </c>
      <c r="F313" s="10">
        <v>0</v>
      </c>
      <c r="G313" s="34" t="s">
        <v>672</v>
      </c>
      <c r="H313" s="25">
        <v>1</v>
      </c>
    </row>
    <row r="314" spans="1:8" x14ac:dyDescent="0.25">
      <c r="A314" s="26"/>
      <c r="B314" s="25">
        <v>1</v>
      </c>
      <c r="C314" s="102" t="s">
        <v>468</v>
      </c>
      <c r="D314" s="10">
        <v>2132</v>
      </c>
      <c r="E314" s="10">
        <v>11</v>
      </c>
      <c r="F314" s="10">
        <v>14</v>
      </c>
      <c r="G314" s="34" t="s">
        <v>672</v>
      </c>
      <c r="H314" s="25">
        <v>1</v>
      </c>
    </row>
    <row r="315" spans="1:8" x14ac:dyDescent="0.25">
      <c r="A315" s="26"/>
      <c r="B315" s="25">
        <v>1</v>
      </c>
      <c r="C315" s="102" t="s">
        <v>469</v>
      </c>
      <c r="D315" s="10">
        <v>2047</v>
      </c>
      <c r="E315" s="10">
        <v>5</v>
      </c>
      <c r="F315" s="10">
        <v>0</v>
      </c>
      <c r="G315" s="34" t="s">
        <v>672</v>
      </c>
      <c r="H315" s="25">
        <v>1</v>
      </c>
    </row>
    <row r="316" spans="1:8" x14ac:dyDescent="0.25">
      <c r="A316" s="26"/>
      <c r="B316" s="25">
        <v>1</v>
      </c>
      <c r="C316" s="102" t="s">
        <v>470</v>
      </c>
      <c r="D316" s="10">
        <v>2046</v>
      </c>
      <c r="E316" s="10">
        <v>8</v>
      </c>
      <c r="F316" s="10">
        <v>0</v>
      </c>
      <c r="G316" s="34" t="s">
        <v>672</v>
      </c>
      <c r="H316" s="25">
        <v>1</v>
      </c>
    </row>
    <row r="317" spans="1:8" x14ac:dyDescent="0.25">
      <c r="A317" s="26"/>
      <c r="B317" s="25">
        <v>1</v>
      </c>
      <c r="C317" s="102" t="s">
        <v>471</v>
      </c>
      <c r="D317" s="10">
        <v>2140</v>
      </c>
      <c r="E317" s="10">
        <v>10</v>
      </c>
      <c r="F317" s="10">
        <v>0</v>
      </c>
      <c r="G317" s="34" t="s">
        <v>672</v>
      </c>
      <c r="H317" s="25">
        <v>1</v>
      </c>
    </row>
    <row r="318" spans="1:8" x14ac:dyDescent="0.25">
      <c r="A318" s="26"/>
      <c r="B318" s="25">
        <v>1</v>
      </c>
      <c r="C318" s="102" t="s">
        <v>472</v>
      </c>
      <c r="D318" s="10">
        <v>2140</v>
      </c>
      <c r="E318" s="10">
        <v>7</v>
      </c>
      <c r="F318" s="10">
        <v>0</v>
      </c>
      <c r="G318" s="34" t="s">
        <v>672</v>
      </c>
      <c r="H318" s="25">
        <v>1</v>
      </c>
    </row>
    <row r="319" spans="1:8" x14ac:dyDescent="0.25">
      <c r="A319" s="26"/>
      <c r="B319" s="25">
        <v>1</v>
      </c>
      <c r="C319" s="102" t="s">
        <v>473</v>
      </c>
      <c r="D319" s="10">
        <v>2135</v>
      </c>
      <c r="E319" s="10">
        <v>4</v>
      </c>
      <c r="F319" s="10">
        <v>0</v>
      </c>
      <c r="G319" s="34" t="s">
        <v>672</v>
      </c>
      <c r="H319" s="25">
        <v>1</v>
      </c>
    </row>
    <row r="320" spans="1:8" x14ac:dyDescent="0.25">
      <c r="A320" s="26"/>
      <c r="B320" s="25">
        <v>1</v>
      </c>
      <c r="C320" s="102" t="s">
        <v>474</v>
      </c>
      <c r="D320" s="10">
        <v>2127</v>
      </c>
      <c r="E320" s="10">
        <v>7</v>
      </c>
      <c r="F320" s="10">
        <v>0</v>
      </c>
      <c r="G320" s="34" t="s">
        <v>672</v>
      </c>
      <c r="H320" s="25">
        <v>1</v>
      </c>
    </row>
    <row r="322" spans="1:8" x14ac:dyDescent="0.25">
      <c r="A322" s="31" t="s">
        <v>475</v>
      </c>
      <c r="B322" s="25">
        <f>SUM(B323:B334)</f>
        <v>12</v>
      </c>
      <c r="C322" s="32" t="s">
        <v>35</v>
      </c>
      <c r="D322" s="32" t="s">
        <v>35</v>
      </c>
      <c r="E322" s="30">
        <f>SUM(E323:E334)</f>
        <v>65</v>
      </c>
      <c r="F322" s="30">
        <f>SUM(F323:F334)</f>
        <v>35</v>
      </c>
      <c r="G322" s="34" t="s">
        <v>679</v>
      </c>
      <c r="H322" s="25">
        <v>1</v>
      </c>
    </row>
    <row r="323" spans="1:8" x14ac:dyDescent="0.25">
      <c r="A323" s="25" t="s">
        <v>476</v>
      </c>
      <c r="B323" s="25">
        <v>1</v>
      </c>
      <c r="C323" s="102" t="s">
        <v>477</v>
      </c>
      <c r="D323" s="10">
        <v>2483</v>
      </c>
      <c r="E323" s="10">
        <v>3</v>
      </c>
      <c r="F323" s="10">
        <v>0</v>
      </c>
      <c r="G323" s="34" t="s">
        <v>679</v>
      </c>
      <c r="H323" s="25">
        <v>1</v>
      </c>
    </row>
    <row r="324" spans="1:8" x14ac:dyDescent="0.25">
      <c r="A324" s="26"/>
      <c r="B324" s="25">
        <v>1</v>
      </c>
      <c r="C324" s="102" t="s">
        <v>478</v>
      </c>
      <c r="D324" s="10">
        <v>2483</v>
      </c>
      <c r="E324" s="10">
        <v>5</v>
      </c>
      <c r="F324" s="10">
        <v>0</v>
      </c>
      <c r="G324" s="34" t="s">
        <v>679</v>
      </c>
      <c r="H324" s="25">
        <v>1</v>
      </c>
    </row>
    <row r="325" spans="1:8" x14ac:dyDescent="0.25">
      <c r="A325" s="26"/>
      <c r="B325" s="25">
        <v>1</v>
      </c>
      <c r="C325" s="102" t="s">
        <v>479</v>
      </c>
      <c r="D325" s="10">
        <v>2484</v>
      </c>
      <c r="E325" s="10">
        <v>4</v>
      </c>
      <c r="F325" s="10">
        <v>0</v>
      </c>
      <c r="G325" s="34" t="s">
        <v>679</v>
      </c>
      <c r="H325" s="25">
        <v>1</v>
      </c>
    </row>
    <row r="326" spans="1:8" x14ac:dyDescent="0.25">
      <c r="A326" s="26"/>
      <c r="B326" s="25">
        <v>1</v>
      </c>
      <c r="C326" s="102" t="s">
        <v>480</v>
      </c>
      <c r="D326" s="10">
        <v>2487</v>
      </c>
      <c r="E326" s="10">
        <v>3</v>
      </c>
      <c r="F326" s="10">
        <v>0</v>
      </c>
      <c r="G326" s="34" t="s">
        <v>679</v>
      </c>
      <c r="H326" s="25">
        <v>1</v>
      </c>
    </row>
    <row r="327" spans="1:8" x14ac:dyDescent="0.25">
      <c r="A327" s="26"/>
      <c r="B327" s="25">
        <v>1</v>
      </c>
      <c r="C327" s="102" t="s">
        <v>481</v>
      </c>
      <c r="D327" s="10">
        <v>2483</v>
      </c>
      <c r="E327" s="10">
        <v>3</v>
      </c>
      <c r="F327" s="10">
        <v>0</v>
      </c>
      <c r="G327" s="34" t="s">
        <v>679</v>
      </c>
      <c r="H327" s="25">
        <v>1</v>
      </c>
    </row>
    <row r="328" spans="1:8" x14ac:dyDescent="0.25">
      <c r="A328" s="26"/>
      <c r="B328" s="25">
        <v>1</v>
      </c>
      <c r="C328" s="102" t="s">
        <v>482</v>
      </c>
      <c r="D328" s="10">
        <v>2484</v>
      </c>
      <c r="E328" s="10">
        <v>7</v>
      </c>
      <c r="F328" s="10">
        <v>9</v>
      </c>
      <c r="G328" s="34" t="s">
        <v>679</v>
      </c>
      <c r="H328" s="25">
        <v>1</v>
      </c>
    </row>
    <row r="329" spans="1:8" x14ac:dyDescent="0.25">
      <c r="A329" s="26"/>
      <c r="B329" s="25">
        <v>1</v>
      </c>
      <c r="C329" s="102" t="s">
        <v>483</v>
      </c>
      <c r="D329" s="10">
        <v>2479</v>
      </c>
      <c r="E329" s="10">
        <v>6</v>
      </c>
      <c r="F329" s="10">
        <v>8</v>
      </c>
      <c r="G329" s="34" t="s">
        <v>679</v>
      </c>
      <c r="H329" s="25">
        <v>1</v>
      </c>
    </row>
    <row r="330" spans="1:8" x14ac:dyDescent="0.25">
      <c r="A330" s="26"/>
      <c r="B330" s="25">
        <v>1</v>
      </c>
      <c r="C330" s="102" t="s">
        <v>484</v>
      </c>
      <c r="D330" s="10">
        <v>2482</v>
      </c>
      <c r="E330" s="10">
        <v>5</v>
      </c>
      <c r="F330" s="10">
        <v>0</v>
      </c>
      <c r="G330" s="34" t="s">
        <v>679</v>
      </c>
      <c r="H330" s="25">
        <v>1</v>
      </c>
    </row>
    <row r="331" spans="1:8" x14ac:dyDescent="0.25">
      <c r="A331" s="26"/>
      <c r="B331" s="25">
        <v>1</v>
      </c>
      <c r="C331" s="102" t="s">
        <v>485</v>
      </c>
      <c r="D331" s="10">
        <v>2484</v>
      </c>
      <c r="E331" s="10">
        <v>4</v>
      </c>
      <c r="F331" s="10">
        <v>0</v>
      </c>
      <c r="G331" s="34" t="s">
        <v>679</v>
      </c>
      <c r="H331" s="25">
        <v>1</v>
      </c>
    </row>
    <row r="332" spans="1:8" x14ac:dyDescent="0.25">
      <c r="A332" s="26"/>
      <c r="B332" s="25">
        <v>1</v>
      </c>
      <c r="C332" s="102" t="s">
        <v>486</v>
      </c>
      <c r="D332" s="10">
        <v>2484</v>
      </c>
      <c r="E332" s="10">
        <v>7</v>
      </c>
      <c r="F332" s="10">
        <v>9</v>
      </c>
      <c r="G332" s="34" t="s">
        <v>679</v>
      </c>
      <c r="H332" s="25">
        <v>1</v>
      </c>
    </row>
    <row r="333" spans="1:8" x14ac:dyDescent="0.25">
      <c r="A333" s="26"/>
      <c r="B333" s="25">
        <v>1</v>
      </c>
      <c r="C333" s="102" t="s">
        <v>487</v>
      </c>
      <c r="D333" s="10">
        <v>2486</v>
      </c>
      <c r="E333" s="10">
        <v>11</v>
      </c>
      <c r="F333" s="10">
        <v>0</v>
      </c>
      <c r="G333" s="34" t="s">
        <v>679</v>
      </c>
      <c r="H333" s="25">
        <v>1</v>
      </c>
    </row>
    <row r="334" spans="1:8" x14ac:dyDescent="0.25">
      <c r="A334" s="26"/>
      <c r="B334" s="25">
        <v>1</v>
      </c>
      <c r="C334" s="102" t="s">
        <v>488</v>
      </c>
      <c r="D334" s="10">
        <v>2482</v>
      </c>
      <c r="E334" s="10">
        <v>7</v>
      </c>
      <c r="F334" s="10">
        <v>9</v>
      </c>
      <c r="G334" s="34" t="s">
        <v>679</v>
      </c>
      <c r="H334" s="25">
        <v>1</v>
      </c>
    </row>
    <row r="336" spans="1:8" x14ac:dyDescent="0.25">
      <c r="A336" s="31" t="s">
        <v>489</v>
      </c>
      <c r="B336" s="25">
        <f>SUM(B337:B341)</f>
        <v>5</v>
      </c>
      <c r="C336" s="32" t="s">
        <v>35</v>
      </c>
      <c r="D336" s="32" t="s">
        <v>35</v>
      </c>
      <c r="E336" s="30">
        <f>SUM(E337:E341)</f>
        <v>21</v>
      </c>
      <c r="F336" s="30">
        <f>SUM(F337:F341)</f>
        <v>8</v>
      </c>
      <c r="G336" s="34" t="s">
        <v>678</v>
      </c>
      <c r="H336" s="25">
        <v>1</v>
      </c>
    </row>
    <row r="337" spans="1:8" x14ac:dyDescent="0.25">
      <c r="A337" s="25" t="s">
        <v>490</v>
      </c>
      <c r="B337" s="25">
        <v>1</v>
      </c>
      <c r="C337" s="102" t="s">
        <v>491</v>
      </c>
      <c r="D337" s="10">
        <v>2586</v>
      </c>
      <c r="E337" s="10">
        <v>5</v>
      </c>
      <c r="F337" s="10">
        <v>0</v>
      </c>
      <c r="G337" s="34" t="s">
        <v>678</v>
      </c>
      <c r="H337" s="25">
        <v>1</v>
      </c>
    </row>
    <row r="338" spans="1:8" x14ac:dyDescent="0.25">
      <c r="A338" s="26"/>
      <c r="B338" s="25">
        <v>1</v>
      </c>
      <c r="C338" s="102" t="s">
        <v>492</v>
      </c>
      <c r="D338" s="10">
        <v>2581</v>
      </c>
      <c r="E338" s="10">
        <v>3</v>
      </c>
      <c r="F338" s="10">
        <v>0</v>
      </c>
      <c r="G338" s="34" t="s">
        <v>678</v>
      </c>
      <c r="H338" s="25">
        <v>1</v>
      </c>
    </row>
    <row r="339" spans="1:8" x14ac:dyDescent="0.25">
      <c r="A339" s="26"/>
      <c r="B339" s="25">
        <v>1</v>
      </c>
      <c r="C339" s="102" t="s">
        <v>493</v>
      </c>
      <c r="D339" s="10">
        <v>2663</v>
      </c>
      <c r="E339" s="10">
        <v>4</v>
      </c>
      <c r="F339" s="10">
        <v>0</v>
      </c>
      <c r="G339" s="34" t="s">
        <v>678</v>
      </c>
      <c r="H339" s="25">
        <v>1</v>
      </c>
    </row>
    <row r="340" spans="1:8" x14ac:dyDescent="0.25">
      <c r="A340" s="26"/>
      <c r="B340" s="25">
        <v>1</v>
      </c>
      <c r="C340" s="102" t="s">
        <v>494</v>
      </c>
      <c r="D340" s="10">
        <v>2807</v>
      </c>
      <c r="E340" s="10">
        <v>6</v>
      </c>
      <c r="F340" s="10">
        <v>8</v>
      </c>
      <c r="G340" s="34" t="s">
        <v>678</v>
      </c>
      <c r="H340" s="25">
        <v>1</v>
      </c>
    </row>
    <row r="341" spans="1:8" x14ac:dyDescent="0.25">
      <c r="A341" s="26"/>
      <c r="B341" s="25">
        <v>1</v>
      </c>
      <c r="C341" s="102" t="s">
        <v>495</v>
      </c>
      <c r="D341" s="10">
        <v>2720</v>
      </c>
      <c r="E341" s="10">
        <v>3</v>
      </c>
      <c r="F341" s="10">
        <v>0</v>
      </c>
      <c r="G341" s="34" t="s">
        <v>678</v>
      </c>
      <c r="H341" s="25">
        <v>1</v>
      </c>
    </row>
    <row r="343" spans="1:8" x14ac:dyDescent="0.25">
      <c r="A343" s="31" t="s">
        <v>496</v>
      </c>
      <c r="B343" s="25">
        <f>SUM(B344:B349)</f>
        <v>6</v>
      </c>
      <c r="C343" s="32" t="s">
        <v>35</v>
      </c>
      <c r="D343" s="32" t="s">
        <v>35</v>
      </c>
      <c r="E343" s="30">
        <f>SUM(E344:E349)</f>
        <v>42</v>
      </c>
      <c r="F343" s="30">
        <f>SUM(F344:F349)</f>
        <v>23</v>
      </c>
      <c r="G343" s="34" t="s">
        <v>679</v>
      </c>
      <c r="H343" s="25">
        <v>1</v>
      </c>
    </row>
    <row r="344" spans="1:8" x14ac:dyDescent="0.25">
      <c r="A344" s="25" t="s">
        <v>497</v>
      </c>
      <c r="B344" s="25">
        <v>1</v>
      </c>
      <c r="C344" s="102" t="s">
        <v>498</v>
      </c>
      <c r="D344" s="10">
        <v>2257</v>
      </c>
      <c r="E344" s="10">
        <v>8</v>
      </c>
      <c r="F344" s="10">
        <v>10</v>
      </c>
      <c r="G344" s="34" t="s">
        <v>679</v>
      </c>
      <c r="H344" s="25">
        <v>1</v>
      </c>
    </row>
    <row r="345" spans="1:8" x14ac:dyDescent="0.25">
      <c r="A345" s="26"/>
      <c r="B345" s="25">
        <v>1</v>
      </c>
      <c r="C345" s="102" t="s">
        <v>499</v>
      </c>
      <c r="D345" s="10">
        <v>2250</v>
      </c>
      <c r="E345" s="10">
        <v>11</v>
      </c>
      <c r="F345" s="10">
        <v>13</v>
      </c>
      <c r="G345" s="34" t="s">
        <v>679</v>
      </c>
      <c r="H345" s="25">
        <v>1</v>
      </c>
    </row>
    <row r="346" spans="1:8" x14ac:dyDescent="0.25">
      <c r="A346" s="26"/>
      <c r="B346" s="25">
        <v>1</v>
      </c>
      <c r="C346" s="102" t="s">
        <v>500</v>
      </c>
      <c r="D346" s="10">
        <v>2083</v>
      </c>
      <c r="E346" s="10">
        <v>3</v>
      </c>
      <c r="F346" s="10">
        <v>0</v>
      </c>
      <c r="G346" s="34" t="s">
        <v>679</v>
      </c>
      <c r="H346" s="25">
        <v>1</v>
      </c>
    </row>
    <row r="347" spans="1:8" x14ac:dyDescent="0.25">
      <c r="A347" s="26"/>
      <c r="B347" s="25">
        <v>1</v>
      </c>
      <c r="C347" s="102" t="s">
        <v>501</v>
      </c>
      <c r="D347" s="10">
        <v>2250</v>
      </c>
      <c r="E347" s="10">
        <v>4</v>
      </c>
      <c r="F347" s="10">
        <v>0</v>
      </c>
      <c r="G347" s="34" t="s">
        <v>679</v>
      </c>
      <c r="H347" s="25">
        <v>1</v>
      </c>
    </row>
    <row r="348" spans="1:8" x14ac:dyDescent="0.25">
      <c r="A348" s="26"/>
      <c r="B348" s="25">
        <v>1</v>
      </c>
      <c r="C348" s="102" t="s">
        <v>502</v>
      </c>
      <c r="D348" s="10">
        <v>2260</v>
      </c>
      <c r="E348" s="10">
        <v>12</v>
      </c>
      <c r="F348" s="10">
        <v>0</v>
      </c>
      <c r="G348" s="34" t="s">
        <v>679</v>
      </c>
      <c r="H348" s="25">
        <v>1</v>
      </c>
    </row>
    <row r="349" spans="1:8" x14ac:dyDescent="0.25">
      <c r="A349" s="26"/>
      <c r="B349" s="25">
        <v>1</v>
      </c>
      <c r="C349" s="102" t="s">
        <v>503</v>
      </c>
      <c r="D349" s="10">
        <v>2256</v>
      </c>
      <c r="E349" s="10">
        <v>4</v>
      </c>
      <c r="F349" s="10">
        <v>0</v>
      </c>
      <c r="G349" s="34" t="s">
        <v>679</v>
      </c>
      <c r="H349" s="25">
        <v>1</v>
      </c>
    </row>
    <row r="351" spans="1:8" x14ac:dyDescent="0.25">
      <c r="A351" s="31" t="s">
        <v>504</v>
      </c>
      <c r="B351" s="25">
        <f>SUM(B352:B360)</f>
        <v>9</v>
      </c>
      <c r="C351" s="32" t="s">
        <v>35</v>
      </c>
      <c r="D351" s="32" t="s">
        <v>35</v>
      </c>
      <c r="E351" s="30">
        <f>SUM(E352:E360)</f>
        <v>38</v>
      </c>
      <c r="F351" s="30">
        <f>SUM(F352:F360)</f>
        <v>13</v>
      </c>
      <c r="G351" s="34" t="s">
        <v>679</v>
      </c>
      <c r="H351" s="25">
        <v>1</v>
      </c>
    </row>
    <row r="352" spans="1:8" x14ac:dyDescent="0.25">
      <c r="A352" s="25" t="s">
        <v>505</v>
      </c>
      <c r="B352" s="25">
        <v>1</v>
      </c>
      <c r="C352" s="102" t="s">
        <v>506</v>
      </c>
      <c r="D352" s="10">
        <v>2284</v>
      </c>
      <c r="E352" s="10">
        <v>8</v>
      </c>
      <c r="F352" s="10">
        <v>10</v>
      </c>
      <c r="G352" s="34" t="s">
        <v>679</v>
      </c>
      <c r="H352" s="25">
        <v>1</v>
      </c>
    </row>
    <row r="353" spans="1:8" x14ac:dyDescent="0.25">
      <c r="A353" s="26"/>
      <c r="B353" s="25">
        <v>1</v>
      </c>
      <c r="C353" s="102" t="s">
        <v>507</v>
      </c>
      <c r="D353" s="10">
        <v>2280</v>
      </c>
      <c r="E353" s="10">
        <v>4</v>
      </c>
      <c r="F353" s="10">
        <v>0</v>
      </c>
      <c r="G353" s="34" t="s">
        <v>679</v>
      </c>
      <c r="H353" s="25">
        <v>1</v>
      </c>
    </row>
    <row r="354" spans="1:8" x14ac:dyDescent="0.25">
      <c r="A354" s="26"/>
      <c r="B354" s="25">
        <v>1</v>
      </c>
      <c r="C354" s="102" t="s">
        <v>508</v>
      </c>
      <c r="D354" s="10">
        <v>2285</v>
      </c>
      <c r="E354" s="10">
        <v>5</v>
      </c>
      <c r="F354" s="10">
        <v>0</v>
      </c>
      <c r="G354" s="34" t="s">
        <v>679</v>
      </c>
      <c r="H354" s="25">
        <v>1</v>
      </c>
    </row>
    <row r="355" spans="1:8" x14ac:dyDescent="0.25">
      <c r="A355" s="26"/>
      <c r="B355" s="25">
        <v>1</v>
      </c>
      <c r="C355" s="102" t="s">
        <v>509</v>
      </c>
      <c r="D355" s="10">
        <v>2282</v>
      </c>
      <c r="E355" s="10">
        <v>3</v>
      </c>
      <c r="F355" s="10">
        <v>0</v>
      </c>
      <c r="G355" s="34" t="s">
        <v>679</v>
      </c>
      <c r="H355" s="25">
        <v>1</v>
      </c>
    </row>
    <row r="356" spans="1:8" x14ac:dyDescent="0.25">
      <c r="A356" s="26"/>
      <c r="B356" s="25">
        <v>1</v>
      </c>
      <c r="C356" s="102" t="s">
        <v>510</v>
      </c>
      <c r="D356" s="10">
        <v>2280</v>
      </c>
      <c r="E356" s="10">
        <v>3</v>
      </c>
      <c r="F356" s="10">
        <v>0</v>
      </c>
      <c r="G356" s="34" t="s">
        <v>679</v>
      </c>
      <c r="H356" s="25">
        <v>1</v>
      </c>
    </row>
    <row r="357" spans="1:8" x14ac:dyDescent="0.25">
      <c r="A357" s="26"/>
      <c r="B357" s="25">
        <v>1</v>
      </c>
      <c r="C357" s="102" t="s">
        <v>511</v>
      </c>
      <c r="D357" s="10">
        <v>2290</v>
      </c>
      <c r="E357" s="10">
        <v>4</v>
      </c>
      <c r="F357" s="10">
        <v>0</v>
      </c>
      <c r="G357" s="34" t="s">
        <v>679</v>
      </c>
      <c r="H357" s="25">
        <v>1</v>
      </c>
    </row>
    <row r="358" spans="1:8" x14ac:dyDescent="0.25">
      <c r="A358" s="26"/>
      <c r="B358" s="25">
        <v>1</v>
      </c>
      <c r="C358" s="102" t="s">
        <v>512</v>
      </c>
      <c r="D358" s="10">
        <v>2281</v>
      </c>
      <c r="E358" s="10">
        <v>3</v>
      </c>
      <c r="F358" s="10">
        <v>0</v>
      </c>
      <c r="G358" s="34" t="s">
        <v>679</v>
      </c>
      <c r="H358" s="25">
        <v>1</v>
      </c>
    </row>
    <row r="359" spans="1:8" x14ac:dyDescent="0.25">
      <c r="A359" s="26"/>
      <c r="B359" s="25">
        <v>1</v>
      </c>
      <c r="C359" s="102" t="s">
        <v>513</v>
      </c>
      <c r="D359" s="10">
        <v>2259</v>
      </c>
      <c r="E359" s="10">
        <v>5</v>
      </c>
      <c r="F359" s="10">
        <v>3</v>
      </c>
      <c r="G359" s="34" t="s">
        <v>679</v>
      </c>
      <c r="H359" s="25">
        <v>1</v>
      </c>
    </row>
    <row r="360" spans="1:8" x14ac:dyDescent="0.25">
      <c r="A360" s="26"/>
      <c r="B360" s="25">
        <v>1</v>
      </c>
      <c r="C360" s="102" t="s">
        <v>514</v>
      </c>
      <c r="D360" s="10">
        <v>2280</v>
      </c>
      <c r="E360" s="10">
        <v>3</v>
      </c>
      <c r="F360" s="10">
        <v>0</v>
      </c>
      <c r="G360" s="34" t="s">
        <v>679</v>
      </c>
      <c r="H360" s="25">
        <v>1</v>
      </c>
    </row>
    <row r="362" spans="1:8" x14ac:dyDescent="0.25">
      <c r="A362" s="31" t="s">
        <v>515</v>
      </c>
      <c r="B362" s="25">
        <f>SUM(B363:B371)</f>
        <v>9</v>
      </c>
      <c r="C362" s="32" t="s">
        <v>35</v>
      </c>
      <c r="D362" s="32" t="s">
        <v>35</v>
      </c>
      <c r="E362" s="30">
        <f>SUM(E363:E371)</f>
        <v>119</v>
      </c>
      <c r="F362" s="30">
        <f>SUM(F363:F371)</f>
        <v>88</v>
      </c>
      <c r="G362" s="34" t="s">
        <v>672</v>
      </c>
      <c r="H362" s="25">
        <v>1</v>
      </c>
    </row>
    <row r="363" spans="1:8" x14ac:dyDescent="0.25">
      <c r="A363" s="25" t="s">
        <v>516</v>
      </c>
      <c r="B363" s="25">
        <v>1</v>
      </c>
      <c r="C363" s="102" t="s">
        <v>517</v>
      </c>
      <c r="D363" s="10">
        <v>2041</v>
      </c>
      <c r="E363" s="10">
        <v>5</v>
      </c>
      <c r="F363" s="10">
        <v>0</v>
      </c>
      <c r="G363" s="34" t="s">
        <v>672</v>
      </c>
      <c r="H363" s="25">
        <v>1</v>
      </c>
    </row>
    <row r="364" spans="1:8" x14ac:dyDescent="0.25">
      <c r="A364" s="26"/>
      <c r="B364" s="25">
        <v>1</v>
      </c>
      <c r="C364" s="102" t="s">
        <v>518</v>
      </c>
      <c r="D364" s="10">
        <v>2015</v>
      </c>
      <c r="E364" s="10">
        <v>4</v>
      </c>
      <c r="F364" s="10">
        <v>0</v>
      </c>
      <c r="G364" s="34" t="s">
        <v>672</v>
      </c>
      <c r="H364" s="25">
        <v>1</v>
      </c>
    </row>
    <row r="365" spans="1:8" x14ac:dyDescent="0.25">
      <c r="A365" s="26"/>
      <c r="B365" s="25">
        <v>1</v>
      </c>
      <c r="C365" s="102" t="s">
        <v>519</v>
      </c>
      <c r="D365" s="10">
        <v>2008</v>
      </c>
      <c r="E365" s="10">
        <v>13</v>
      </c>
      <c r="F365" s="10">
        <v>17</v>
      </c>
      <c r="G365" s="34" t="s">
        <v>672</v>
      </c>
      <c r="H365" s="25">
        <v>1</v>
      </c>
    </row>
    <row r="366" spans="1:8" x14ac:dyDescent="0.25">
      <c r="A366" s="26"/>
      <c r="B366" s="25">
        <v>1</v>
      </c>
      <c r="C366" s="102" t="s">
        <v>520</v>
      </c>
      <c r="D366" s="10">
        <v>2043</v>
      </c>
      <c r="E366" s="10">
        <v>4</v>
      </c>
      <c r="F366" s="10">
        <v>0</v>
      </c>
      <c r="G366" s="34" t="s">
        <v>672</v>
      </c>
      <c r="H366" s="25">
        <v>1</v>
      </c>
    </row>
    <row r="367" spans="1:8" x14ac:dyDescent="0.25">
      <c r="A367" s="26"/>
      <c r="B367" s="25">
        <v>1</v>
      </c>
      <c r="C367" s="102" t="s">
        <v>521</v>
      </c>
      <c r="D367" s="10">
        <v>2037</v>
      </c>
      <c r="E367" s="10">
        <v>12</v>
      </c>
      <c r="F367" s="10">
        <v>16</v>
      </c>
      <c r="G367" s="34" t="s">
        <v>672</v>
      </c>
      <c r="H367" s="25">
        <v>1</v>
      </c>
    </row>
    <row r="368" spans="1:8" x14ac:dyDescent="0.25">
      <c r="A368" s="26"/>
      <c r="B368" s="25">
        <v>1</v>
      </c>
      <c r="C368" s="102" t="s">
        <v>522</v>
      </c>
      <c r="D368" s="10">
        <v>2037</v>
      </c>
      <c r="E368" s="10">
        <v>19</v>
      </c>
      <c r="F368" s="10">
        <v>12</v>
      </c>
      <c r="G368" s="34" t="s">
        <v>672</v>
      </c>
      <c r="H368" s="25">
        <v>1</v>
      </c>
    </row>
    <row r="369" spans="1:8" x14ac:dyDescent="0.25">
      <c r="A369" s="26"/>
      <c r="B369" s="25">
        <v>1</v>
      </c>
      <c r="C369" s="102" t="s">
        <v>523</v>
      </c>
      <c r="D369" s="10">
        <v>2039</v>
      </c>
      <c r="E369" s="10">
        <v>14</v>
      </c>
      <c r="F369" s="10">
        <v>18</v>
      </c>
      <c r="G369" s="34" t="s">
        <v>672</v>
      </c>
      <c r="H369" s="25">
        <v>1</v>
      </c>
    </row>
    <row r="370" spans="1:8" x14ac:dyDescent="0.25">
      <c r="A370" s="26"/>
      <c r="B370" s="25">
        <v>1</v>
      </c>
      <c r="C370" s="102" t="s">
        <v>524</v>
      </c>
      <c r="D370" s="10">
        <v>2010</v>
      </c>
      <c r="E370" s="10">
        <v>36</v>
      </c>
      <c r="F370" s="10">
        <v>25</v>
      </c>
      <c r="G370" s="34" t="s">
        <v>672</v>
      </c>
      <c r="H370" s="25">
        <v>1</v>
      </c>
    </row>
    <row r="371" spans="1:8" x14ac:dyDescent="0.25">
      <c r="A371" s="26"/>
      <c r="B371" s="25">
        <v>1</v>
      </c>
      <c r="C371" s="102" t="s">
        <v>525</v>
      </c>
      <c r="D371" s="10">
        <v>2017</v>
      </c>
      <c r="E371" s="10">
        <v>12</v>
      </c>
      <c r="F371" s="10">
        <v>0</v>
      </c>
      <c r="G371" s="34" t="s">
        <v>672</v>
      </c>
      <c r="H371" s="25">
        <v>1</v>
      </c>
    </row>
    <row r="373" spans="1:8" x14ac:dyDescent="0.25">
      <c r="A373" s="31" t="s">
        <v>526</v>
      </c>
      <c r="B373" s="25">
        <f>SUM(B374:B379)</f>
        <v>6</v>
      </c>
      <c r="C373" s="32" t="s">
        <v>35</v>
      </c>
      <c r="D373" s="32" t="s">
        <v>35</v>
      </c>
      <c r="E373" s="30">
        <f>SUM(E374:E379)</f>
        <v>50</v>
      </c>
      <c r="F373" s="30">
        <f>SUM(F374:F379)</f>
        <v>7</v>
      </c>
      <c r="G373" s="34" t="s">
        <v>672</v>
      </c>
      <c r="H373" s="25">
        <v>1</v>
      </c>
    </row>
    <row r="374" spans="1:8" x14ac:dyDescent="0.25">
      <c r="A374" s="25" t="s">
        <v>527</v>
      </c>
      <c r="B374" s="25">
        <v>1</v>
      </c>
      <c r="C374" s="102" t="s">
        <v>528</v>
      </c>
      <c r="D374" s="10">
        <v>2093</v>
      </c>
      <c r="E374" s="10">
        <v>3</v>
      </c>
      <c r="F374" s="10">
        <v>0</v>
      </c>
      <c r="G374" s="34" t="s">
        <v>672</v>
      </c>
      <c r="H374" s="25">
        <v>1</v>
      </c>
    </row>
    <row r="375" spans="1:8" x14ac:dyDescent="0.25">
      <c r="A375" s="26"/>
      <c r="B375" s="25">
        <v>1</v>
      </c>
      <c r="C375" s="102" t="s">
        <v>529</v>
      </c>
      <c r="D375" s="10">
        <v>2093</v>
      </c>
      <c r="E375" s="10">
        <v>10</v>
      </c>
      <c r="F375" s="10">
        <v>0</v>
      </c>
      <c r="G375" s="34" t="s">
        <v>672</v>
      </c>
      <c r="H375" s="25">
        <v>1</v>
      </c>
    </row>
    <row r="376" spans="1:8" x14ac:dyDescent="0.25">
      <c r="A376" s="26"/>
      <c r="B376" s="25">
        <v>1</v>
      </c>
      <c r="C376" s="102" t="s">
        <v>530</v>
      </c>
      <c r="D376" s="10">
        <v>2062</v>
      </c>
      <c r="E376" s="10">
        <v>9</v>
      </c>
      <c r="F376" s="10">
        <v>0</v>
      </c>
      <c r="G376" s="34" t="s">
        <v>672</v>
      </c>
      <c r="H376" s="25">
        <v>1</v>
      </c>
    </row>
    <row r="377" spans="1:8" x14ac:dyDescent="0.25">
      <c r="A377" s="26"/>
      <c r="B377" s="25">
        <v>1</v>
      </c>
      <c r="C377" s="102" t="s">
        <v>531</v>
      </c>
      <c r="D377" s="10">
        <v>2090</v>
      </c>
      <c r="E377" s="10">
        <v>1</v>
      </c>
      <c r="F377" s="10">
        <v>0</v>
      </c>
      <c r="G377" s="34" t="s">
        <v>672</v>
      </c>
      <c r="H377" s="25">
        <v>1</v>
      </c>
    </row>
    <row r="378" spans="1:8" x14ac:dyDescent="0.25">
      <c r="A378" s="26"/>
      <c r="B378" s="25">
        <v>1</v>
      </c>
      <c r="C378" s="102" t="s">
        <v>532</v>
      </c>
      <c r="D378" s="10">
        <v>2065</v>
      </c>
      <c r="E378" s="10">
        <v>4</v>
      </c>
      <c r="F378" s="10">
        <v>0</v>
      </c>
      <c r="G378" s="34" t="s">
        <v>672</v>
      </c>
      <c r="H378" s="25">
        <v>1</v>
      </c>
    </row>
    <row r="379" spans="1:8" x14ac:dyDescent="0.25">
      <c r="A379" s="26"/>
      <c r="B379" s="25">
        <v>1</v>
      </c>
      <c r="C379" s="102" t="s">
        <v>533</v>
      </c>
      <c r="D379" s="10">
        <v>2088</v>
      </c>
      <c r="E379" s="10">
        <v>23</v>
      </c>
      <c r="F379" s="10">
        <v>7</v>
      </c>
      <c r="G379" s="34" t="s">
        <v>672</v>
      </c>
      <c r="H379" s="25">
        <v>1</v>
      </c>
    </row>
    <row r="381" spans="1:8" x14ac:dyDescent="0.25">
      <c r="A381" s="31" t="s">
        <v>534</v>
      </c>
      <c r="B381" s="25">
        <f>SUM(B382:B386)</f>
        <v>5</v>
      </c>
      <c r="C381" s="32" t="s">
        <v>35</v>
      </c>
      <c r="D381" s="32" t="s">
        <v>35</v>
      </c>
      <c r="E381" s="30">
        <f>SUM(E382:E386)</f>
        <v>52</v>
      </c>
      <c r="F381" s="30">
        <f>SUM(F382:F386)</f>
        <v>31</v>
      </c>
      <c r="G381" s="34" t="s">
        <v>672</v>
      </c>
      <c r="H381" s="25">
        <v>1</v>
      </c>
    </row>
    <row r="382" spans="1:8" x14ac:dyDescent="0.25">
      <c r="A382" s="25" t="s">
        <v>535</v>
      </c>
      <c r="B382" s="25">
        <v>1</v>
      </c>
      <c r="C382" s="102" t="s">
        <v>536</v>
      </c>
      <c r="D382" s="10">
        <v>2200</v>
      </c>
      <c r="E382" s="10">
        <v>17</v>
      </c>
      <c r="F382" s="10">
        <v>12</v>
      </c>
      <c r="G382" s="34" t="s">
        <v>672</v>
      </c>
      <c r="H382" s="25">
        <v>1</v>
      </c>
    </row>
    <row r="383" spans="1:8" x14ac:dyDescent="0.25">
      <c r="A383" s="26"/>
      <c r="B383" s="25">
        <v>1</v>
      </c>
      <c r="C383" s="102" t="s">
        <v>537</v>
      </c>
      <c r="D383" s="10">
        <v>2192</v>
      </c>
      <c r="E383" s="10">
        <v>3</v>
      </c>
      <c r="F383" s="10">
        <v>0</v>
      </c>
      <c r="G383" s="34" t="s">
        <v>672</v>
      </c>
      <c r="H383" s="25">
        <v>1</v>
      </c>
    </row>
    <row r="384" spans="1:8" x14ac:dyDescent="0.25">
      <c r="A384" s="26"/>
      <c r="B384" s="25">
        <v>1</v>
      </c>
      <c r="C384" s="102" t="s">
        <v>538</v>
      </c>
      <c r="D384" s="10">
        <v>2200</v>
      </c>
      <c r="E384" s="10">
        <v>18</v>
      </c>
      <c r="F384" s="10">
        <v>19</v>
      </c>
      <c r="G384" s="34" t="s">
        <v>672</v>
      </c>
      <c r="H384" s="25">
        <v>1</v>
      </c>
    </row>
    <row r="385" spans="1:8" x14ac:dyDescent="0.25">
      <c r="A385" s="26"/>
      <c r="B385" s="25">
        <v>1</v>
      </c>
      <c r="C385" s="102" t="s">
        <v>539</v>
      </c>
      <c r="D385" s="10">
        <v>2198</v>
      </c>
      <c r="E385" s="10">
        <v>7</v>
      </c>
      <c r="F385" s="10">
        <v>0</v>
      </c>
      <c r="G385" s="34" t="s">
        <v>672</v>
      </c>
      <c r="H385" s="25">
        <v>1</v>
      </c>
    </row>
    <row r="386" spans="1:8" x14ac:dyDescent="0.25">
      <c r="A386" s="26"/>
      <c r="B386" s="25">
        <v>1</v>
      </c>
      <c r="C386" s="102" t="s">
        <v>540</v>
      </c>
      <c r="D386" s="10">
        <v>2190</v>
      </c>
      <c r="E386" s="10">
        <v>7</v>
      </c>
      <c r="F386" s="10">
        <v>0</v>
      </c>
      <c r="G386" s="34" t="s">
        <v>672</v>
      </c>
      <c r="H386" s="25">
        <v>1</v>
      </c>
    </row>
    <row r="388" spans="1:8" x14ac:dyDescent="0.25">
      <c r="A388" s="31" t="s">
        <v>541</v>
      </c>
      <c r="B388" s="25">
        <f>SUM(B389:B398)</f>
        <v>10</v>
      </c>
      <c r="C388" s="32" t="s">
        <v>35</v>
      </c>
      <c r="D388" s="32" t="s">
        <v>35</v>
      </c>
      <c r="E388" s="30">
        <f>SUM(E389:E398)</f>
        <v>75</v>
      </c>
      <c r="F388" s="30">
        <f>SUM(F389:F398)</f>
        <v>25</v>
      </c>
      <c r="G388" s="34" t="s">
        <v>672</v>
      </c>
      <c r="H388" s="25">
        <v>1</v>
      </c>
    </row>
    <row r="389" spans="1:8" x14ac:dyDescent="0.25">
      <c r="A389" s="25" t="s">
        <v>542</v>
      </c>
      <c r="B389" s="25">
        <v>1</v>
      </c>
      <c r="C389" s="102" t="s">
        <v>543</v>
      </c>
      <c r="D389" s="10">
        <v>2026</v>
      </c>
      <c r="E389" s="10">
        <v>10</v>
      </c>
      <c r="F389" s="10">
        <v>13</v>
      </c>
      <c r="G389" s="34" t="s">
        <v>672</v>
      </c>
      <c r="H389" s="25">
        <v>1</v>
      </c>
    </row>
    <row r="390" spans="1:8" x14ac:dyDescent="0.25">
      <c r="A390" s="26"/>
      <c r="B390" s="25">
        <v>1</v>
      </c>
      <c r="C390" s="102" t="s">
        <v>544</v>
      </c>
      <c r="D390" s="10">
        <v>2026</v>
      </c>
      <c r="E390" s="10">
        <v>8</v>
      </c>
      <c r="F390" s="10">
        <v>0</v>
      </c>
      <c r="G390" s="34" t="s">
        <v>672</v>
      </c>
      <c r="H390" s="25">
        <v>1</v>
      </c>
    </row>
    <row r="391" spans="1:8" x14ac:dyDescent="0.25">
      <c r="A391" s="26"/>
      <c r="B391" s="25">
        <v>1</v>
      </c>
      <c r="C391" s="102" t="s">
        <v>545</v>
      </c>
      <c r="D391" s="10">
        <v>2022</v>
      </c>
      <c r="E391" s="10">
        <v>10</v>
      </c>
      <c r="F391" s="10">
        <v>12</v>
      </c>
      <c r="G391" s="34" t="s">
        <v>672</v>
      </c>
      <c r="H391" s="25">
        <v>1</v>
      </c>
    </row>
    <row r="392" spans="1:8" x14ac:dyDescent="0.25">
      <c r="A392" s="26"/>
      <c r="B392" s="25">
        <v>1</v>
      </c>
      <c r="C392" s="102" t="s">
        <v>546</v>
      </c>
      <c r="D392" s="10">
        <v>2031</v>
      </c>
      <c r="E392" s="10">
        <v>3</v>
      </c>
      <c r="F392" s="10">
        <v>0</v>
      </c>
      <c r="G392" s="34" t="s">
        <v>672</v>
      </c>
      <c r="H392" s="25">
        <v>1</v>
      </c>
    </row>
    <row r="393" spans="1:8" x14ac:dyDescent="0.25">
      <c r="A393" s="26"/>
      <c r="B393" s="25">
        <v>1</v>
      </c>
      <c r="C393" s="102" t="s">
        <v>547</v>
      </c>
      <c r="D393" s="10">
        <v>2010</v>
      </c>
      <c r="E393" s="10">
        <v>5</v>
      </c>
      <c r="F393" s="10">
        <v>0</v>
      </c>
      <c r="G393" s="34" t="s">
        <v>672</v>
      </c>
      <c r="H393" s="25">
        <v>1</v>
      </c>
    </row>
    <row r="394" spans="1:8" x14ac:dyDescent="0.25">
      <c r="A394" s="26"/>
      <c r="B394" s="25">
        <v>1</v>
      </c>
      <c r="C394" s="102" t="s">
        <v>548</v>
      </c>
      <c r="D394" s="10">
        <v>2028</v>
      </c>
      <c r="E394" s="10">
        <v>8</v>
      </c>
      <c r="F394" s="10">
        <v>0</v>
      </c>
      <c r="G394" s="34" t="s">
        <v>672</v>
      </c>
      <c r="H394" s="25">
        <v>1</v>
      </c>
    </row>
    <row r="395" spans="1:8" x14ac:dyDescent="0.25">
      <c r="A395" s="26"/>
      <c r="B395" s="25">
        <v>1</v>
      </c>
      <c r="C395" s="102" t="s">
        <v>549</v>
      </c>
      <c r="D395" s="10">
        <v>2027</v>
      </c>
      <c r="E395" s="10">
        <v>3</v>
      </c>
      <c r="F395" s="10">
        <v>0</v>
      </c>
      <c r="G395" s="34" t="s">
        <v>672</v>
      </c>
      <c r="H395" s="25">
        <v>1</v>
      </c>
    </row>
    <row r="396" spans="1:8" x14ac:dyDescent="0.25">
      <c r="A396" s="26"/>
      <c r="B396" s="25">
        <v>1</v>
      </c>
      <c r="C396" s="102" t="s">
        <v>550</v>
      </c>
      <c r="D396" s="10">
        <v>2021</v>
      </c>
      <c r="E396" s="10">
        <v>17</v>
      </c>
      <c r="F396" s="10">
        <v>0</v>
      </c>
      <c r="G396" s="34" t="s">
        <v>672</v>
      </c>
      <c r="H396" s="25">
        <v>1</v>
      </c>
    </row>
    <row r="397" spans="1:8" x14ac:dyDescent="0.25">
      <c r="A397" s="26"/>
      <c r="B397" s="25">
        <v>1</v>
      </c>
      <c r="C397" s="102" t="s">
        <v>551</v>
      </c>
      <c r="D397" s="10">
        <v>2030</v>
      </c>
      <c r="E397" s="10">
        <v>3</v>
      </c>
      <c r="F397" s="10">
        <v>0</v>
      </c>
      <c r="G397" s="34" t="s">
        <v>672</v>
      </c>
      <c r="H397" s="25">
        <v>1</v>
      </c>
    </row>
    <row r="398" spans="1:8" x14ac:dyDescent="0.25">
      <c r="A398" s="26"/>
      <c r="B398" s="25">
        <v>1</v>
      </c>
      <c r="C398" s="102" t="s">
        <v>552</v>
      </c>
      <c r="D398" s="10">
        <v>2024</v>
      </c>
      <c r="E398" s="10">
        <v>8</v>
      </c>
      <c r="F398" s="10">
        <v>0</v>
      </c>
      <c r="G398" s="34" t="s">
        <v>672</v>
      </c>
      <c r="H398" s="25">
        <v>1</v>
      </c>
    </row>
    <row r="400" spans="1:8" x14ac:dyDescent="0.25">
      <c r="A400" s="31" t="s">
        <v>553</v>
      </c>
      <c r="B400" s="25">
        <f>SUM(B401:B410)</f>
        <v>10</v>
      </c>
      <c r="C400" s="32" t="s">
        <v>35</v>
      </c>
      <c r="D400" s="32" t="s">
        <v>35</v>
      </c>
      <c r="E400" s="30">
        <f>SUM(E401:E410)</f>
        <v>83</v>
      </c>
      <c r="F400" s="30">
        <f>SUM(F401:F410)</f>
        <v>0</v>
      </c>
      <c r="G400" s="33" t="s">
        <v>675</v>
      </c>
      <c r="H400" s="25">
        <v>1</v>
      </c>
    </row>
    <row r="401" spans="1:8" x14ac:dyDescent="0.25">
      <c r="A401" s="25" t="s">
        <v>554</v>
      </c>
      <c r="B401" s="25">
        <v>1</v>
      </c>
      <c r="C401" s="102" t="s">
        <v>555</v>
      </c>
      <c r="D401" s="10">
        <v>2179</v>
      </c>
      <c r="E401" s="10">
        <v>6</v>
      </c>
      <c r="F401" s="10">
        <v>0</v>
      </c>
      <c r="G401" s="33" t="s">
        <v>675</v>
      </c>
      <c r="H401" s="25">
        <v>1</v>
      </c>
    </row>
    <row r="402" spans="1:8" x14ac:dyDescent="0.25">
      <c r="A402" s="26"/>
      <c r="B402" s="25">
        <v>1</v>
      </c>
      <c r="C402" s="102" t="s">
        <v>556</v>
      </c>
      <c r="D402" s="10">
        <v>2177</v>
      </c>
      <c r="E402" s="10">
        <v>7</v>
      </c>
      <c r="F402" s="10">
        <v>0</v>
      </c>
      <c r="G402" s="33" t="s">
        <v>675</v>
      </c>
      <c r="H402" s="25">
        <v>1</v>
      </c>
    </row>
    <row r="403" spans="1:8" x14ac:dyDescent="0.25">
      <c r="A403" s="26"/>
      <c r="B403" s="25">
        <v>1</v>
      </c>
      <c r="C403" s="102" t="s">
        <v>557</v>
      </c>
      <c r="D403" s="10">
        <v>2171</v>
      </c>
      <c r="E403" s="10">
        <v>9</v>
      </c>
      <c r="F403" s="10">
        <v>0</v>
      </c>
      <c r="G403" s="33" t="s">
        <v>675</v>
      </c>
      <c r="H403" s="25">
        <v>1</v>
      </c>
    </row>
    <row r="404" spans="1:8" x14ac:dyDescent="0.25">
      <c r="A404" s="26"/>
      <c r="B404" s="25">
        <v>1</v>
      </c>
      <c r="C404" s="102" t="s">
        <v>558</v>
      </c>
      <c r="D404" s="10">
        <v>2174</v>
      </c>
      <c r="E404" s="10">
        <v>15</v>
      </c>
      <c r="F404" s="10">
        <v>0</v>
      </c>
      <c r="G404" s="33" t="s">
        <v>675</v>
      </c>
      <c r="H404" s="25">
        <v>1</v>
      </c>
    </row>
    <row r="405" spans="1:8" x14ac:dyDescent="0.25">
      <c r="A405" s="26"/>
      <c r="B405" s="25">
        <v>1</v>
      </c>
      <c r="C405" s="102" t="s">
        <v>559</v>
      </c>
      <c r="D405" s="10">
        <v>2167</v>
      </c>
      <c r="E405" s="10">
        <v>7</v>
      </c>
      <c r="F405" s="10">
        <v>0</v>
      </c>
      <c r="G405" s="33" t="s">
        <v>675</v>
      </c>
      <c r="H405" s="25">
        <v>1</v>
      </c>
    </row>
    <row r="406" spans="1:8" x14ac:dyDescent="0.25">
      <c r="A406" s="26"/>
      <c r="B406" s="25">
        <v>1</v>
      </c>
      <c r="C406" s="102" t="s">
        <v>560</v>
      </c>
      <c r="D406" s="10">
        <v>2168</v>
      </c>
      <c r="E406" s="10">
        <v>3</v>
      </c>
      <c r="F406" s="10">
        <v>0</v>
      </c>
      <c r="G406" s="33" t="s">
        <v>675</v>
      </c>
      <c r="H406" s="25">
        <v>1</v>
      </c>
    </row>
    <row r="407" spans="1:8" x14ac:dyDescent="0.25">
      <c r="A407" s="26"/>
      <c r="B407" s="25">
        <v>1</v>
      </c>
      <c r="C407" s="102" t="s">
        <v>561</v>
      </c>
      <c r="D407" s="10">
        <v>2168</v>
      </c>
      <c r="E407" s="10">
        <v>10</v>
      </c>
      <c r="F407" s="10">
        <v>0</v>
      </c>
      <c r="G407" s="33" t="s">
        <v>675</v>
      </c>
      <c r="H407" s="25">
        <v>1</v>
      </c>
    </row>
    <row r="408" spans="1:8" x14ac:dyDescent="0.25">
      <c r="A408" s="26"/>
      <c r="B408" s="25">
        <v>1</v>
      </c>
      <c r="C408" s="102" t="s">
        <v>562</v>
      </c>
      <c r="D408" s="10">
        <v>2168</v>
      </c>
      <c r="E408" s="10">
        <v>10</v>
      </c>
      <c r="F408" s="10">
        <v>0</v>
      </c>
      <c r="G408" s="33" t="s">
        <v>675</v>
      </c>
      <c r="H408" s="25">
        <v>1</v>
      </c>
    </row>
    <row r="409" spans="1:8" x14ac:dyDescent="0.25">
      <c r="A409" s="26"/>
      <c r="B409" s="25">
        <v>1</v>
      </c>
      <c r="C409" s="102" t="s">
        <v>563</v>
      </c>
      <c r="D409" s="10">
        <v>2170</v>
      </c>
      <c r="E409" s="10">
        <v>12</v>
      </c>
      <c r="F409" s="10">
        <v>0</v>
      </c>
      <c r="G409" s="33" t="s">
        <v>675</v>
      </c>
      <c r="H409" s="25">
        <v>1</v>
      </c>
    </row>
    <row r="410" spans="1:8" x14ac:dyDescent="0.25">
      <c r="A410" s="26"/>
      <c r="B410" s="25">
        <v>1</v>
      </c>
      <c r="C410" s="102" t="s">
        <v>564</v>
      </c>
      <c r="D410" s="10">
        <v>2168</v>
      </c>
      <c r="E410" s="10">
        <v>4</v>
      </c>
      <c r="F410" s="10">
        <v>0</v>
      </c>
      <c r="G410" s="33" t="s">
        <v>675</v>
      </c>
      <c r="H410" s="25">
        <v>1</v>
      </c>
    </row>
    <row r="412" spans="1:8" x14ac:dyDescent="0.25">
      <c r="A412" s="31" t="s">
        <v>565</v>
      </c>
      <c r="B412" s="25">
        <f>SUM(B413:B417)</f>
        <v>5</v>
      </c>
      <c r="C412" s="32" t="s">
        <v>35</v>
      </c>
      <c r="D412" s="32" t="s">
        <v>35</v>
      </c>
      <c r="E412" s="30">
        <f>SUM(E413:E417)</f>
        <v>35</v>
      </c>
      <c r="F412" s="30">
        <f>SUM(F413:F417)</f>
        <v>11</v>
      </c>
      <c r="G412" s="34" t="s">
        <v>679</v>
      </c>
      <c r="H412" s="25">
        <v>1</v>
      </c>
    </row>
    <row r="413" spans="1:8" x14ac:dyDescent="0.25">
      <c r="A413" s="25" t="s">
        <v>566</v>
      </c>
      <c r="B413" s="25">
        <v>1</v>
      </c>
      <c r="C413" s="102" t="s">
        <v>567</v>
      </c>
      <c r="D413" s="10">
        <v>2527</v>
      </c>
      <c r="E413" s="10">
        <v>9</v>
      </c>
      <c r="F413" s="10">
        <v>11</v>
      </c>
      <c r="G413" s="34" t="s">
        <v>679</v>
      </c>
      <c r="H413" s="25">
        <v>1</v>
      </c>
    </row>
    <row r="414" spans="1:8" x14ac:dyDescent="0.25">
      <c r="A414" s="26"/>
      <c r="B414" s="25">
        <v>1</v>
      </c>
      <c r="C414" s="102" t="s">
        <v>568</v>
      </c>
      <c r="D414" s="10">
        <v>2527</v>
      </c>
      <c r="E414" s="10">
        <v>11</v>
      </c>
      <c r="F414" s="10">
        <v>0</v>
      </c>
      <c r="G414" s="34" t="s">
        <v>679</v>
      </c>
      <c r="H414" s="25">
        <v>1</v>
      </c>
    </row>
    <row r="415" spans="1:8" x14ac:dyDescent="0.25">
      <c r="A415" s="26"/>
      <c r="B415" s="25">
        <v>1</v>
      </c>
      <c r="C415" s="102" t="s">
        <v>569</v>
      </c>
      <c r="D415" s="10">
        <v>2528</v>
      </c>
      <c r="E415" s="10">
        <v>3</v>
      </c>
      <c r="F415" s="10">
        <v>0</v>
      </c>
      <c r="G415" s="34" t="s">
        <v>679</v>
      </c>
      <c r="H415" s="25">
        <v>1</v>
      </c>
    </row>
    <row r="416" spans="1:8" x14ac:dyDescent="0.25">
      <c r="A416" s="26"/>
      <c r="B416" s="25">
        <v>1</v>
      </c>
      <c r="C416" s="102" t="s">
        <v>570</v>
      </c>
      <c r="D416" s="10">
        <v>2530</v>
      </c>
      <c r="E416" s="10">
        <v>4</v>
      </c>
      <c r="F416" s="10">
        <v>0</v>
      </c>
      <c r="G416" s="34" t="s">
        <v>679</v>
      </c>
      <c r="H416" s="25">
        <v>1</v>
      </c>
    </row>
    <row r="417" spans="1:8" x14ac:dyDescent="0.25">
      <c r="A417" s="26"/>
      <c r="B417" s="25">
        <v>1</v>
      </c>
      <c r="C417" s="102" t="s">
        <v>571</v>
      </c>
      <c r="D417" s="10">
        <v>2529</v>
      </c>
      <c r="E417" s="10">
        <v>8</v>
      </c>
      <c r="F417" s="10">
        <v>0</v>
      </c>
      <c r="G417" s="34" t="s">
        <v>679</v>
      </c>
      <c r="H417" s="25">
        <v>1</v>
      </c>
    </row>
  </sheetData>
  <mergeCells count="5">
    <mergeCell ref="A4:A5"/>
    <mergeCell ref="B4:D4"/>
    <mergeCell ref="E4:F4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186"/>
  <sheetViews>
    <sheetView zoomScale="90" zoomScaleNormal="90" workbookViewId="0">
      <pane ySplit="6" topLeftCell="A7" activePane="bottomLeft" state="frozen"/>
      <selection pane="bottomLeft" activeCell="B7" sqref="B7"/>
    </sheetView>
  </sheetViews>
  <sheetFormatPr defaultColWidth="9.140625" defaultRowHeight="15" outlineLevelRow="1" x14ac:dyDescent="0.25"/>
  <cols>
    <col min="1" max="1" width="38" style="13" bestFit="1" customWidth="1"/>
    <col min="2" max="2" width="16.28515625" style="13" customWidth="1"/>
    <col min="3" max="3" width="26.140625" style="13" bestFit="1" customWidth="1"/>
    <col min="4" max="5" width="13" style="13" customWidth="1"/>
    <col min="6" max="6" width="15.140625" style="13" customWidth="1"/>
    <col min="7" max="7" width="12.140625" style="13" bestFit="1" customWidth="1"/>
    <col min="8" max="8" width="17.85546875" style="13" customWidth="1"/>
    <col min="9" max="9" width="17.28515625" style="13" bestFit="1" customWidth="1"/>
    <col min="10" max="10" width="14.7109375" style="13" bestFit="1" customWidth="1"/>
    <col min="11" max="11" width="17.85546875" style="13" customWidth="1"/>
    <col min="12" max="12" width="20.42578125" style="13" customWidth="1"/>
    <col min="13" max="13" width="14.7109375" style="13" customWidth="1"/>
    <col min="14" max="16384" width="9.140625" style="13"/>
  </cols>
  <sheetData>
    <row r="1" spans="1:48" ht="34.5" x14ac:dyDescent="0.4">
      <c r="A1" s="6" t="s">
        <v>165</v>
      </c>
      <c r="B1" s="4" t="s">
        <v>55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5"/>
      <c r="Z1" s="5"/>
      <c r="AA1" s="5"/>
      <c r="AB1" s="5"/>
      <c r="AC1" s="5"/>
      <c r="AD1" s="5"/>
      <c r="AE1" s="5"/>
      <c r="AF1" s="5"/>
      <c r="AG1" s="5"/>
      <c r="AH1" s="5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4" spans="1:48" ht="18" customHeight="1" x14ac:dyDescent="0.25">
      <c r="A4" s="168" t="s">
        <v>0</v>
      </c>
      <c r="B4" s="121" t="s">
        <v>10</v>
      </c>
      <c r="C4" s="121"/>
      <c r="D4" s="121"/>
      <c r="E4" s="121" t="s">
        <v>9</v>
      </c>
      <c r="F4" s="121"/>
      <c r="G4" s="121"/>
      <c r="H4" s="121"/>
      <c r="I4" s="121"/>
      <c r="J4" s="121"/>
      <c r="K4" s="121"/>
      <c r="L4" s="175" t="s">
        <v>67</v>
      </c>
      <c r="M4" s="175" t="s">
        <v>4</v>
      </c>
    </row>
    <row r="5" spans="1:48" ht="30" customHeight="1" x14ac:dyDescent="0.25">
      <c r="A5" s="172"/>
      <c r="B5" s="171" t="s">
        <v>3</v>
      </c>
      <c r="C5" s="171" t="s">
        <v>8</v>
      </c>
      <c r="D5" s="171" t="s">
        <v>13</v>
      </c>
      <c r="E5" s="173" t="s">
        <v>1</v>
      </c>
      <c r="F5" s="173" t="s">
        <v>146</v>
      </c>
      <c r="G5" s="171" t="s">
        <v>36</v>
      </c>
      <c r="H5" s="171" t="s">
        <v>37</v>
      </c>
      <c r="I5" s="171" t="s">
        <v>39</v>
      </c>
      <c r="J5" s="171" t="s">
        <v>40</v>
      </c>
      <c r="K5" s="171" t="s">
        <v>41</v>
      </c>
      <c r="L5" s="175"/>
      <c r="M5" s="175"/>
    </row>
    <row r="6" spans="1:48" ht="15" customHeight="1" x14ac:dyDescent="0.25">
      <c r="A6" s="169"/>
      <c r="B6" s="171"/>
      <c r="C6" s="171"/>
      <c r="D6" s="171"/>
      <c r="E6" s="174"/>
      <c r="F6" s="174"/>
      <c r="G6" s="171"/>
      <c r="H6" s="171"/>
      <c r="I6" s="171"/>
      <c r="J6" s="171"/>
      <c r="K6" s="171"/>
      <c r="L6" s="175"/>
      <c r="M6" s="175"/>
    </row>
    <row r="7" spans="1:48" x14ac:dyDescent="0.25">
      <c r="A7" s="14"/>
      <c r="B7" s="15"/>
      <c r="C7" s="15"/>
      <c r="D7" s="15"/>
      <c r="E7" s="15"/>
      <c r="F7" s="16"/>
      <c r="G7" s="16"/>
      <c r="H7" s="16"/>
      <c r="I7" s="16"/>
      <c r="J7" s="16"/>
      <c r="K7" s="16"/>
      <c r="L7" s="17"/>
      <c r="M7" s="17"/>
    </row>
    <row r="8" spans="1:48" s="26" customFormat="1" ht="14.25" customHeight="1" x14ac:dyDescent="0.25">
      <c r="A8" s="31" t="s">
        <v>163</v>
      </c>
      <c r="B8" s="25">
        <f>SUM(B9:B9)</f>
        <v>1</v>
      </c>
      <c r="C8" s="32" t="s">
        <v>35</v>
      </c>
      <c r="D8" s="32" t="s">
        <v>35</v>
      </c>
      <c r="E8" s="25">
        <f t="shared" ref="E8:K8" si="0">SUM(E9:E9)</f>
        <v>5</v>
      </c>
      <c r="F8" s="25">
        <f t="shared" si="0"/>
        <v>8</v>
      </c>
      <c r="G8" s="30">
        <f t="shared" si="0"/>
        <v>0</v>
      </c>
      <c r="H8" s="30">
        <v>0</v>
      </c>
      <c r="I8" s="30">
        <v>0</v>
      </c>
      <c r="J8" s="30">
        <v>0</v>
      </c>
      <c r="K8" s="30">
        <f t="shared" si="0"/>
        <v>1</v>
      </c>
      <c r="L8" s="34" t="s">
        <v>672</v>
      </c>
      <c r="M8" s="32" t="s">
        <v>35</v>
      </c>
    </row>
    <row r="9" spans="1:48" s="26" customFormat="1" outlineLevel="1" x14ac:dyDescent="0.25">
      <c r="A9" s="25" t="s">
        <v>629</v>
      </c>
      <c r="B9" s="25">
        <v>1</v>
      </c>
      <c r="C9" s="102" t="s">
        <v>572</v>
      </c>
      <c r="D9" s="10">
        <v>2220</v>
      </c>
      <c r="E9" s="10">
        <v>5</v>
      </c>
      <c r="F9" s="10">
        <v>8</v>
      </c>
      <c r="G9" s="25">
        <v>0</v>
      </c>
      <c r="H9" s="25">
        <v>0</v>
      </c>
      <c r="I9" s="25">
        <v>0</v>
      </c>
      <c r="J9" s="25">
        <v>0</v>
      </c>
      <c r="K9" s="25">
        <v>1</v>
      </c>
      <c r="L9" s="34" t="s">
        <v>672</v>
      </c>
      <c r="M9" s="24">
        <v>14</v>
      </c>
    </row>
    <row r="10" spans="1:48" s="26" customFormat="1" ht="14.25" x14ac:dyDescent="0.2"/>
    <row r="11" spans="1:48" s="26" customFormat="1" ht="14.25" customHeight="1" x14ac:dyDescent="0.25">
      <c r="A11" s="31" t="s">
        <v>174</v>
      </c>
      <c r="B11" s="25">
        <f>SUM(B12:B12)</f>
        <v>1</v>
      </c>
      <c r="C11" s="32" t="s">
        <v>35</v>
      </c>
      <c r="D11" s="32" t="s">
        <v>35</v>
      </c>
      <c r="E11" s="25">
        <f t="shared" ref="E11:K11" si="1">SUM(E12:E12)</f>
        <v>10</v>
      </c>
      <c r="F11" s="25">
        <f t="shared" si="1"/>
        <v>15</v>
      </c>
      <c r="G11" s="30">
        <f t="shared" si="1"/>
        <v>1</v>
      </c>
      <c r="H11" s="30">
        <v>0</v>
      </c>
      <c r="I11" s="30">
        <v>0</v>
      </c>
      <c r="J11" s="30">
        <v>0</v>
      </c>
      <c r="K11" s="30">
        <f t="shared" si="1"/>
        <v>1</v>
      </c>
      <c r="L11" s="34" t="s">
        <v>672</v>
      </c>
      <c r="M11" s="32" t="s">
        <v>35</v>
      </c>
    </row>
    <row r="12" spans="1:48" s="26" customFormat="1" ht="15.75" customHeight="1" outlineLevel="1" x14ac:dyDescent="0.25">
      <c r="A12" s="25" t="s">
        <v>630</v>
      </c>
      <c r="B12" s="25">
        <v>1</v>
      </c>
      <c r="C12" s="102" t="s">
        <v>572</v>
      </c>
      <c r="D12" s="10">
        <v>2220</v>
      </c>
      <c r="E12" s="10">
        <v>10</v>
      </c>
      <c r="F12" s="10">
        <v>15</v>
      </c>
      <c r="G12" s="25">
        <v>1</v>
      </c>
      <c r="H12" s="25">
        <v>0</v>
      </c>
      <c r="I12" s="25">
        <v>0</v>
      </c>
      <c r="J12" s="25">
        <v>0</v>
      </c>
      <c r="K12" s="25">
        <v>1</v>
      </c>
      <c r="L12" s="34" t="s">
        <v>672</v>
      </c>
      <c r="M12" s="24">
        <v>14</v>
      </c>
    </row>
    <row r="14" spans="1:48" s="26" customFormat="1" ht="14.25" customHeight="1" x14ac:dyDescent="0.25">
      <c r="A14" s="31" t="s">
        <v>184</v>
      </c>
      <c r="B14" s="25">
        <f>SUM(B15:B15)</f>
        <v>0</v>
      </c>
      <c r="C14" s="32" t="s">
        <v>35</v>
      </c>
      <c r="D14" s="32" t="s">
        <v>35</v>
      </c>
      <c r="E14" s="25">
        <f t="shared" ref="E14:K14" si="2">SUM(E15:E15)</f>
        <v>0</v>
      </c>
      <c r="F14" s="25">
        <f t="shared" si="2"/>
        <v>0</v>
      </c>
      <c r="G14" s="30">
        <f t="shared" si="2"/>
        <v>0</v>
      </c>
      <c r="H14" s="30">
        <f t="shared" si="2"/>
        <v>0</v>
      </c>
      <c r="I14" s="30">
        <f t="shared" si="2"/>
        <v>0</v>
      </c>
      <c r="J14" s="30">
        <f t="shared" si="2"/>
        <v>0</v>
      </c>
      <c r="K14" s="30">
        <f t="shared" si="2"/>
        <v>0</v>
      </c>
      <c r="L14" s="34" t="s">
        <v>672</v>
      </c>
      <c r="M14" s="32" t="s">
        <v>35</v>
      </c>
    </row>
    <row r="15" spans="1:48" s="26" customFormat="1" outlineLevel="1" x14ac:dyDescent="0.25">
      <c r="A15" s="25" t="s">
        <v>674</v>
      </c>
      <c r="B15" s="25"/>
      <c r="C15" s="102" t="s">
        <v>673</v>
      </c>
      <c r="D15" s="10"/>
      <c r="E15" s="10"/>
      <c r="F15" s="10"/>
      <c r="G15" s="25"/>
      <c r="H15" s="25"/>
      <c r="I15" s="25"/>
      <c r="J15" s="25"/>
      <c r="K15" s="25"/>
      <c r="L15" s="34" t="s">
        <v>672</v>
      </c>
      <c r="M15" s="24"/>
    </row>
    <row r="17" spans="1:13" s="26" customFormat="1" ht="14.25" customHeight="1" x14ac:dyDescent="0.25">
      <c r="A17" s="31" t="s">
        <v>573</v>
      </c>
      <c r="B17" s="25">
        <f>SUM(B18:B18)</f>
        <v>1</v>
      </c>
      <c r="C17" s="32" t="s">
        <v>35</v>
      </c>
      <c r="D17" s="32" t="s">
        <v>35</v>
      </c>
      <c r="E17" s="25">
        <f t="shared" ref="E17:K17" si="3">SUM(E18:E18)</f>
        <v>3</v>
      </c>
      <c r="F17" s="25">
        <f t="shared" si="3"/>
        <v>6</v>
      </c>
      <c r="G17" s="30">
        <f t="shared" si="3"/>
        <v>1</v>
      </c>
      <c r="H17" s="30">
        <v>0</v>
      </c>
      <c r="I17" s="30">
        <f t="shared" si="3"/>
        <v>0</v>
      </c>
      <c r="J17" s="30">
        <v>0</v>
      </c>
      <c r="K17" s="30">
        <f t="shared" si="3"/>
        <v>1</v>
      </c>
      <c r="L17" s="34" t="s">
        <v>675</v>
      </c>
      <c r="M17" s="32" t="s">
        <v>35</v>
      </c>
    </row>
    <row r="18" spans="1:13" s="26" customFormat="1" outlineLevel="1" x14ac:dyDescent="0.25">
      <c r="A18" s="25" t="s">
        <v>631</v>
      </c>
      <c r="B18" s="25">
        <v>1</v>
      </c>
      <c r="C18" s="102" t="s">
        <v>574</v>
      </c>
      <c r="D18" s="10">
        <v>2153</v>
      </c>
      <c r="E18" s="10">
        <v>3</v>
      </c>
      <c r="F18" s="10">
        <v>6</v>
      </c>
      <c r="G18" s="25">
        <v>1</v>
      </c>
      <c r="H18" s="25">
        <v>0</v>
      </c>
      <c r="I18" s="25">
        <v>0</v>
      </c>
      <c r="J18" s="25">
        <v>0</v>
      </c>
      <c r="K18" s="25">
        <v>1</v>
      </c>
      <c r="L18" s="34" t="s">
        <v>675</v>
      </c>
      <c r="M18" s="24">
        <v>14</v>
      </c>
    </row>
    <row r="20" spans="1:13" x14ac:dyDescent="0.25">
      <c r="A20" s="31" t="s">
        <v>396</v>
      </c>
      <c r="B20" s="25">
        <f>SUM(B21:B24)</f>
        <v>4</v>
      </c>
      <c r="C20" s="32" t="s">
        <v>35</v>
      </c>
      <c r="D20" s="32" t="s">
        <v>35</v>
      </c>
      <c r="E20" s="25">
        <f t="shared" ref="E20:K20" si="4">SUM(E21:E24)</f>
        <v>18</v>
      </c>
      <c r="F20" s="25">
        <f t="shared" si="4"/>
        <v>22</v>
      </c>
      <c r="G20" s="30">
        <f t="shared" si="4"/>
        <v>0</v>
      </c>
      <c r="H20" s="30">
        <v>0</v>
      </c>
      <c r="I20" s="30">
        <f t="shared" si="4"/>
        <v>0</v>
      </c>
      <c r="J20" s="30">
        <v>0</v>
      </c>
      <c r="K20" s="30">
        <f t="shared" si="4"/>
        <v>4</v>
      </c>
      <c r="L20" s="34" t="s">
        <v>672</v>
      </c>
      <c r="M20" s="32" t="s">
        <v>35</v>
      </c>
    </row>
    <row r="21" spans="1:13" x14ac:dyDescent="0.25">
      <c r="A21" s="25" t="s">
        <v>632</v>
      </c>
      <c r="B21" s="25">
        <v>1</v>
      </c>
      <c r="C21" s="102" t="s">
        <v>575</v>
      </c>
      <c r="D21" s="10">
        <v>2165</v>
      </c>
      <c r="E21" s="10">
        <v>5</v>
      </c>
      <c r="F21" s="10">
        <v>8</v>
      </c>
      <c r="G21" s="25">
        <v>0</v>
      </c>
      <c r="H21" s="25">
        <v>0</v>
      </c>
      <c r="I21" s="25">
        <v>0</v>
      </c>
      <c r="J21" s="25">
        <v>0</v>
      </c>
      <c r="K21" s="25">
        <v>1</v>
      </c>
      <c r="L21" s="34" t="s">
        <v>672</v>
      </c>
      <c r="M21" s="24">
        <v>14</v>
      </c>
    </row>
    <row r="22" spans="1:13" x14ac:dyDescent="0.25">
      <c r="A22" s="26"/>
      <c r="B22" s="25">
        <v>1</v>
      </c>
      <c r="C22" s="102" t="s">
        <v>576</v>
      </c>
      <c r="D22" s="10">
        <v>2141</v>
      </c>
      <c r="E22" s="10">
        <v>5</v>
      </c>
      <c r="F22" s="10">
        <v>0</v>
      </c>
      <c r="G22" s="25">
        <v>0</v>
      </c>
      <c r="H22" s="25">
        <v>0</v>
      </c>
      <c r="I22" s="25">
        <v>0</v>
      </c>
      <c r="J22" s="25">
        <v>0</v>
      </c>
      <c r="K22" s="25">
        <v>1</v>
      </c>
      <c r="L22" s="34" t="s">
        <v>672</v>
      </c>
      <c r="M22" s="24">
        <v>14</v>
      </c>
    </row>
    <row r="23" spans="1:13" x14ac:dyDescent="0.25">
      <c r="A23" s="26"/>
      <c r="B23" s="25">
        <v>1</v>
      </c>
      <c r="C23" s="102" t="s">
        <v>577</v>
      </c>
      <c r="D23" s="10">
        <v>2150</v>
      </c>
      <c r="E23" s="10">
        <v>5</v>
      </c>
      <c r="F23" s="10">
        <v>8</v>
      </c>
      <c r="G23" s="25">
        <v>0</v>
      </c>
      <c r="H23" s="25">
        <v>0</v>
      </c>
      <c r="I23" s="25">
        <v>0</v>
      </c>
      <c r="J23" s="25">
        <v>0</v>
      </c>
      <c r="K23" s="25">
        <v>1</v>
      </c>
      <c r="L23" s="34" t="s">
        <v>672</v>
      </c>
      <c r="M23" s="24">
        <v>14</v>
      </c>
    </row>
    <row r="24" spans="1:13" x14ac:dyDescent="0.25">
      <c r="A24" s="26"/>
      <c r="B24" s="25">
        <v>1</v>
      </c>
      <c r="C24" s="102" t="s">
        <v>283</v>
      </c>
      <c r="D24" s="10">
        <v>2164</v>
      </c>
      <c r="E24" s="10">
        <v>3</v>
      </c>
      <c r="F24" s="10">
        <v>6</v>
      </c>
      <c r="G24" s="25">
        <v>0</v>
      </c>
      <c r="H24" s="25">
        <v>0</v>
      </c>
      <c r="I24" s="25">
        <v>0</v>
      </c>
      <c r="J24" s="25">
        <v>0</v>
      </c>
      <c r="K24" s="25">
        <v>1</v>
      </c>
      <c r="L24" s="34" t="s">
        <v>672</v>
      </c>
      <c r="M24" s="24">
        <v>14</v>
      </c>
    </row>
    <row r="26" spans="1:13" s="26" customFormat="1" ht="14.25" customHeight="1" x14ac:dyDescent="0.25">
      <c r="A26" s="31" t="s">
        <v>676</v>
      </c>
      <c r="B26" s="25">
        <f>SUM(B27:B27)</f>
        <v>0</v>
      </c>
      <c r="C26" s="32" t="s">
        <v>35</v>
      </c>
      <c r="D26" s="32" t="s">
        <v>35</v>
      </c>
      <c r="E26" s="25">
        <f t="shared" ref="E26:K26" si="5">SUM(E27:E27)</f>
        <v>0</v>
      </c>
      <c r="F26" s="25">
        <f t="shared" si="5"/>
        <v>0</v>
      </c>
      <c r="G26" s="30">
        <f t="shared" si="5"/>
        <v>0</v>
      </c>
      <c r="H26" s="30">
        <f t="shared" si="5"/>
        <v>0</v>
      </c>
      <c r="I26" s="30">
        <f t="shared" si="5"/>
        <v>0</v>
      </c>
      <c r="J26" s="30">
        <f t="shared" si="5"/>
        <v>0</v>
      </c>
      <c r="K26" s="30">
        <f t="shared" si="5"/>
        <v>0</v>
      </c>
      <c r="L26" s="34" t="s">
        <v>672</v>
      </c>
      <c r="M26" s="32" t="s">
        <v>35</v>
      </c>
    </row>
    <row r="27" spans="1:13" s="26" customFormat="1" outlineLevel="1" x14ac:dyDescent="0.25">
      <c r="A27" s="25" t="s">
        <v>677</v>
      </c>
      <c r="B27" s="25"/>
      <c r="C27" s="102" t="s">
        <v>673</v>
      </c>
      <c r="D27" s="10"/>
      <c r="E27" s="10"/>
      <c r="F27" s="10"/>
      <c r="G27" s="25"/>
      <c r="H27" s="25"/>
      <c r="I27" s="25"/>
      <c r="J27" s="25"/>
      <c r="K27" s="25"/>
      <c r="L27" s="34" t="s">
        <v>672</v>
      </c>
      <c r="M27" s="24"/>
    </row>
    <row r="28" spans="1:13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1:13" x14ac:dyDescent="0.25">
      <c r="A29" s="31" t="s">
        <v>578</v>
      </c>
      <c r="B29" s="25">
        <f>SUM(B30:B31)</f>
        <v>2</v>
      </c>
      <c r="C29" s="32" t="s">
        <v>35</v>
      </c>
      <c r="D29" s="32" t="s">
        <v>35</v>
      </c>
      <c r="E29" s="25">
        <f t="shared" ref="E29:K29" si="6">SUM(E30:E31)</f>
        <v>17</v>
      </c>
      <c r="F29" s="25">
        <f t="shared" si="6"/>
        <v>24</v>
      </c>
      <c r="G29" s="30">
        <f t="shared" si="6"/>
        <v>1</v>
      </c>
      <c r="H29" s="30">
        <f t="shared" si="6"/>
        <v>0</v>
      </c>
      <c r="I29" s="30">
        <f t="shared" si="6"/>
        <v>0</v>
      </c>
      <c r="J29" s="30">
        <f t="shared" si="6"/>
        <v>0</v>
      </c>
      <c r="K29" s="30">
        <f t="shared" si="6"/>
        <v>2</v>
      </c>
      <c r="L29" s="34" t="s">
        <v>678</v>
      </c>
      <c r="M29" s="32" t="s">
        <v>35</v>
      </c>
    </row>
    <row r="30" spans="1:13" x14ac:dyDescent="0.25">
      <c r="A30" s="25" t="s">
        <v>633</v>
      </c>
      <c r="B30" s="25">
        <v>1</v>
      </c>
      <c r="C30" s="102" t="s">
        <v>225</v>
      </c>
      <c r="D30" s="10">
        <v>2800</v>
      </c>
      <c r="E30" s="10">
        <v>9</v>
      </c>
      <c r="F30" s="10">
        <v>13</v>
      </c>
      <c r="G30" s="25">
        <v>1</v>
      </c>
      <c r="H30" s="25">
        <v>0</v>
      </c>
      <c r="I30" s="25">
        <v>0</v>
      </c>
      <c r="J30" s="25">
        <v>0</v>
      </c>
      <c r="K30" s="25">
        <v>1</v>
      </c>
      <c r="L30" s="34" t="s">
        <v>678</v>
      </c>
      <c r="M30" s="24">
        <v>14</v>
      </c>
    </row>
    <row r="31" spans="1:13" x14ac:dyDescent="0.25">
      <c r="A31" s="26"/>
      <c r="B31" s="25">
        <v>1</v>
      </c>
      <c r="C31" s="102" t="s">
        <v>579</v>
      </c>
      <c r="D31" s="10">
        <v>2795</v>
      </c>
      <c r="E31" s="10">
        <v>8</v>
      </c>
      <c r="F31" s="10">
        <v>11</v>
      </c>
      <c r="G31" s="25">
        <v>0</v>
      </c>
      <c r="H31" s="25">
        <v>0</v>
      </c>
      <c r="I31" s="25">
        <v>0</v>
      </c>
      <c r="J31" s="25">
        <v>0</v>
      </c>
      <c r="K31" s="25">
        <v>1</v>
      </c>
      <c r="L31" s="34" t="s">
        <v>678</v>
      </c>
      <c r="M31" s="24">
        <v>14</v>
      </c>
    </row>
    <row r="33" spans="1:13" x14ac:dyDescent="0.25">
      <c r="A33" s="31" t="s">
        <v>351</v>
      </c>
      <c r="B33" s="25">
        <f>SUM(B34:B34)</f>
        <v>1</v>
      </c>
      <c r="C33" s="32" t="s">
        <v>35</v>
      </c>
      <c r="D33" s="32" t="s">
        <v>35</v>
      </c>
      <c r="E33" s="25">
        <f t="shared" ref="E33:K33" si="7">SUM(E34:E34)</f>
        <v>3</v>
      </c>
      <c r="F33" s="25">
        <f t="shared" si="7"/>
        <v>6</v>
      </c>
      <c r="G33" s="30">
        <f t="shared" si="7"/>
        <v>1</v>
      </c>
      <c r="H33" s="30">
        <f t="shared" si="7"/>
        <v>0</v>
      </c>
      <c r="I33" s="30">
        <f t="shared" si="7"/>
        <v>0</v>
      </c>
      <c r="J33" s="30">
        <f t="shared" si="7"/>
        <v>0</v>
      </c>
      <c r="K33" s="30">
        <f t="shared" si="7"/>
        <v>1</v>
      </c>
      <c r="L33" s="34" t="s">
        <v>675</v>
      </c>
      <c r="M33" s="32" t="s">
        <v>35</v>
      </c>
    </row>
    <row r="34" spans="1:13" x14ac:dyDescent="0.25">
      <c r="A34" s="25" t="s">
        <v>634</v>
      </c>
      <c r="B34" s="25">
        <v>1</v>
      </c>
      <c r="C34" s="102" t="s">
        <v>580</v>
      </c>
      <c r="D34" s="10">
        <v>2750</v>
      </c>
      <c r="E34" s="10">
        <v>3</v>
      </c>
      <c r="F34" s="10">
        <v>6</v>
      </c>
      <c r="G34" s="25">
        <v>1</v>
      </c>
      <c r="H34" s="25">
        <v>0</v>
      </c>
      <c r="I34" s="25">
        <v>0</v>
      </c>
      <c r="J34" s="25">
        <v>0</v>
      </c>
      <c r="K34" s="25">
        <v>1</v>
      </c>
      <c r="L34" s="34" t="s">
        <v>675</v>
      </c>
      <c r="M34" s="24">
        <v>14</v>
      </c>
    </row>
    <row r="36" spans="1:13" x14ac:dyDescent="0.25">
      <c r="A36" s="31" t="s">
        <v>581</v>
      </c>
      <c r="B36" s="25">
        <f>SUM(B37:B39)</f>
        <v>3</v>
      </c>
      <c r="C36" s="32" t="s">
        <v>35</v>
      </c>
      <c r="D36" s="32" t="s">
        <v>35</v>
      </c>
      <c r="E36" s="25">
        <f t="shared" ref="E36:K36" si="8">SUM(E37:E39)</f>
        <v>9</v>
      </c>
      <c r="F36" s="25">
        <f t="shared" si="8"/>
        <v>6</v>
      </c>
      <c r="G36" s="30">
        <f t="shared" si="8"/>
        <v>0</v>
      </c>
      <c r="H36" s="30">
        <f t="shared" si="8"/>
        <v>0</v>
      </c>
      <c r="I36" s="30">
        <f t="shared" si="8"/>
        <v>0</v>
      </c>
      <c r="J36" s="30">
        <f t="shared" si="8"/>
        <v>0</v>
      </c>
      <c r="K36" s="30">
        <f t="shared" si="8"/>
        <v>3</v>
      </c>
      <c r="L36" s="34" t="s">
        <v>672</v>
      </c>
      <c r="M36" s="32" t="s">
        <v>35</v>
      </c>
    </row>
    <row r="37" spans="1:13" x14ac:dyDescent="0.25">
      <c r="A37" s="25" t="s">
        <v>635</v>
      </c>
      <c r="B37" s="25">
        <v>1</v>
      </c>
      <c r="C37" s="102" t="s">
        <v>242</v>
      </c>
      <c r="D37" s="10">
        <v>2230</v>
      </c>
      <c r="E37" s="10">
        <v>3</v>
      </c>
      <c r="F37" s="10">
        <v>0</v>
      </c>
      <c r="G37" s="25">
        <v>0</v>
      </c>
      <c r="H37" s="25">
        <v>0</v>
      </c>
      <c r="I37" s="25">
        <v>0</v>
      </c>
      <c r="J37" s="25">
        <v>0</v>
      </c>
      <c r="K37" s="25">
        <v>1</v>
      </c>
      <c r="L37" s="34" t="s">
        <v>672</v>
      </c>
      <c r="M37" s="24">
        <v>14</v>
      </c>
    </row>
    <row r="38" spans="1:13" x14ac:dyDescent="0.25">
      <c r="A38" s="26"/>
      <c r="B38" s="25">
        <v>1</v>
      </c>
      <c r="C38" s="102" t="s">
        <v>572</v>
      </c>
      <c r="D38" s="10">
        <v>2220</v>
      </c>
      <c r="E38" s="10">
        <v>3</v>
      </c>
      <c r="F38" s="10">
        <v>6</v>
      </c>
      <c r="G38" s="25">
        <v>0</v>
      </c>
      <c r="H38" s="25">
        <v>0</v>
      </c>
      <c r="I38" s="25">
        <v>0</v>
      </c>
      <c r="J38" s="25">
        <v>0</v>
      </c>
      <c r="K38" s="25">
        <v>1</v>
      </c>
      <c r="L38" s="34" t="s">
        <v>672</v>
      </c>
      <c r="M38" s="24">
        <v>14</v>
      </c>
    </row>
    <row r="39" spans="1:13" x14ac:dyDescent="0.25">
      <c r="A39" s="26"/>
      <c r="B39" s="25">
        <v>1</v>
      </c>
      <c r="C39" s="102" t="s">
        <v>245</v>
      </c>
      <c r="D39" s="10">
        <v>2228</v>
      </c>
      <c r="E39" s="10">
        <v>3</v>
      </c>
      <c r="F39" s="10">
        <v>0</v>
      </c>
      <c r="G39" s="25">
        <v>0</v>
      </c>
      <c r="H39" s="25">
        <v>0</v>
      </c>
      <c r="I39" s="25">
        <v>0</v>
      </c>
      <c r="J39" s="25">
        <v>0</v>
      </c>
      <c r="K39" s="25">
        <v>1</v>
      </c>
      <c r="L39" s="34" t="s">
        <v>672</v>
      </c>
      <c r="M39" s="24">
        <v>14</v>
      </c>
    </row>
    <row r="40" spans="1:13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3" x14ac:dyDescent="0.25">
      <c r="A41" s="31" t="s">
        <v>582</v>
      </c>
      <c r="B41" s="25">
        <f>SUM(B42:B43)</f>
        <v>2</v>
      </c>
      <c r="C41" s="32" t="s">
        <v>35</v>
      </c>
      <c r="D41" s="32" t="s">
        <v>35</v>
      </c>
      <c r="E41" s="25">
        <f t="shared" ref="E41:K41" si="9">SUM(E42:E43)</f>
        <v>20</v>
      </c>
      <c r="F41" s="25">
        <f t="shared" si="9"/>
        <v>29</v>
      </c>
      <c r="G41" s="30">
        <f t="shared" si="9"/>
        <v>1</v>
      </c>
      <c r="H41" s="30">
        <f t="shared" si="9"/>
        <v>0</v>
      </c>
      <c r="I41" s="30">
        <f t="shared" si="9"/>
        <v>0</v>
      </c>
      <c r="J41" s="30">
        <f t="shared" si="9"/>
        <v>0</v>
      </c>
      <c r="K41" s="30">
        <f t="shared" si="9"/>
        <v>2</v>
      </c>
      <c r="L41" s="34" t="s">
        <v>679</v>
      </c>
      <c r="M41" s="32" t="s">
        <v>35</v>
      </c>
    </row>
    <row r="42" spans="1:13" x14ac:dyDescent="0.25">
      <c r="A42" s="25" t="s">
        <v>636</v>
      </c>
      <c r="B42" s="25">
        <v>1</v>
      </c>
      <c r="C42" s="102" t="s">
        <v>248</v>
      </c>
      <c r="D42" s="10">
        <v>2450</v>
      </c>
      <c r="E42" s="10">
        <v>10</v>
      </c>
      <c r="F42" s="10">
        <v>14</v>
      </c>
      <c r="G42" s="25">
        <v>0</v>
      </c>
      <c r="H42" s="25">
        <v>0</v>
      </c>
      <c r="I42" s="25">
        <v>0</v>
      </c>
      <c r="J42" s="25">
        <v>0</v>
      </c>
      <c r="K42" s="25">
        <v>1</v>
      </c>
      <c r="L42" s="34" t="s">
        <v>679</v>
      </c>
      <c r="M42" s="24">
        <v>14</v>
      </c>
    </row>
    <row r="43" spans="1:13" x14ac:dyDescent="0.25">
      <c r="A43" s="26"/>
      <c r="B43" s="25">
        <v>1</v>
      </c>
      <c r="C43" s="102" t="s">
        <v>583</v>
      </c>
      <c r="D43" s="10">
        <v>2444</v>
      </c>
      <c r="E43" s="10">
        <v>10</v>
      </c>
      <c r="F43" s="10">
        <v>15</v>
      </c>
      <c r="G43" s="25">
        <v>1</v>
      </c>
      <c r="H43" s="25">
        <v>0</v>
      </c>
      <c r="I43" s="25">
        <v>0</v>
      </c>
      <c r="J43" s="25">
        <v>0</v>
      </c>
      <c r="K43" s="25">
        <v>1</v>
      </c>
      <c r="L43" s="34" t="s">
        <v>679</v>
      </c>
      <c r="M43" s="24">
        <v>14</v>
      </c>
    </row>
    <row r="45" spans="1:13" x14ac:dyDescent="0.25">
      <c r="A45" s="31" t="s">
        <v>584</v>
      </c>
      <c r="B45" s="25">
        <f>SUM(B46:B46)</f>
        <v>1</v>
      </c>
      <c r="C45" s="32" t="s">
        <v>35</v>
      </c>
      <c r="D45" s="32" t="s">
        <v>35</v>
      </c>
      <c r="E45" s="25">
        <f t="shared" ref="E45:K45" si="10">SUM(E46:E46)</f>
        <v>12</v>
      </c>
      <c r="F45" s="25">
        <f t="shared" si="10"/>
        <v>17</v>
      </c>
      <c r="G45" s="30">
        <f t="shared" si="10"/>
        <v>1</v>
      </c>
      <c r="H45" s="30">
        <f t="shared" si="10"/>
        <v>0</v>
      </c>
      <c r="I45" s="30">
        <f t="shared" si="10"/>
        <v>0</v>
      </c>
      <c r="J45" s="30">
        <f t="shared" si="10"/>
        <v>0</v>
      </c>
      <c r="K45" s="30">
        <f t="shared" si="10"/>
        <v>1</v>
      </c>
      <c r="L45" s="34" t="s">
        <v>679</v>
      </c>
      <c r="M45" s="32" t="s">
        <v>35</v>
      </c>
    </row>
    <row r="46" spans="1:13" x14ac:dyDescent="0.25">
      <c r="A46" s="25" t="s">
        <v>637</v>
      </c>
      <c r="B46" s="25">
        <v>1</v>
      </c>
      <c r="C46" s="102" t="s">
        <v>585</v>
      </c>
      <c r="D46" s="10">
        <v>2500</v>
      </c>
      <c r="E46" s="10">
        <v>12</v>
      </c>
      <c r="F46" s="10">
        <v>17</v>
      </c>
      <c r="G46" s="25">
        <v>1</v>
      </c>
      <c r="H46" s="25">
        <v>0</v>
      </c>
      <c r="I46" s="25">
        <v>0</v>
      </c>
      <c r="J46" s="25">
        <v>0</v>
      </c>
      <c r="K46" s="25">
        <v>1</v>
      </c>
      <c r="L46" s="34" t="s">
        <v>679</v>
      </c>
      <c r="M46" s="24">
        <v>14</v>
      </c>
    </row>
    <row r="48" spans="1:13" x14ac:dyDescent="0.25">
      <c r="A48" s="31" t="s">
        <v>586</v>
      </c>
      <c r="B48" s="25">
        <f>SUM(B49:B51)</f>
        <v>3</v>
      </c>
      <c r="C48" s="32" t="s">
        <v>35</v>
      </c>
      <c r="D48" s="32" t="s">
        <v>35</v>
      </c>
      <c r="E48" s="25">
        <f t="shared" ref="E48:K48" si="11">SUM(E49:E51)</f>
        <v>26</v>
      </c>
      <c r="F48" s="25">
        <f t="shared" si="11"/>
        <v>39</v>
      </c>
      <c r="G48" s="30">
        <f t="shared" si="11"/>
        <v>2</v>
      </c>
      <c r="H48" s="30">
        <f t="shared" si="11"/>
        <v>0</v>
      </c>
      <c r="I48" s="30">
        <f t="shared" si="11"/>
        <v>0</v>
      </c>
      <c r="J48" s="30">
        <f t="shared" si="11"/>
        <v>0</v>
      </c>
      <c r="K48" s="30">
        <f t="shared" si="11"/>
        <v>3</v>
      </c>
      <c r="L48" s="34" t="s">
        <v>679</v>
      </c>
      <c r="M48" s="32" t="s">
        <v>35</v>
      </c>
    </row>
    <row r="49" spans="1:13" x14ac:dyDescent="0.25">
      <c r="A49" s="25" t="s">
        <v>638</v>
      </c>
      <c r="B49" s="25">
        <v>1</v>
      </c>
      <c r="C49" s="102" t="s">
        <v>499</v>
      </c>
      <c r="D49" s="10">
        <v>2250</v>
      </c>
      <c r="E49" s="10">
        <v>5</v>
      </c>
      <c r="F49" s="10">
        <v>8</v>
      </c>
      <c r="G49" s="25">
        <v>1</v>
      </c>
      <c r="H49" s="25">
        <v>0</v>
      </c>
      <c r="I49" s="25">
        <v>0</v>
      </c>
      <c r="J49" s="25">
        <v>0</v>
      </c>
      <c r="K49" s="25">
        <v>1</v>
      </c>
      <c r="L49" s="34" t="s">
        <v>679</v>
      </c>
      <c r="M49" s="24">
        <v>14</v>
      </c>
    </row>
    <row r="50" spans="1:13" x14ac:dyDescent="0.25">
      <c r="A50" s="26"/>
      <c r="B50" s="25">
        <v>1</v>
      </c>
      <c r="C50" s="102" t="s">
        <v>267</v>
      </c>
      <c r="D50" s="10">
        <v>2261</v>
      </c>
      <c r="E50" s="10">
        <v>10</v>
      </c>
      <c r="F50" s="10">
        <v>15</v>
      </c>
      <c r="G50" s="25">
        <v>0</v>
      </c>
      <c r="H50" s="25">
        <v>0</v>
      </c>
      <c r="I50" s="25">
        <v>0</v>
      </c>
      <c r="J50" s="25">
        <v>0</v>
      </c>
      <c r="K50" s="25">
        <v>1</v>
      </c>
      <c r="L50" s="34" t="s">
        <v>679</v>
      </c>
      <c r="M50" s="24">
        <v>14</v>
      </c>
    </row>
    <row r="51" spans="1:13" x14ac:dyDescent="0.25">
      <c r="A51" s="26"/>
      <c r="B51" s="25">
        <v>1</v>
      </c>
      <c r="C51" s="102" t="s">
        <v>268</v>
      </c>
      <c r="D51" s="10">
        <v>2259</v>
      </c>
      <c r="E51" s="10">
        <v>11</v>
      </c>
      <c r="F51" s="10">
        <v>16</v>
      </c>
      <c r="G51" s="25">
        <v>1</v>
      </c>
      <c r="H51" s="25">
        <v>0</v>
      </c>
      <c r="I51" s="25">
        <v>0</v>
      </c>
      <c r="J51" s="25">
        <v>0</v>
      </c>
      <c r="K51" s="25">
        <v>1</v>
      </c>
      <c r="L51" s="34" t="s">
        <v>679</v>
      </c>
      <c r="M51" s="24">
        <v>14</v>
      </c>
    </row>
    <row r="52" spans="1:13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1:13" x14ac:dyDescent="0.25">
      <c r="A53" s="31" t="s">
        <v>587</v>
      </c>
      <c r="B53" s="25">
        <f>SUM(B54:B60)</f>
        <v>7</v>
      </c>
      <c r="C53" s="32" t="s">
        <v>35</v>
      </c>
      <c r="D53" s="32" t="s">
        <v>35</v>
      </c>
      <c r="E53" s="25">
        <f t="shared" ref="E53:K53" si="12">SUM(E54:E60)</f>
        <v>40</v>
      </c>
      <c r="F53" s="25">
        <f t="shared" si="12"/>
        <v>65</v>
      </c>
      <c r="G53" s="30">
        <f t="shared" si="12"/>
        <v>3</v>
      </c>
      <c r="H53" s="30">
        <f t="shared" si="12"/>
        <v>0</v>
      </c>
      <c r="I53" s="30">
        <f t="shared" si="12"/>
        <v>0</v>
      </c>
      <c r="J53" s="30">
        <f t="shared" si="12"/>
        <v>0</v>
      </c>
      <c r="K53" s="30">
        <f t="shared" si="12"/>
        <v>7</v>
      </c>
      <c r="L53" s="34" t="s">
        <v>678</v>
      </c>
      <c r="M53" s="32" t="s">
        <v>35</v>
      </c>
    </row>
    <row r="54" spans="1:13" x14ac:dyDescent="0.25">
      <c r="A54" s="25" t="s">
        <v>639</v>
      </c>
      <c r="B54" s="25">
        <v>1</v>
      </c>
      <c r="C54" s="102" t="s">
        <v>271</v>
      </c>
      <c r="D54" s="10">
        <v>2550</v>
      </c>
      <c r="E54" s="10">
        <v>7</v>
      </c>
      <c r="F54" s="10">
        <v>10</v>
      </c>
      <c r="G54" s="25">
        <v>1</v>
      </c>
      <c r="H54" s="25">
        <v>0</v>
      </c>
      <c r="I54" s="25">
        <v>0</v>
      </c>
      <c r="J54" s="25">
        <v>0</v>
      </c>
      <c r="K54" s="25">
        <v>1</v>
      </c>
      <c r="L54" s="34" t="s">
        <v>678</v>
      </c>
      <c r="M54" s="24">
        <v>14</v>
      </c>
    </row>
    <row r="55" spans="1:13" x14ac:dyDescent="0.25">
      <c r="A55" s="23"/>
      <c r="B55" s="25">
        <v>1</v>
      </c>
      <c r="C55" s="102" t="s">
        <v>588</v>
      </c>
      <c r="D55" s="10">
        <v>2617</v>
      </c>
      <c r="E55" s="10">
        <v>3</v>
      </c>
      <c r="F55" s="10">
        <v>6</v>
      </c>
      <c r="G55" s="25">
        <v>0</v>
      </c>
      <c r="H55" s="25">
        <v>0</v>
      </c>
      <c r="I55" s="25">
        <v>0</v>
      </c>
      <c r="J55" s="25">
        <v>0</v>
      </c>
      <c r="K55" s="25">
        <v>1</v>
      </c>
      <c r="L55" s="34" t="s">
        <v>678</v>
      </c>
      <c r="M55" s="24">
        <v>14</v>
      </c>
    </row>
    <row r="56" spans="1:13" x14ac:dyDescent="0.25">
      <c r="A56" s="23"/>
      <c r="B56" s="25">
        <v>1</v>
      </c>
      <c r="C56" s="102" t="s">
        <v>589</v>
      </c>
      <c r="D56" s="10">
        <v>2580</v>
      </c>
      <c r="E56" s="10">
        <v>10</v>
      </c>
      <c r="F56" s="10">
        <v>15</v>
      </c>
      <c r="G56" s="25">
        <v>1</v>
      </c>
      <c r="H56" s="25">
        <v>0</v>
      </c>
      <c r="I56" s="25">
        <v>0</v>
      </c>
      <c r="J56" s="25">
        <v>0</v>
      </c>
      <c r="K56" s="25">
        <v>1</v>
      </c>
      <c r="L56" s="34" t="s">
        <v>678</v>
      </c>
      <c r="M56" s="24">
        <v>14</v>
      </c>
    </row>
    <row r="57" spans="1:13" x14ac:dyDescent="0.25">
      <c r="A57" s="23"/>
      <c r="B57" s="25">
        <v>1</v>
      </c>
      <c r="C57" s="102" t="s">
        <v>590</v>
      </c>
      <c r="D57" s="10">
        <v>2912</v>
      </c>
      <c r="E57" s="10">
        <v>3</v>
      </c>
      <c r="F57" s="10">
        <v>6</v>
      </c>
      <c r="G57" s="25">
        <v>0</v>
      </c>
      <c r="H57" s="25">
        <v>0</v>
      </c>
      <c r="I57" s="25">
        <v>0</v>
      </c>
      <c r="J57" s="25">
        <v>0</v>
      </c>
      <c r="K57" s="25">
        <v>1</v>
      </c>
      <c r="L57" s="34" t="s">
        <v>678</v>
      </c>
      <c r="M57" s="24">
        <v>14</v>
      </c>
    </row>
    <row r="58" spans="1:13" x14ac:dyDescent="0.25">
      <c r="A58" s="26"/>
      <c r="B58" s="25">
        <v>1</v>
      </c>
      <c r="C58" s="102" t="s">
        <v>591</v>
      </c>
      <c r="D58" s="10">
        <v>2606</v>
      </c>
      <c r="E58" s="10">
        <v>3</v>
      </c>
      <c r="F58" s="10">
        <v>6</v>
      </c>
      <c r="G58" s="25">
        <v>0</v>
      </c>
      <c r="H58" s="25">
        <v>0</v>
      </c>
      <c r="I58" s="25">
        <v>0</v>
      </c>
      <c r="J58" s="25">
        <v>0</v>
      </c>
      <c r="K58" s="25">
        <v>1</v>
      </c>
      <c r="L58" s="34" t="s">
        <v>678</v>
      </c>
      <c r="M58" s="24">
        <v>14</v>
      </c>
    </row>
    <row r="59" spans="1:13" x14ac:dyDescent="0.25">
      <c r="A59" s="26"/>
      <c r="B59" s="25">
        <v>1</v>
      </c>
      <c r="C59" s="102" t="s">
        <v>592</v>
      </c>
      <c r="D59" s="10">
        <v>2620</v>
      </c>
      <c r="E59" s="10">
        <v>11</v>
      </c>
      <c r="F59" s="10">
        <v>16</v>
      </c>
      <c r="G59" s="25">
        <v>1</v>
      </c>
      <c r="H59" s="25">
        <v>0</v>
      </c>
      <c r="I59" s="25">
        <v>0</v>
      </c>
      <c r="J59" s="25">
        <v>0</v>
      </c>
      <c r="K59" s="25">
        <v>1</v>
      </c>
      <c r="L59" s="34" t="s">
        <v>678</v>
      </c>
      <c r="M59" s="24">
        <v>14</v>
      </c>
    </row>
    <row r="60" spans="1:13" x14ac:dyDescent="0.25">
      <c r="A60" s="26"/>
      <c r="B60" s="25">
        <v>1</v>
      </c>
      <c r="C60" s="102" t="s">
        <v>593</v>
      </c>
      <c r="D60" s="10">
        <v>2612</v>
      </c>
      <c r="E60" s="10">
        <v>3</v>
      </c>
      <c r="F60" s="10">
        <v>6</v>
      </c>
      <c r="G60" s="25">
        <v>0</v>
      </c>
      <c r="H60" s="25">
        <v>0</v>
      </c>
      <c r="I60" s="25">
        <v>0</v>
      </c>
      <c r="J60" s="25">
        <v>0</v>
      </c>
      <c r="K60" s="25">
        <v>1</v>
      </c>
      <c r="L60" s="34" t="s">
        <v>678</v>
      </c>
      <c r="M60" s="24">
        <v>14</v>
      </c>
    </row>
    <row r="62" spans="1:13" x14ac:dyDescent="0.25">
      <c r="A62" s="31" t="s">
        <v>594</v>
      </c>
      <c r="B62" s="25">
        <f>SUM(B63:B64)</f>
        <v>2</v>
      </c>
      <c r="C62" s="32" t="s">
        <v>35</v>
      </c>
      <c r="D62" s="32" t="s">
        <v>35</v>
      </c>
      <c r="E62" s="25">
        <f t="shared" ref="E62:K62" si="13">SUM(E63:E64)</f>
        <v>13</v>
      </c>
      <c r="F62" s="25">
        <f t="shared" si="13"/>
        <v>19</v>
      </c>
      <c r="G62" s="30">
        <f t="shared" si="13"/>
        <v>0</v>
      </c>
      <c r="H62" s="30">
        <f t="shared" si="13"/>
        <v>0</v>
      </c>
      <c r="I62" s="30">
        <f t="shared" si="13"/>
        <v>0</v>
      </c>
      <c r="J62" s="30">
        <f t="shared" si="13"/>
        <v>0</v>
      </c>
      <c r="K62" s="30">
        <f t="shared" si="13"/>
        <v>2</v>
      </c>
      <c r="L62" s="34" t="s">
        <v>678</v>
      </c>
      <c r="M62" s="32" t="s">
        <v>35</v>
      </c>
    </row>
    <row r="63" spans="1:13" x14ac:dyDescent="0.25">
      <c r="A63" s="25" t="s">
        <v>640</v>
      </c>
      <c r="B63" s="25">
        <v>1</v>
      </c>
      <c r="C63" s="102" t="s">
        <v>276</v>
      </c>
      <c r="D63" s="10">
        <v>3644</v>
      </c>
      <c r="E63" s="10">
        <v>5</v>
      </c>
      <c r="F63" s="10">
        <v>8</v>
      </c>
      <c r="G63" s="25">
        <v>0</v>
      </c>
      <c r="H63" s="25">
        <v>0</v>
      </c>
      <c r="I63" s="25">
        <v>0</v>
      </c>
      <c r="J63" s="25">
        <v>0</v>
      </c>
      <c r="K63" s="25">
        <v>1</v>
      </c>
      <c r="L63" s="34" t="s">
        <v>678</v>
      </c>
      <c r="M63" s="24">
        <v>14</v>
      </c>
    </row>
    <row r="64" spans="1:13" x14ac:dyDescent="0.25">
      <c r="A64" s="26"/>
      <c r="B64" s="25">
        <v>1</v>
      </c>
      <c r="C64" s="102" t="s">
        <v>595</v>
      </c>
      <c r="D64" s="10">
        <v>2710</v>
      </c>
      <c r="E64" s="10">
        <v>8</v>
      </c>
      <c r="F64" s="10">
        <v>11</v>
      </c>
      <c r="G64" s="25">
        <v>0</v>
      </c>
      <c r="H64" s="25">
        <v>0</v>
      </c>
      <c r="I64" s="25">
        <v>0</v>
      </c>
      <c r="J64" s="25">
        <v>0</v>
      </c>
      <c r="K64" s="25">
        <v>1</v>
      </c>
      <c r="L64" s="34" t="s">
        <v>678</v>
      </c>
      <c r="M64" s="24">
        <v>14</v>
      </c>
    </row>
    <row r="66" spans="1:13" x14ac:dyDescent="0.25">
      <c r="A66" s="31" t="s">
        <v>596</v>
      </c>
      <c r="B66" s="25">
        <f>SUM(B67:B69)</f>
        <v>3</v>
      </c>
      <c r="C66" s="32" t="s">
        <v>35</v>
      </c>
      <c r="D66" s="32" t="s">
        <v>35</v>
      </c>
      <c r="E66" s="25">
        <f t="shared" ref="E66:K66" si="14">SUM(E67:E69)</f>
        <v>26</v>
      </c>
      <c r="F66" s="25">
        <f t="shared" si="14"/>
        <v>38</v>
      </c>
      <c r="G66" s="30">
        <f t="shared" si="14"/>
        <v>1</v>
      </c>
      <c r="H66" s="30">
        <f t="shared" si="14"/>
        <v>0</v>
      </c>
      <c r="I66" s="30">
        <f t="shared" si="14"/>
        <v>0</v>
      </c>
      <c r="J66" s="30">
        <f t="shared" si="14"/>
        <v>0</v>
      </c>
      <c r="K66" s="30">
        <f t="shared" si="14"/>
        <v>0</v>
      </c>
      <c r="L66" s="34" t="s">
        <v>675</v>
      </c>
      <c r="M66" s="32" t="s">
        <v>35</v>
      </c>
    </row>
    <row r="67" spans="1:13" x14ac:dyDescent="0.25">
      <c r="A67" s="25" t="s">
        <v>641</v>
      </c>
      <c r="B67" s="25">
        <v>1</v>
      </c>
      <c r="C67" s="102" t="s">
        <v>575</v>
      </c>
      <c r="D67" s="10">
        <v>2165</v>
      </c>
      <c r="E67" s="10">
        <v>7</v>
      </c>
      <c r="F67" s="10">
        <v>10</v>
      </c>
      <c r="G67" s="25">
        <v>1</v>
      </c>
      <c r="H67" s="25">
        <v>0</v>
      </c>
      <c r="I67" s="25">
        <v>0</v>
      </c>
      <c r="J67" s="25">
        <v>0</v>
      </c>
      <c r="K67" s="25">
        <v>0</v>
      </c>
      <c r="L67" s="34" t="s">
        <v>675</v>
      </c>
      <c r="M67" s="24">
        <v>14</v>
      </c>
    </row>
    <row r="68" spans="1:13" x14ac:dyDescent="0.25">
      <c r="A68" s="26"/>
      <c r="B68" s="25">
        <v>1</v>
      </c>
      <c r="C68" s="102" t="s">
        <v>281</v>
      </c>
      <c r="D68" s="10">
        <v>2170</v>
      </c>
      <c r="E68" s="10">
        <v>11</v>
      </c>
      <c r="F68" s="10">
        <v>15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34" t="s">
        <v>675</v>
      </c>
      <c r="M68" s="24">
        <v>14</v>
      </c>
    </row>
    <row r="69" spans="1:13" x14ac:dyDescent="0.25">
      <c r="A69" s="26"/>
      <c r="B69" s="25">
        <v>1</v>
      </c>
      <c r="C69" s="102" t="s">
        <v>283</v>
      </c>
      <c r="D69" s="10">
        <v>2164</v>
      </c>
      <c r="E69" s="10">
        <v>8</v>
      </c>
      <c r="F69" s="10">
        <v>13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34" t="s">
        <v>675</v>
      </c>
      <c r="M69" s="24">
        <v>14</v>
      </c>
    </row>
    <row r="70" spans="1:13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</row>
    <row r="71" spans="1:13" x14ac:dyDescent="0.25">
      <c r="A71" s="31" t="s">
        <v>597</v>
      </c>
      <c r="B71" s="25">
        <f>SUM(B72:B72)</f>
        <v>1</v>
      </c>
      <c r="C71" s="32" t="s">
        <v>35</v>
      </c>
      <c r="D71" s="32" t="s">
        <v>35</v>
      </c>
      <c r="E71" s="25">
        <f t="shared" ref="E71:K71" si="15">SUM(E72:E72)</f>
        <v>8</v>
      </c>
      <c r="F71" s="25">
        <f t="shared" si="15"/>
        <v>12</v>
      </c>
      <c r="G71" s="30">
        <f t="shared" si="15"/>
        <v>1</v>
      </c>
      <c r="H71" s="30">
        <f t="shared" si="15"/>
        <v>0</v>
      </c>
      <c r="I71" s="30">
        <f t="shared" si="15"/>
        <v>0</v>
      </c>
      <c r="J71" s="30">
        <f t="shared" si="15"/>
        <v>0</v>
      </c>
      <c r="K71" s="30">
        <f t="shared" si="15"/>
        <v>1</v>
      </c>
      <c r="L71" s="34" t="s">
        <v>678</v>
      </c>
      <c r="M71" s="32" t="s">
        <v>35</v>
      </c>
    </row>
    <row r="72" spans="1:13" x14ac:dyDescent="0.25">
      <c r="A72" s="25" t="s">
        <v>642</v>
      </c>
      <c r="B72" s="25">
        <v>1</v>
      </c>
      <c r="C72" s="102" t="s">
        <v>598</v>
      </c>
      <c r="D72" s="10">
        <v>2540</v>
      </c>
      <c r="E72" s="10">
        <v>8</v>
      </c>
      <c r="F72" s="10">
        <v>12</v>
      </c>
      <c r="G72" s="25">
        <v>1</v>
      </c>
      <c r="H72" s="25">
        <v>0</v>
      </c>
      <c r="I72" s="25">
        <v>0</v>
      </c>
      <c r="J72" s="25">
        <v>0</v>
      </c>
      <c r="K72" s="25">
        <v>1</v>
      </c>
      <c r="L72" s="34" t="s">
        <v>678</v>
      </c>
      <c r="M72" s="24">
        <v>14</v>
      </c>
    </row>
    <row r="74" spans="1:13" s="26" customFormat="1" ht="14.25" customHeight="1" x14ac:dyDescent="0.25">
      <c r="A74" s="31" t="s">
        <v>680</v>
      </c>
      <c r="B74" s="25">
        <f>SUM(B75:B75)</f>
        <v>0</v>
      </c>
      <c r="C74" s="32" t="s">
        <v>35</v>
      </c>
      <c r="D74" s="32" t="s">
        <v>35</v>
      </c>
      <c r="E74" s="25">
        <f t="shared" ref="E74:K74" si="16">SUM(E75:E75)</f>
        <v>0</v>
      </c>
      <c r="F74" s="25">
        <f t="shared" si="16"/>
        <v>0</v>
      </c>
      <c r="G74" s="30">
        <f t="shared" si="16"/>
        <v>0</v>
      </c>
      <c r="H74" s="30">
        <f t="shared" si="16"/>
        <v>0</v>
      </c>
      <c r="I74" s="30">
        <f t="shared" si="16"/>
        <v>0</v>
      </c>
      <c r="J74" s="30">
        <f t="shared" si="16"/>
        <v>0</v>
      </c>
      <c r="K74" s="30">
        <f t="shared" si="16"/>
        <v>0</v>
      </c>
      <c r="L74" s="34" t="s">
        <v>672</v>
      </c>
      <c r="M74" s="32" t="s">
        <v>35</v>
      </c>
    </row>
    <row r="75" spans="1:13" s="26" customFormat="1" outlineLevel="1" x14ac:dyDescent="0.25">
      <c r="A75" s="25" t="s">
        <v>681</v>
      </c>
      <c r="B75" s="25"/>
      <c r="C75" s="102" t="s">
        <v>673</v>
      </c>
      <c r="D75" s="10"/>
      <c r="E75" s="10"/>
      <c r="F75" s="10"/>
      <c r="G75" s="25"/>
      <c r="H75" s="25"/>
      <c r="I75" s="25"/>
      <c r="J75" s="25"/>
      <c r="K75" s="25"/>
      <c r="L75" s="34" t="s">
        <v>672</v>
      </c>
      <c r="M75" s="24"/>
    </row>
    <row r="77" spans="1:13" x14ac:dyDescent="0.25">
      <c r="A77" s="31" t="s">
        <v>599</v>
      </c>
      <c r="B77" s="25">
        <f>SUM(B78:B79)</f>
        <v>2</v>
      </c>
      <c r="C77" s="32" t="s">
        <v>35</v>
      </c>
      <c r="D77" s="32" t="s">
        <v>35</v>
      </c>
      <c r="E77" s="25">
        <f t="shared" ref="E77:K77" si="17">SUM(E78:E79)</f>
        <v>8</v>
      </c>
      <c r="F77" s="25">
        <f t="shared" si="17"/>
        <v>14</v>
      </c>
      <c r="G77" s="30">
        <f t="shared" si="17"/>
        <v>0</v>
      </c>
      <c r="H77" s="30">
        <f t="shared" si="17"/>
        <v>0</v>
      </c>
      <c r="I77" s="30">
        <f t="shared" si="17"/>
        <v>0</v>
      </c>
      <c r="J77" s="30">
        <f t="shared" si="17"/>
        <v>0</v>
      </c>
      <c r="K77" s="30">
        <f t="shared" si="17"/>
        <v>2</v>
      </c>
      <c r="L77" s="34" t="s">
        <v>675</v>
      </c>
      <c r="M77" s="32" t="s">
        <v>35</v>
      </c>
    </row>
    <row r="78" spans="1:13" x14ac:dyDescent="0.25">
      <c r="A78" s="25" t="s">
        <v>643</v>
      </c>
      <c r="B78" s="25">
        <v>1</v>
      </c>
      <c r="C78" s="102" t="s">
        <v>574</v>
      </c>
      <c r="D78" s="10">
        <v>2153</v>
      </c>
      <c r="E78" s="10">
        <v>5</v>
      </c>
      <c r="F78" s="10">
        <v>8</v>
      </c>
      <c r="G78" s="25">
        <v>0</v>
      </c>
      <c r="H78" s="25">
        <v>0</v>
      </c>
      <c r="I78" s="25">
        <v>0</v>
      </c>
      <c r="J78" s="25">
        <v>0</v>
      </c>
      <c r="K78" s="25">
        <v>1</v>
      </c>
      <c r="L78" s="34" t="s">
        <v>675</v>
      </c>
      <c r="M78" s="24">
        <v>14</v>
      </c>
    </row>
    <row r="79" spans="1:13" x14ac:dyDescent="0.25">
      <c r="A79" s="26"/>
      <c r="B79" s="25">
        <v>1</v>
      </c>
      <c r="C79" s="102" t="s">
        <v>577</v>
      </c>
      <c r="D79" s="10">
        <v>2150</v>
      </c>
      <c r="E79" s="10">
        <v>3</v>
      </c>
      <c r="F79" s="10">
        <v>6</v>
      </c>
      <c r="G79" s="25">
        <v>0</v>
      </c>
      <c r="H79" s="25">
        <v>0</v>
      </c>
      <c r="I79" s="25">
        <v>0</v>
      </c>
      <c r="J79" s="25">
        <v>0</v>
      </c>
      <c r="K79" s="25">
        <v>1</v>
      </c>
      <c r="L79" s="34" t="s">
        <v>675</v>
      </c>
      <c r="M79" s="24">
        <v>14</v>
      </c>
    </row>
    <row r="81" spans="1:13" x14ac:dyDescent="0.25">
      <c r="A81" s="31" t="s">
        <v>600</v>
      </c>
      <c r="B81" s="25">
        <f>SUM(B82:B82)</f>
        <v>1</v>
      </c>
      <c r="C81" s="32" t="s">
        <v>35</v>
      </c>
      <c r="D81" s="32" t="s">
        <v>35</v>
      </c>
      <c r="E81" s="25">
        <f t="shared" ref="E81:K81" si="18">SUM(E82:E82)</f>
        <v>3</v>
      </c>
      <c r="F81" s="25">
        <f t="shared" si="18"/>
        <v>6</v>
      </c>
      <c r="G81" s="30">
        <f t="shared" si="18"/>
        <v>0</v>
      </c>
      <c r="H81" s="30">
        <f t="shared" si="18"/>
        <v>0</v>
      </c>
      <c r="I81" s="30">
        <f t="shared" si="18"/>
        <v>0</v>
      </c>
      <c r="J81" s="30">
        <f t="shared" si="18"/>
        <v>0</v>
      </c>
      <c r="K81" s="30">
        <f t="shared" si="18"/>
        <v>1</v>
      </c>
      <c r="L81" s="34" t="s">
        <v>675</v>
      </c>
      <c r="M81" s="32" t="s">
        <v>35</v>
      </c>
    </row>
    <row r="82" spans="1:13" x14ac:dyDescent="0.25">
      <c r="A82" s="25" t="s">
        <v>644</v>
      </c>
      <c r="B82" s="25">
        <v>1</v>
      </c>
      <c r="C82" s="102" t="s">
        <v>281</v>
      </c>
      <c r="D82" s="10">
        <v>2170</v>
      </c>
      <c r="E82" s="10">
        <v>3</v>
      </c>
      <c r="F82" s="10">
        <v>6</v>
      </c>
      <c r="G82" s="25">
        <v>0</v>
      </c>
      <c r="H82" s="25">
        <v>0</v>
      </c>
      <c r="I82" s="25">
        <v>0</v>
      </c>
      <c r="J82" s="25">
        <v>0</v>
      </c>
      <c r="K82" s="25">
        <v>1</v>
      </c>
      <c r="L82" s="34" t="s">
        <v>675</v>
      </c>
      <c r="M82" s="24">
        <v>14</v>
      </c>
    </row>
    <row r="83" spans="1:13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</row>
    <row r="84" spans="1:13" x14ac:dyDescent="0.25">
      <c r="A84" s="31" t="s">
        <v>601</v>
      </c>
      <c r="B84" s="25">
        <f>SUM(B85:B85)</f>
        <v>1</v>
      </c>
      <c r="C84" s="32" t="s">
        <v>35</v>
      </c>
      <c r="D84" s="32" t="s">
        <v>35</v>
      </c>
      <c r="E84" s="25">
        <f t="shared" ref="E84:K84" si="19">SUM(E85:E85)</f>
        <v>3</v>
      </c>
      <c r="F84" s="25">
        <f t="shared" si="19"/>
        <v>6</v>
      </c>
      <c r="G84" s="30">
        <f t="shared" si="19"/>
        <v>0</v>
      </c>
      <c r="H84" s="30">
        <f t="shared" si="19"/>
        <v>0</v>
      </c>
      <c r="I84" s="30">
        <f t="shared" si="19"/>
        <v>0</v>
      </c>
      <c r="J84" s="30">
        <f t="shared" si="19"/>
        <v>0</v>
      </c>
      <c r="K84" s="30">
        <f t="shared" si="19"/>
        <v>1</v>
      </c>
      <c r="L84" s="34" t="s">
        <v>675</v>
      </c>
      <c r="M84" s="32" t="s">
        <v>35</v>
      </c>
    </row>
    <row r="85" spans="1:13" x14ac:dyDescent="0.25">
      <c r="A85" s="25" t="s">
        <v>645</v>
      </c>
      <c r="B85" s="25">
        <v>1</v>
      </c>
      <c r="C85" s="102" t="s">
        <v>580</v>
      </c>
      <c r="D85" s="10">
        <v>2750</v>
      </c>
      <c r="E85" s="10">
        <v>3</v>
      </c>
      <c r="F85" s="10">
        <v>6</v>
      </c>
      <c r="G85" s="25">
        <v>0</v>
      </c>
      <c r="H85" s="25">
        <v>0</v>
      </c>
      <c r="I85" s="25">
        <v>0</v>
      </c>
      <c r="J85" s="25">
        <v>0</v>
      </c>
      <c r="K85" s="25">
        <v>1</v>
      </c>
      <c r="L85" s="34" t="s">
        <v>675</v>
      </c>
      <c r="M85" s="24">
        <v>14</v>
      </c>
    </row>
    <row r="87" spans="1:13" x14ac:dyDescent="0.25">
      <c r="A87" s="31" t="s">
        <v>602</v>
      </c>
      <c r="B87" s="25">
        <f>SUM(B88:B89)</f>
        <v>2</v>
      </c>
      <c r="C87" s="32" t="s">
        <v>35</v>
      </c>
      <c r="D87" s="32" t="s">
        <v>35</v>
      </c>
      <c r="E87" s="25">
        <f t="shared" ref="E87:K87" si="20">SUM(E88:E89)</f>
        <v>6</v>
      </c>
      <c r="F87" s="25">
        <f t="shared" si="20"/>
        <v>12</v>
      </c>
      <c r="G87" s="30">
        <f t="shared" si="20"/>
        <v>0</v>
      </c>
      <c r="H87" s="30">
        <f t="shared" si="20"/>
        <v>0</v>
      </c>
      <c r="I87" s="30">
        <f t="shared" si="20"/>
        <v>0</v>
      </c>
      <c r="J87" s="30">
        <f t="shared" si="20"/>
        <v>0</v>
      </c>
      <c r="K87" s="30">
        <f t="shared" si="20"/>
        <v>2</v>
      </c>
      <c r="L87" s="34" t="s">
        <v>678</v>
      </c>
      <c r="M87" s="32" t="s">
        <v>35</v>
      </c>
    </row>
    <row r="88" spans="1:13" x14ac:dyDescent="0.25">
      <c r="A88" s="25" t="s">
        <v>646</v>
      </c>
      <c r="B88" s="25">
        <v>1</v>
      </c>
      <c r="C88" s="102" t="s">
        <v>603</v>
      </c>
      <c r="D88" s="10">
        <v>2290</v>
      </c>
      <c r="E88" s="10">
        <v>3</v>
      </c>
      <c r="F88" s="10">
        <v>6</v>
      </c>
      <c r="G88" s="25">
        <v>0</v>
      </c>
      <c r="H88" s="25">
        <v>0</v>
      </c>
      <c r="I88" s="25">
        <v>0</v>
      </c>
      <c r="J88" s="25">
        <v>0</v>
      </c>
      <c r="K88" s="25">
        <v>1</v>
      </c>
      <c r="L88" s="34" t="s">
        <v>678</v>
      </c>
      <c r="M88" s="24">
        <v>14</v>
      </c>
    </row>
    <row r="89" spans="1:13" x14ac:dyDescent="0.25">
      <c r="A89" s="26"/>
      <c r="B89" s="25">
        <v>1</v>
      </c>
      <c r="C89" s="102" t="s">
        <v>604</v>
      </c>
      <c r="D89" s="10">
        <v>2302</v>
      </c>
      <c r="E89" s="10">
        <v>3</v>
      </c>
      <c r="F89" s="10">
        <v>6</v>
      </c>
      <c r="G89" s="25">
        <v>0</v>
      </c>
      <c r="H89" s="25">
        <v>0</v>
      </c>
      <c r="I89" s="25">
        <v>0</v>
      </c>
      <c r="J89" s="25">
        <v>0</v>
      </c>
      <c r="K89" s="25">
        <v>1</v>
      </c>
      <c r="L89" s="34" t="s">
        <v>678</v>
      </c>
      <c r="M89" s="24">
        <v>14</v>
      </c>
    </row>
    <row r="91" spans="1:13" x14ac:dyDescent="0.25">
      <c r="A91" s="31" t="s">
        <v>605</v>
      </c>
      <c r="B91" s="25">
        <f>SUM(B92:B93)</f>
        <v>2</v>
      </c>
      <c r="C91" s="32" t="s">
        <v>35</v>
      </c>
      <c r="D91" s="32" t="s">
        <v>35</v>
      </c>
      <c r="E91" s="25">
        <f t="shared" ref="E91:K91" si="21">SUM(E92:E93)</f>
        <v>12</v>
      </c>
      <c r="F91" s="25">
        <f t="shared" si="21"/>
        <v>6</v>
      </c>
      <c r="G91" s="30">
        <f t="shared" si="21"/>
        <v>0</v>
      </c>
      <c r="H91" s="30">
        <f t="shared" si="21"/>
        <v>0</v>
      </c>
      <c r="I91" s="30">
        <f t="shared" si="21"/>
        <v>0</v>
      </c>
      <c r="J91" s="30">
        <f t="shared" si="21"/>
        <v>0</v>
      </c>
      <c r="K91" s="30">
        <f t="shared" si="21"/>
        <v>2</v>
      </c>
      <c r="L91" s="34" t="s">
        <v>672</v>
      </c>
      <c r="M91" s="32" t="s">
        <v>35</v>
      </c>
    </row>
    <row r="92" spans="1:13" x14ac:dyDescent="0.25">
      <c r="A92" s="25" t="s">
        <v>647</v>
      </c>
      <c r="B92" s="25">
        <v>1</v>
      </c>
      <c r="C92" s="102" t="s">
        <v>545</v>
      </c>
      <c r="D92" s="10">
        <v>2022</v>
      </c>
      <c r="E92" s="10">
        <v>3</v>
      </c>
      <c r="F92" s="10">
        <v>6</v>
      </c>
      <c r="G92" s="25">
        <v>0</v>
      </c>
      <c r="H92" s="25">
        <v>0</v>
      </c>
      <c r="I92" s="25">
        <v>0</v>
      </c>
      <c r="J92" s="25">
        <v>0</v>
      </c>
      <c r="K92" s="25">
        <v>1</v>
      </c>
      <c r="L92" s="34" t="s">
        <v>672</v>
      </c>
      <c r="M92" s="24">
        <v>14</v>
      </c>
    </row>
    <row r="93" spans="1:13" x14ac:dyDescent="0.25">
      <c r="A93" s="26"/>
      <c r="B93" s="25">
        <v>1</v>
      </c>
      <c r="C93" s="102" t="s">
        <v>353</v>
      </c>
      <c r="D93" s="10">
        <v>2018</v>
      </c>
      <c r="E93" s="10">
        <v>9</v>
      </c>
      <c r="F93" s="10">
        <v>0</v>
      </c>
      <c r="G93" s="25">
        <v>0</v>
      </c>
      <c r="H93" s="25">
        <v>0</v>
      </c>
      <c r="I93" s="25">
        <v>0</v>
      </c>
      <c r="J93" s="25">
        <v>0</v>
      </c>
      <c r="K93" s="25">
        <v>1</v>
      </c>
      <c r="L93" s="34" t="s">
        <v>672</v>
      </c>
      <c r="M93" s="24">
        <v>14</v>
      </c>
    </row>
    <row r="95" spans="1:13" x14ac:dyDescent="0.25">
      <c r="A95" s="31" t="s">
        <v>606</v>
      </c>
      <c r="B95" s="25">
        <f>SUM(B96:B97)</f>
        <v>2</v>
      </c>
      <c r="C95" s="32" t="s">
        <v>35</v>
      </c>
      <c r="D95" s="32" t="s">
        <v>35</v>
      </c>
      <c r="E95" s="25">
        <f t="shared" ref="E95:K95" si="22">SUM(E96:E97)</f>
        <v>18</v>
      </c>
      <c r="F95" s="25">
        <f t="shared" si="22"/>
        <v>19</v>
      </c>
      <c r="G95" s="30">
        <f t="shared" si="22"/>
        <v>1</v>
      </c>
      <c r="H95" s="30">
        <f t="shared" si="22"/>
        <v>0</v>
      </c>
      <c r="I95" s="30">
        <f t="shared" si="22"/>
        <v>0</v>
      </c>
      <c r="J95" s="30">
        <f t="shared" si="22"/>
        <v>0</v>
      </c>
      <c r="K95" s="30">
        <f t="shared" si="22"/>
        <v>2</v>
      </c>
      <c r="L95" s="34" t="s">
        <v>675</v>
      </c>
      <c r="M95" s="32" t="s">
        <v>35</v>
      </c>
    </row>
    <row r="96" spans="1:13" x14ac:dyDescent="0.25">
      <c r="A96" s="25" t="s">
        <v>648</v>
      </c>
      <c r="B96" s="25">
        <v>1</v>
      </c>
      <c r="C96" s="102" t="s">
        <v>368</v>
      </c>
      <c r="D96" s="10">
        <v>2745</v>
      </c>
      <c r="E96" s="10">
        <v>4</v>
      </c>
      <c r="F96" s="10">
        <v>0</v>
      </c>
      <c r="G96" s="25">
        <v>0</v>
      </c>
      <c r="H96" s="25">
        <v>0</v>
      </c>
      <c r="I96" s="25">
        <v>0</v>
      </c>
      <c r="J96" s="25">
        <v>0</v>
      </c>
      <c r="K96" s="25">
        <v>1</v>
      </c>
      <c r="L96" s="34" t="s">
        <v>675</v>
      </c>
      <c r="M96" s="24">
        <v>14</v>
      </c>
    </row>
    <row r="97" spans="1:13" x14ac:dyDescent="0.25">
      <c r="A97" s="26"/>
      <c r="B97" s="25">
        <v>1</v>
      </c>
      <c r="C97" s="102" t="s">
        <v>580</v>
      </c>
      <c r="D97" s="10">
        <v>2750</v>
      </c>
      <c r="E97" s="10">
        <v>14</v>
      </c>
      <c r="F97" s="10">
        <v>19</v>
      </c>
      <c r="G97" s="25">
        <v>1</v>
      </c>
      <c r="H97" s="25">
        <v>0</v>
      </c>
      <c r="I97" s="25">
        <v>0</v>
      </c>
      <c r="J97" s="25">
        <v>0</v>
      </c>
      <c r="K97" s="25">
        <v>1</v>
      </c>
      <c r="L97" s="34" t="s">
        <v>675</v>
      </c>
      <c r="M97" s="24">
        <v>14</v>
      </c>
    </row>
    <row r="99" spans="1:13" x14ac:dyDescent="0.25">
      <c r="A99" s="31" t="s">
        <v>607</v>
      </c>
      <c r="B99" s="25">
        <f>SUM(B100:B100)</f>
        <v>1</v>
      </c>
      <c r="C99" s="32" t="s">
        <v>35</v>
      </c>
      <c r="D99" s="32" t="s">
        <v>35</v>
      </c>
      <c r="E99" s="25">
        <f t="shared" ref="E99:K99" si="23">SUM(E100:E100)</f>
        <v>3</v>
      </c>
      <c r="F99" s="25">
        <f t="shared" si="23"/>
        <v>6</v>
      </c>
      <c r="G99" s="30">
        <f t="shared" si="23"/>
        <v>0</v>
      </c>
      <c r="H99" s="30">
        <f t="shared" si="23"/>
        <v>0</v>
      </c>
      <c r="I99" s="30">
        <f t="shared" si="23"/>
        <v>0</v>
      </c>
      <c r="J99" s="30">
        <f t="shared" si="23"/>
        <v>0</v>
      </c>
      <c r="K99" s="30">
        <f t="shared" si="23"/>
        <v>1</v>
      </c>
      <c r="L99" s="34" t="s">
        <v>678</v>
      </c>
      <c r="M99" s="32" t="s">
        <v>35</v>
      </c>
    </row>
    <row r="100" spans="1:13" x14ac:dyDescent="0.25">
      <c r="A100" s="25" t="s">
        <v>649</v>
      </c>
      <c r="B100" s="25">
        <v>1</v>
      </c>
      <c r="C100" s="102" t="s">
        <v>583</v>
      </c>
      <c r="D100" s="10">
        <v>2444</v>
      </c>
      <c r="E100" s="10">
        <v>3</v>
      </c>
      <c r="F100" s="10">
        <v>6</v>
      </c>
      <c r="G100" s="25">
        <v>0</v>
      </c>
      <c r="H100" s="25">
        <v>0</v>
      </c>
      <c r="I100" s="25">
        <v>0</v>
      </c>
      <c r="J100" s="25">
        <v>0</v>
      </c>
      <c r="K100" s="25">
        <v>1</v>
      </c>
      <c r="L100" s="34" t="s">
        <v>678</v>
      </c>
      <c r="M100" s="24">
        <v>14</v>
      </c>
    </row>
    <row r="102" spans="1:13" x14ac:dyDescent="0.25">
      <c r="A102" s="31" t="s">
        <v>608</v>
      </c>
      <c r="B102" s="25">
        <f>SUM(B103:B103)</f>
        <v>1</v>
      </c>
      <c r="C102" s="32" t="s">
        <v>35</v>
      </c>
      <c r="D102" s="32" t="s">
        <v>35</v>
      </c>
      <c r="E102" s="25">
        <f t="shared" ref="E102:K102" si="24">SUM(E103:E103)</f>
        <v>3</v>
      </c>
      <c r="F102" s="25">
        <f t="shared" si="24"/>
        <v>6</v>
      </c>
      <c r="G102" s="30">
        <f t="shared" si="24"/>
        <v>0</v>
      </c>
      <c r="H102" s="30">
        <f t="shared" si="24"/>
        <v>0</v>
      </c>
      <c r="I102" s="30">
        <f t="shared" si="24"/>
        <v>0</v>
      </c>
      <c r="J102" s="30">
        <f t="shared" si="24"/>
        <v>0</v>
      </c>
      <c r="K102" s="30">
        <f t="shared" si="24"/>
        <v>1</v>
      </c>
      <c r="L102" s="34" t="s">
        <v>675</v>
      </c>
      <c r="M102" s="32" t="s">
        <v>35</v>
      </c>
    </row>
    <row r="103" spans="1:13" x14ac:dyDescent="0.25">
      <c r="A103" s="25" t="s">
        <v>650</v>
      </c>
      <c r="B103" s="25">
        <v>1</v>
      </c>
      <c r="C103" s="102" t="s">
        <v>281</v>
      </c>
      <c r="D103" s="10">
        <v>2170</v>
      </c>
      <c r="E103" s="10">
        <v>3</v>
      </c>
      <c r="F103" s="10">
        <v>6</v>
      </c>
      <c r="G103" s="25">
        <v>0</v>
      </c>
      <c r="H103" s="25">
        <v>0</v>
      </c>
      <c r="I103" s="25">
        <v>0</v>
      </c>
      <c r="J103" s="25">
        <v>0</v>
      </c>
      <c r="K103" s="25">
        <v>1</v>
      </c>
      <c r="L103" s="34" t="s">
        <v>675</v>
      </c>
      <c r="M103" s="24">
        <v>14</v>
      </c>
    </row>
    <row r="105" spans="1:13" x14ac:dyDescent="0.25">
      <c r="A105" s="31" t="s">
        <v>609</v>
      </c>
      <c r="B105" s="25">
        <f>SUM(B106:B106)</f>
        <v>1</v>
      </c>
      <c r="C105" s="32" t="s">
        <v>35</v>
      </c>
      <c r="D105" s="32" t="s">
        <v>35</v>
      </c>
      <c r="E105" s="25">
        <f t="shared" ref="E105:K105" si="25">SUM(E106:E106)</f>
        <v>4</v>
      </c>
      <c r="F105" s="25">
        <f t="shared" si="25"/>
        <v>0</v>
      </c>
      <c r="G105" s="30">
        <f t="shared" si="25"/>
        <v>0</v>
      </c>
      <c r="H105" s="30">
        <f t="shared" si="25"/>
        <v>0</v>
      </c>
      <c r="I105" s="30">
        <f t="shared" si="25"/>
        <v>0</v>
      </c>
      <c r="J105" s="30">
        <f t="shared" si="25"/>
        <v>0</v>
      </c>
      <c r="K105" s="30">
        <f t="shared" si="25"/>
        <v>1</v>
      </c>
      <c r="L105" s="34" t="s">
        <v>672</v>
      </c>
      <c r="M105" s="32" t="s">
        <v>35</v>
      </c>
    </row>
    <row r="106" spans="1:13" x14ac:dyDescent="0.25">
      <c r="A106" s="25" t="s">
        <v>651</v>
      </c>
      <c r="B106" s="25">
        <v>1</v>
      </c>
      <c r="C106" s="102" t="s">
        <v>610</v>
      </c>
      <c r="D106" s="10">
        <v>2101</v>
      </c>
      <c r="E106" s="10">
        <v>4</v>
      </c>
      <c r="F106" s="10">
        <v>0</v>
      </c>
      <c r="G106" s="25">
        <v>0</v>
      </c>
      <c r="H106" s="25">
        <v>0</v>
      </c>
      <c r="I106" s="25">
        <v>0</v>
      </c>
      <c r="J106" s="25">
        <v>0</v>
      </c>
      <c r="K106" s="25">
        <v>1</v>
      </c>
      <c r="L106" s="34" t="s">
        <v>672</v>
      </c>
      <c r="M106" s="24">
        <v>14</v>
      </c>
    </row>
    <row r="108" spans="1:13" x14ac:dyDescent="0.25">
      <c r="A108" s="31" t="s">
        <v>611</v>
      </c>
      <c r="B108" s="25">
        <f>SUM(B109:B109)</f>
        <v>1</v>
      </c>
      <c r="C108" s="32" t="s">
        <v>35</v>
      </c>
      <c r="D108" s="32" t="s">
        <v>35</v>
      </c>
      <c r="E108" s="25">
        <f t="shared" ref="E108:K108" si="26">SUM(E109:E109)</f>
        <v>3</v>
      </c>
      <c r="F108" s="25">
        <f t="shared" si="26"/>
        <v>6</v>
      </c>
      <c r="G108" s="30">
        <f t="shared" si="26"/>
        <v>1</v>
      </c>
      <c r="H108" s="30">
        <f t="shared" si="26"/>
        <v>0</v>
      </c>
      <c r="I108" s="30">
        <f t="shared" si="26"/>
        <v>0</v>
      </c>
      <c r="J108" s="30">
        <f t="shared" si="26"/>
        <v>0</v>
      </c>
      <c r="K108" s="30">
        <f t="shared" si="26"/>
        <v>1</v>
      </c>
      <c r="L108" s="34" t="s">
        <v>679</v>
      </c>
      <c r="M108" s="32" t="s">
        <v>35</v>
      </c>
    </row>
    <row r="109" spans="1:13" x14ac:dyDescent="0.25">
      <c r="A109" s="25" t="s">
        <v>652</v>
      </c>
      <c r="B109" s="25">
        <v>1</v>
      </c>
      <c r="C109" s="102" t="s">
        <v>580</v>
      </c>
      <c r="D109" s="10">
        <v>2750</v>
      </c>
      <c r="E109" s="10">
        <v>3</v>
      </c>
      <c r="F109" s="10">
        <v>6</v>
      </c>
      <c r="G109" s="25">
        <v>1</v>
      </c>
      <c r="H109" s="25">
        <v>0</v>
      </c>
      <c r="I109" s="25">
        <v>0</v>
      </c>
      <c r="J109" s="25">
        <v>0</v>
      </c>
      <c r="K109" s="25">
        <v>1</v>
      </c>
      <c r="L109" s="34" t="s">
        <v>679</v>
      </c>
      <c r="M109" s="24">
        <v>14</v>
      </c>
    </row>
    <row r="111" spans="1:13" x14ac:dyDescent="0.25">
      <c r="A111" s="31" t="s">
        <v>612</v>
      </c>
      <c r="B111" s="25">
        <f>SUM(B112:B115)</f>
        <v>4</v>
      </c>
      <c r="C111" s="32" t="s">
        <v>35</v>
      </c>
      <c r="D111" s="32" t="s">
        <v>35</v>
      </c>
      <c r="E111" s="25">
        <f t="shared" ref="E111:K111" si="27">SUM(E112:E115)</f>
        <v>24</v>
      </c>
      <c r="F111" s="25">
        <f t="shared" si="27"/>
        <v>38</v>
      </c>
      <c r="G111" s="30">
        <f t="shared" si="27"/>
        <v>2</v>
      </c>
      <c r="H111" s="30">
        <f t="shared" si="27"/>
        <v>0</v>
      </c>
      <c r="I111" s="30">
        <f t="shared" si="27"/>
        <v>0</v>
      </c>
      <c r="J111" s="30">
        <f t="shared" si="27"/>
        <v>0</v>
      </c>
      <c r="K111" s="30">
        <f t="shared" si="27"/>
        <v>4</v>
      </c>
      <c r="L111" s="34" t="s">
        <v>675</v>
      </c>
      <c r="M111" s="32" t="s">
        <v>35</v>
      </c>
    </row>
    <row r="112" spans="1:13" x14ac:dyDescent="0.25">
      <c r="A112" s="25" t="s">
        <v>653</v>
      </c>
      <c r="B112" s="25">
        <v>1</v>
      </c>
      <c r="C112" s="102" t="s">
        <v>575</v>
      </c>
      <c r="D112" s="10">
        <v>2165</v>
      </c>
      <c r="E112" s="10">
        <v>10</v>
      </c>
      <c r="F112" s="10">
        <v>15</v>
      </c>
      <c r="G112" s="25">
        <v>1</v>
      </c>
      <c r="H112" s="25">
        <v>0</v>
      </c>
      <c r="I112" s="25">
        <v>0</v>
      </c>
      <c r="J112" s="25">
        <v>0</v>
      </c>
      <c r="K112" s="25">
        <v>1</v>
      </c>
      <c r="L112" s="34" t="s">
        <v>675</v>
      </c>
      <c r="M112" s="24">
        <v>14</v>
      </c>
    </row>
    <row r="113" spans="1:13" x14ac:dyDescent="0.25">
      <c r="A113" s="26"/>
      <c r="B113" s="25">
        <v>1</v>
      </c>
      <c r="C113" s="102" t="s">
        <v>577</v>
      </c>
      <c r="D113" s="10">
        <v>2150</v>
      </c>
      <c r="E113" s="10">
        <v>3</v>
      </c>
      <c r="F113" s="10">
        <v>6</v>
      </c>
      <c r="G113" s="25">
        <v>0</v>
      </c>
      <c r="H113" s="25">
        <v>0</v>
      </c>
      <c r="I113" s="25">
        <v>0</v>
      </c>
      <c r="J113" s="25">
        <v>0</v>
      </c>
      <c r="K113" s="25">
        <v>1</v>
      </c>
      <c r="L113" s="34" t="s">
        <v>675</v>
      </c>
      <c r="M113" s="24">
        <v>14</v>
      </c>
    </row>
    <row r="114" spans="1:13" x14ac:dyDescent="0.25">
      <c r="A114" s="26"/>
      <c r="B114" s="25">
        <v>1</v>
      </c>
      <c r="C114" s="102" t="s">
        <v>580</v>
      </c>
      <c r="D114" s="10">
        <v>2750</v>
      </c>
      <c r="E114" s="10">
        <v>3</v>
      </c>
      <c r="F114" s="10">
        <v>6</v>
      </c>
      <c r="G114" s="25">
        <v>0</v>
      </c>
      <c r="H114" s="25">
        <v>0</v>
      </c>
      <c r="I114" s="25">
        <v>0</v>
      </c>
      <c r="J114" s="25">
        <v>0</v>
      </c>
      <c r="K114" s="25">
        <v>1</v>
      </c>
      <c r="L114" s="34" t="s">
        <v>675</v>
      </c>
      <c r="M114" s="24">
        <v>14</v>
      </c>
    </row>
    <row r="115" spans="1:13" x14ac:dyDescent="0.25">
      <c r="A115" s="26"/>
      <c r="B115" s="25">
        <v>1</v>
      </c>
      <c r="C115" s="102" t="s">
        <v>283</v>
      </c>
      <c r="D115" s="10">
        <v>2164</v>
      </c>
      <c r="E115" s="10">
        <v>8</v>
      </c>
      <c r="F115" s="10">
        <v>11</v>
      </c>
      <c r="G115" s="25">
        <v>1</v>
      </c>
      <c r="H115" s="25">
        <v>0</v>
      </c>
      <c r="I115" s="25">
        <v>0</v>
      </c>
      <c r="J115" s="25">
        <v>0</v>
      </c>
      <c r="K115" s="25">
        <v>1</v>
      </c>
      <c r="L115" s="34" t="s">
        <v>675</v>
      </c>
      <c r="M115" s="24">
        <v>14</v>
      </c>
    </row>
    <row r="117" spans="1:13" x14ac:dyDescent="0.25">
      <c r="A117" s="31" t="s">
        <v>613</v>
      </c>
      <c r="B117" s="25">
        <f>SUM(B118:B119)</f>
        <v>2</v>
      </c>
      <c r="C117" s="32" t="s">
        <v>35</v>
      </c>
      <c r="D117" s="32" t="s">
        <v>35</v>
      </c>
      <c r="E117" s="25">
        <f t="shared" ref="E117:K117" si="28">SUM(E118:E119)</f>
        <v>19</v>
      </c>
      <c r="F117" s="25">
        <f t="shared" si="28"/>
        <v>28</v>
      </c>
      <c r="G117" s="30">
        <f t="shared" si="28"/>
        <v>1</v>
      </c>
      <c r="H117" s="30">
        <f t="shared" si="28"/>
        <v>0</v>
      </c>
      <c r="I117" s="30">
        <f t="shared" si="28"/>
        <v>0</v>
      </c>
      <c r="J117" s="30">
        <f t="shared" si="28"/>
        <v>0</v>
      </c>
      <c r="K117" s="30">
        <f t="shared" si="28"/>
        <v>2</v>
      </c>
      <c r="L117" s="34" t="s">
        <v>675</v>
      </c>
      <c r="M117" s="32" t="s">
        <v>35</v>
      </c>
    </row>
    <row r="118" spans="1:13" x14ac:dyDescent="0.25">
      <c r="A118" s="25" t="s">
        <v>654</v>
      </c>
      <c r="B118" s="25">
        <v>1</v>
      </c>
      <c r="C118" s="102" t="s">
        <v>574</v>
      </c>
      <c r="D118" s="10">
        <v>2153</v>
      </c>
      <c r="E118" s="10">
        <v>15</v>
      </c>
      <c r="F118" s="10">
        <v>21</v>
      </c>
      <c r="G118" s="25">
        <v>1</v>
      </c>
      <c r="H118" s="25">
        <v>0</v>
      </c>
      <c r="I118" s="25">
        <v>0</v>
      </c>
      <c r="J118" s="25">
        <v>0</v>
      </c>
      <c r="K118" s="25">
        <v>1</v>
      </c>
      <c r="L118" s="34" t="s">
        <v>675</v>
      </c>
      <c r="M118" s="24">
        <v>14</v>
      </c>
    </row>
    <row r="119" spans="1:13" x14ac:dyDescent="0.25">
      <c r="A119" s="26"/>
      <c r="B119" s="25">
        <v>1</v>
      </c>
      <c r="C119" s="102" t="s">
        <v>577</v>
      </c>
      <c r="D119" s="10">
        <v>2150</v>
      </c>
      <c r="E119" s="10">
        <v>4</v>
      </c>
      <c r="F119" s="10">
        <v>7</v>
      </c>
      <c r="G119" s="25">
        <v>0</v>
      </c>
      <c r="H119" s="25">
        <v>0</v>
      </c>
      <c r="I119" s="25">
        <v>0</v>
      </c>
      <c r="J119" s="25">
        <v>0</v>
      </c>
      <c r="K119" s="25">
        <v>1</v>
      </c>
      <c r="L119" s="34" t="s">
        <v>675</v>
      </c>
      <c r="M119" s="24">
        <v>14</v>
      </c>
    </row>
    <row r="121" spans="1:13" x14ac:dyDescent="0.25">
      <c r="A121" s="31" t="s">
        <v>614</v>
      </c>
      <c r="B121" s="25">
        <f>SUM(B122:B123)</f>
        <v>2</v>
      </c>
      <c r="C121" s="32" t="s">
        <v>35</v>
      </c>
      <c r="D121" s="32" t="s">
        <v>35</v>
      </c>
      <c r="E121" s="25">
        <f t="shared" ref="E121:K121" si="29">SUM(E122:E123)</f>
        <v>15</v>
      </c>
      <c r="F121" s="25">
        <f t="shared" si="29"/>
        <v>17</v>
      </c>
      <c r="G121" s="30">
        <f t="shared" si="29"/>
        <v>0</v>
      </c>
      <c r="H121" s="30">
        <f t="shared" si="29"/>
        <v>0</v>
      </c>
      <c r="I121" s="30">
        <f t="shared" si="29"/>
        <v>0</v>
      </c>
      <c r="J121" s="30">
        <f t="shared" si="29"/>
        <v>0</v>
      </c>
      <c r="K121" s="30">
        <f t="shared" si="29"/>
        <v>2</v>
      </c>
      <c r="L121" s="34" t="s">
        <v>678</v>
      </c>
      <c r="M121" s="32" t="s">
        <v>35</v>
      </c>
    </row>
    <row r="122" spans="1:13" x14ac:dyDescent="0.25">
      <c r="A122" s="25" t="s">
        <v>655</v>
      </c>
      <c r="B122" s="25">
        <v>1</v>
      </c>
      <c r="C122" s="102" t="s">
        <v>423</v>
      </c>
      <c r="D122" s="10">
        <v>2333</v>
      </c>
      <c r="E122" s="10">
        <v>3</v>
      </c>
      <c r="F122" s="10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1</v>
      </c>
      <c r="L122" s="34" t="s">
        <v>678</v>
      </c>
      <c r="M122" s="24">
        <v>14</v>
      </c>
    </row>
    <row r="123" spans="1:13" x14ac:dyDescent="0.25">
      <c r="A123" s="26"/>
      <c r="B123" s="25">
        <v>1</v>
      </c>
      <c r="C123" s="102" t="s">
        <v>427</v>
      </c>
      <c r="D123" s="10">
        <v>2340</v>
      </c>
      <c r="E123" s="10">
        <v>12</v>
      </c>
      <c r="F123" s="10">
        <v>17</v>
      </c>
      <c r="G123" s="25">
        <v>0</v>
      </c>
      <c r="H123" s="25">
        <v>0</v>
      </c>
      <c r="I123" s="25">
        <v>0</v>
      </c>
      <c r="J123" s="25">
        <v>0</v>
      </c>
      <c r="K123" s="25">
        <v>1</v>
      </c>
      <c r="L123" s="34" t="s">
        <v>678</v>
      </c>
      <c r="M123" s="24">
        <v>14</v>
      </c>
    </row>
    <row r="125" spans="1:13" x14ac:dyDescent="0.25">
      <c r="A125" s="31" t="s">
        <v>615</v>
      </c>
      <c r="B125" s="25">
        <f>SUM(B126:B127)</f>
        <v>2</v>
      </c>
      <c r="C125" s="32" t="s">
        <v>35</v>
      </c>
      <c r="D125" s="32" t="s">
        <v>35</v>
      </c>
      <c r="E125" s="25">
        <f t="shared" ref="E125:K125" si="30">SUM(E126:E127)</f>
        <v>18</v>
      </c>
      <c r="F125" s="25">
        <f t="shared" si="30"/>
        <v>26</v>
      </c>
      <c r="G125" s="30">
        <f t="shared" si="30"/>
        <v>2</v>
      </c>
      <c r="H125" s="30">
        <f t="shared" si="30"/>
        <v>0</v>
      </c>
      <c r="I125" s="30">
        <f t="shared" si="30"/>
        <v>0</v>
      </c>
      <c r="J125" s="30">
        <f t="shared" si="30"/>
        <v>0</v>
      </c>
      <c r="K125" s="30">
        <f t="shared" si="30"/>
        <v>2</v>
      </c>
      <c r="L125" s="34" t="s">
        <v>672</v>
      </c>
      <c r="M125" s="32" t="s">
        <v>35</v>
      </c>
    </row>
    <row r="126" spans="1:13" x14ac:dyDescent="0.25">
      <c r="A126" s="25" t="s">
        <v>656</v>
      </c>
      <c r="B126" s="25">
        <v>1</v>
      </c>
      <c r="C126" s="102" t="s">
        <v>603</v>
      </c>
      <c r="D126" s="10">
        <v>2290</v>
      </c>
      <c r="E126" s="10">
        <v>6</v>
      </c>
      <c r="F126" s="10">
        <v>9</v>
      </c>
      <c r="G126" s="25">
        <v>1</v>
      </c>
      <c r="H126" s="25">
        <v>0</v>
      </c>
      <c r="I126" s="25">
        <v>0</v>
      </c>
      <c r="J126" s="25">
        <v>0</v>
      </c>
      <c r="K126" s="25">
        <v>1</v>
      </c>
      <c r="L126" s="34" t="s">
        <v>672</v>
      </c>
      <c r="M126" s="24">
        <v>14</v>
      </c>
    </row>
    <row r="127" spans="1:13" x14ac:dyDescent="0.25">
      <c r="A127" s="26"/>
      <c r="B127" s="25">
        <v>1</v>
      </c>
      <c r="C127" s="102" t="s">
        <v>604</v>
      </c>
      <c r="D127" s="10">
        <v>2302</v>
      </c>
      <c r="E127" s="10">
        <v>12</v>
      </c>
      <c r="F127" s="10">
        <v>17</v>
      </c>
      <c r="G127" s="25">
        <v>1</v>
      </c>
      <c r="H127" s="25">
        <v>0</v>
      </c>
      <c r="I127" s="25">
        <v>0</v>
      </c>
      <c r="J127" s="25">
        <v>0</v>
      </c>
      <c r="K127" s="25">
        <v>1</v>
      </c>
      <c r="L127" s="34" t="s">
        <v>672</v>
      </c>
      <c r="M127" s="24">
        <v>14</v>
      </c>
    </row>
    <row r="129" spans="1:13" x14ac:dyDescent="0.25">
      <c r="A129" s="31" t="s">
        <v>616</v>
      </c>
      <c r="B129" s="25">
        <f>SUM(B130:B131)</f>
        <v>2</v>
      </c>
      <c r="C129" s="32" t="s">
        <v>35</v>
      </c>
      <c r="D129" s="32" t="s">
        <v>35</v>
      </c>
      <c r="E129" s="25">
        <f t="shared" ref="E129:K129" si="31">SUM(E130:E131)</f>
        <v>15</v>
      </c>
      <c r="F129" s="25">
        <f t="shared" si="31"/>
        <v>22</v>
      </c>
      <c r="G129" s="30">
        <f t="shared" si="31"/>
        <v>2</v>
      </c>
      <c r="H129" s="30">
        <f t="shared" si="31"/>
        <v>0</v>
      </c>
      <c r="I129" s="30">
        <f t="shared" si="31"/>
        <v>0</v>
      </c>
      <c r="J129" s="30">
        <f t="shared" si="31"/>
        <v>0</v>
      </c>
      <c r="K129" s="30">
        <f t="shared" si="31"/>
        <v>2</v>
      </c>
      <c r="L129" s="34" t="s">
        <v>678</v>
      </c>
      <c r="M129" s="32" t="s">
        <v>35</v>
      </c>
    </row>
    <row r="130" spans="1:13" x14ac:dyDescent="0.25">
      <c r="A130" s="25" t="s">
        <v>657</v>
      </c>
      <c r="B130" s="25">
        <v>1</v>
      </c>
      <c r="C130" s="102" t="s">
        <v>248</v>
      </c>
      <c r="D130" s="10">
        <v>2450</v>
      </c>
      <c r="E130" s="10">
        <v>6</v>
      </c>
      <c r="F130" s="10">
        <v>9</v>
      </c>
      <c r="G130" s="25">
        <v>1</v>
      </c>
      <c r="H130" s="25">
        <v>0</v>
      </c>
      <c r="I130" s="25">
        <v>0</v>
      </c>
      <c r="J130" s="25">
        <v>0</v>
      </c>
      <c r="K130" s="25">
        <v>1</v>
      </c>
      <c r="L130" s="34" t="s">
        <v>678</v>
      </c>
      <c r="M130" s="24">
        <v>14</v>
      </c>
    </row>
    <row r="131" spans="1:13" x14ac:dyDescent="0.25">
      <c r="A131" s="26"/>
      <c r="B131" s="25">
        <v>1</v>
      </c>
      <c r="C131" s="102" t="s">
        <v>617</v>
      </c>
      <c r="D131" s="10">
        <v>2480</v>
      </c>
      <c r="E131" s="10">
        <v>9</v>
      </c>
      <c r="F131" s="10">
        <v>13</v>
      </c>
      <c r="G131" s="25">
        <v>1</v>
      </c>
      <c r="H131" s="25">
        <v>0</v>
      </c>
      <c r="I131" s="25">
        <v>0</v>
      </c>
      <c r="J131" s="25">
        <v>0</v>
      </c>
      <c r="K131" s="25">
        <v>1</v>
      </c>
      <c r="L131" s="34" t="s">
        <v>678</v>
      </c>
      <c r="M131" s="24">
        <v>14</v>
      </c>
    </row>
    <row r="133" spans="1:13" s="26" customFormat="1" ht="14.25" customHeight="1" x14ac:dyDescent="0.25">
      <c r="A133" s="31" t="s">
        <v>682</v>
      </c>
      <c r="B133" s="25">
        <f>SUM(B134:B134)</f>
        <v>0</v>
      </c>
      <c r="C133" s="32" t="s">
        <v>35</v>
      </c>
      <c r="D133" s="32" t="s">
        <v>35</v>
      </c>
      <c r="E133" s="25">
        <f t="shared" ref="E133:K133" si="32">SUM(E134:E134)</f>
        <v>0</v>
      </c>
      <c r="F133" s="25">
        <f t="shared" si="32"/>
        <v>0</v>
      </c>
      <c r="G133" s="30">
        <f t="shared" si="32"/>
        <v>0</v>
      </c>
      <c r="H133" s="30">
        <f t="shared" si="32"/>
        <v>0</v>
      </c>
      <c r="I133" s="30">
        <f t="shared" si="32"/>
        <v>0</v>
      </c>
      <c r="J133" s="30">
        <f t="shared" si="32"/>
        <v>0</v>
      </c>
      <c r="K133" s="30">
        <f t="shared" si="32"/>
        <v>0</v>
      </c>
      <c r="L133" s="34" t="s">
        <v>678</v>
      </c>
      <c r="M133" s="32" t="s">
        <v>35</v>
      </c>
    </row>
    <row r="134" spans="1:13" s="26" customFormat="1" outlineLevel="1" x14ac:dyDescent="0.25">
      <c r="A134" s="25" t="s">
        <v>683</v>
      </c>
      <c r="B134" s="25"/>
      <c r="C134" s="102" t="s">
        <v>673</v>
      </c>
      <c r="D134" s="10"/>
      <c r="E134" s="10"/>
      <c r="F134" s="10"/>
      <c r="G134" s="25"/>
      <c r="H134" s="25"/>
      <c r="I134" s="25"/>
      <c r="J134" s="25"/>
      <c r="K134" s="25"/>
      <c r="L134" s="34" t="s">
        <v>678</v>
      </c>
      <c r="M134" s="24"/>
    </row>
    <row r="136" spans="1:13" x14ac:dyDescent="0.25">
      <c r="A136" s="31" t="s">
        <v>577</v>
      </c>
      <c r="B136" s="25">
        <f>SUM(B137:B139)</f>
        <v>3</v>
      </c>
      <c r="C136" s="32" t="s">
        <v>35</v>
      </c>
      <c r="D136" s="32" t="s">
        <v>35</v>
      </c>
      <c r="E136" s="25">
        <f t="shared" ref="E136:K136" si="33">SUM(E137:E139)</f>
        <v>19</v>
      </c>
      <c r="F136" s="25">
        <f t="shared" si="33"/>
        <v>30</v>
      </c>
      <c r="G136" s="30">
        <f t="shared" si="33"/>
        <v>1</v>
      </c>
      <c r="H136" s="30">
        <f t="shared" si="33"/>
        <v>0</v>
      </c>
      <c r="I136" s="30">
        <f t="shared" si="33"/>
        <v>0</v>
      </c>
      <c r="J136" s="30">
        <f t="shared" si="33"/>
        <v>0</v>
      </c>
      <c r="K136" s="30">
        <f t="shared" si="33"/>
        <v>3</v>
      </c>
      <c r="L136" s="34" t="s">
        <v>672</v>
      </c>
      <c r="M136" s="32" t="s">
        <v>35</v>
      </c>
    </row>
    <row r="137" spans="1:13" x14ac:dyDescent="0.25">
      <c r="A137" s="25" t="s">
        <v>658</v>
      </c>
      <c r="B137" s="25">
        <v>1</v>
      </c>
      <c r="C137" s="102" t="s">
        <v>574</v>
      </c>
      <c r="D137" s="10">
        <v>2153</v>
      </c>
      <c r="E137" s="10">
        <v>3</v>
      </c>
      <c r="F137" s="10">
        <v>6</v>
      </c>
      <c r="G137" s="25">
        <v>0</v>
      </c>
      <c r="H137" s="25">
        <v>0</v>
      </c>
      <c r="I137" s="25">
        <v>0</v>
      </c>
      <c r="J137" s="25">
        <v>0</v>
      </c>
      <c r="K137" s="25">
        <v>1</v>
      </c>
      <c r="L137" s="34" t="s">
        <v>672</v>
      </c>
      <c r="M137" s="24">
        <v>14</v>
      </c>
    </row>
    <row r="138" spans="1:13" x14ac:dyDescent="0.25">
      <c r="A138" s="26"/>
      <c r="B138" s="25">
        <v>1</v>
      </c>
      <c r="C138" s="102" t="s">
        <v>577</v>
      </c>
      <c r="D138" s="10">
        <v>2150</v>
      </c>
      <c r="E138" s="10">
        <v>13</v>
      </c>
      <c r="F138" s="10">
        <v>18</v>
      </c>
      <c r="G138" s="25">
        <v>1</v>
      </c>
      <c r="H138" s="25">
        <v>0</v>
      </c>
      <c r="I138" s="25">
        <v>0</v>
      </c>
      <c r="J138" s="25">
        <v>0</v>
      </c>
      <c r="K138" s="25">
        <v>1</v>
      </c>
      <c r="L138" s="34" t="s">
        <v>672</v>
      </c>
      <c r="M138" s="24">
        <v>14</v>
      </c>
    </row>
    <row r="139" spans="1:13" x14ac:dyDescent="0.25">
      <c r="A139" s="26"/>
      <c r="B139" s="25">
        <v>1</v>
      </c>
      <c r="C139" s="102" t="s">
        <v>283</v>
      </c>
      <c r="D139" s="10">
        <v>2164</v>
      </c>
      <c r="E139" s="10">
        <v>3</v>
      </c>
      <c r="F139" s="10">
        <v>6</v>
      </c>
      <c r="G139" s="25">
        <v>0</v>
      </c>
      <c r="H139" s="25">
        <v>0</v>
      </c>
      <c r="I139" s="25">
        <v>0</v>
      </c>
      <c r="J139" s="25">
        <v>0</v>
      </c>
      <c r="K139" s="25">
        <v>1</v>
      </c>
      <c r="L139" s="34" t="s">
        <v>672</v>
      </c>
      <c r="M139" s="24">
        <v>14</v>
      </c>
    </row>
    <row r="141" spans="1:13" x14ac:dyDescent="0.25">
      <c r="A141" s="31" t="s">
        <v>378</v>
      </c>
      <c r="B141" s="25">
        <f>SUM(B142:B143)</f>
        <v>2</v>
      </c>
      <c r="C141" s="32" t="s">
        <v>35</v>
      </c>
      <c r="D141" s="32" t="s">
        <v>35</v>
      </c>
      <c r="E141" s="25">
        <f t="shared" ref="E141:K141" si="34">SUM(E142:E143)</f>
        <v>7</v>
      </c>
      <c r="F141" s="25">
        <f t="shared" si="34"/>
        <v>6</v>
      </c>
      <c r="G141" s="30">
        <f t="shared" si="34"/>
        <v>0</v>
      </c>
      <c r="H141" s="30">
        <f t="shared" si="34"/>
        <v>0</v>
      </c>
      <c r="I141" s="30">
        <f t="shared" si="34"/>
        <v>0</v>
      </c>
      <c r="J141" s="30">
        <f t="shared" si="34"/>
        <v>0</v>
      </c>
      <c r="K141" s="30">
        <f t="shared" si="34"/>
        <v>2</v>
      </c>
      <c r="L141" s="34" t="s">
        <v>679</v>
      </c>
      <c r="M141" s="32" t="s">
        <v>35</v>
      </c>
    </row>
    <row r="142" spans="1:13" x14ac:dyDescent="0.25">
      <c r="A142" s="25" t="s">
        <v>659</v>
      </c>
      <c r="B142" s="25">
        <v>1</v>
      </c>
      <c r="C142" s="102" t="s">
        <v>604</v>
      </c>
      <c r="D142" s="10">
        <v>2302</v>
      </c>
      <c r="E142" s="10">
        <v>3</v>
      </c>
      <c r="F142" s="10">
        <v>6</v>
      </c>
      <c r="G142" s="25">
        <v>0</v>
      </c>
      <c r="H142" s="25">
        <v>0</v>
      </c>
      <c r="I142" s="25">
        <v>0</v>
      </c>
      <c r="J142" s="25">
        <v>0</v>
      </c>
      <c r="K142" s="25">
        <v>1</v>
      </c>
      <c r="L142" s="34" t="s">
        <v>679</v>
      </c>
      <c r="M142" s="24">
        <v>14</v>
      </c>
    </row>
    <row r="143" spans="1:13" x14ac:dyDescent="0.25">
      <c r="A143" s="26"/>
      <c r="B143" s="25">
        <v>1</v>
      </c>
      <c r="C143" s="102" t="s">
        <v>618</v>
      </c>
      <c r="D143" s="10">
        <v>2322</v>
      </c>
      <c r="E143" s="10">
        <v>4</v>
      </c>
      <c r="F143" s="10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1</v>
      </c>
      <c r="L143" s="34" t="s">
        <v>679</v>
      </c>
      <c r="M143" s="24">
        <v>14</v>
      </c>
    </row>
    <row r="145" spans="1:13" x14ac:dyDescent="0.25">
      <c r="A145" s="31" t="s">
        <v>619</v>
      </c>
      <c r="B145" s="25">
        <f>SUM(B146:B146)</f>
        <v>1</v>
      </c>
      <c r="C145" s="32" t="s">
        <v>35</v>
      </c>
      <c r="D145" s="32" t="s">
        <v>35</v>
      </c>
      <c r="E145" s="25">
        <f t="shared" ref="E145:K145" si="35">SUM(E146:E146)</f>
        <v>4</v>
      </c>
      <c r="F145" s="25">
        <f t="shared" si="35"/>
        <v>0</v>
      </c>
      <c r="G145" s="30">
        <f t="shared" si="35"/>
        <v>0</v>
      </c>
      <c r="H145" s="30">
        <f t="shared" si="35"/>
        <v>0</v>
      </c>
      <c r="I145" s="30">
        <f t="shared" si="35"/>
        <v>0</v>
      </c>
      <c r="J145" s="30">
        <f t="shared" si="35"/>
        <v>0</v>
      </c>
      <c r="K145" s="30">
        <f t="shared" si="35"/>
        <v>1</v>
      </c>
      <c r="L145" s="34" t="s">
        <v>672</v>
      </c>
      <c r="M145" s="32" t="s">
        <v>35</v>
      </c>
    </row>
    <row r="146" spans="1:13" x14ac:dyDescent="0.25">
      <c r="A146" s="25" t="s">
        <v>660</v>
      </c>
      <c r="B146" s="25">
        <v>1</v>
      </c>
      <c r="C146" s="102" t="s">
        <v>466</v>
      </c>
      <c r="D146" s="10">
        <v>2137</v>
      </c>
      <c r="E146" s="10">
        <v>4</v>
      </c>
      <c r="F146" s="10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1</v>
      </c>
      <c r="L146" s="34" t="s">
        <v>672</v>
      </c>
      <c r="M146" s="24">
        <v>14</v>
      </c>
    </row>
    <row r="148" spans="1:13" x14ac:dyDescent="0.25">
      <c r="A148" s="31" t="s">
        <v>404</v>
      </c>
      <c r="B148" s="25">
        <f>SUM(B149:B149)</f>
        <v>1</v>
      </c>
      <c r="C148" s="32" t="s">
        <v>35</v>
      </c>
      <c r="D148" s="32" t="s">
        <v>35</v>
      </c>
      <c r="E148" s="25">
        <f t="shared" ref="E148:K148" si="36">SUM(E149:E149)</f>
        <v>3</v>
      </c>
      <c r="F148" s="25">
        <f t="shared" si="36"/>
        <v>6</v>
      </c>
      <c r="G148" s="30">
        <f t="shared" si="36"/>
        <v>0</v>
      </c>
      <c r="H148" s="30">
        <f t="shared" si="36"/>
        <v>0</v>
      </c>
      <c r="I148" s="30">
        <f t="shared" si="36"/>
        <v>0</v>
      </c>
      <c r="J148" s="30">
        <f t="shared" si="36"/>
        <v>0</v>
      </c>
      <c r="K148" s="30">
        <f t="shared" si="36"/>
        <v>1</v>
      </c>
      <c r="L148" s="34" t="s">
        <v>679</v>
      </c>
      <c r="M148" s="32" t="s">
        <v>35</v>
      </c>
    </row>
    <row r="149" spans="1:13" x14ac:dyDescent="0.25">
      <c r="A149" s="25" t="s">
        <v>661</v>
      </c>
      <c r="B149" s="25">
        <v>1</v>
      </c>
      <c r="C149" s="102" t="s">
        <v>617</v>
      </c>
      <c r="D149" s="10">
        <v>2480</v>
      </c>
      <c r="E149" s="10">
        <v>3</v>
      </c>
      <c r="F149" s="10">
        <v>6</v>
      </c>
      <c r="G149" s="25">
        <v>0</v>
      </c>
      <c r="H149" s="25">
        <v>0</v>
      </c>
      <c r="I149" s="25">
        <v>0</v>
      </c>
      <c r="J149" s="25">
        <v>0</v>
      </c>
      <c r="K149" s="25">
        <v>1</v>
      </c>
      <c r="L149" s="34" t="s">
        <v>679</v>
      </c>
      <c r="M149" s="24">
        <v>14</v>
      </c>
    </row>
    <row r="151" spans="1:13" x14ac:dyDescent="0.25">
      <c r="A151" s="31" t="s">
        <v>620</v>
      </c>
      <c r="B151" s="25">
        <f>SUM(B152:B153)</f>
        <v>2</v>
      </c>
      <c r="C151" s="32" t="s">
        <v>35</v>
      </c>
      <c r="D151" s="32" t="s">
        <v>35</v>
      </c>
      <c r="E151" s="25">
        <f t="shared" ref="E151:K151" si="37">SUM(E152:E153)</f>
        <v>21</v>
      </c>
      <c r="F151" s="25">
        <f t="shared" si="37"/>
        <v>31</v>
      </c>
      <c r="G151" s="30">
        <f t="shared" si="37"/>
        <v>2</v>
      </c>
      <c r="H151" s="30">
        <f t="shared" si="37"/>
        <v>0</v>
      </c>
      <c r="I151" s="30">
        <f t="shared" si="37"/>
        <v>0</v>
      </c>
      <c r="J151" s="30">
        <f t="shared" si="37"/>
        <v>0</v>
      </c>
      <c r="K151" s="30">
        <f t="shared" si="37"/>
        <v>2</v>
      </c>
      <c r="L151" s="34" t="s">
        <v>678</v>
      </c>
      <c r="M151" s="32" t="s">
        <v>35</v>
      </c>
    </row>
    <row r="152" spans="1:13" x14ac:dyDescent="0.25">
      <c r="A152" s="25" t="s">
        <v>662</v>
      </c>
      <c r="B152" s="25">
        <v>1</v>
      </c>
      <c r="C152" s="102" t="s">
        <v>589</v>
      </c>
      <c r="D152" s="10">
        <v>2580</v>
      </c>
      <c r="E152" s="10">
        <v>3</v>
      </c>
      <c r="F152" s="10">
        <v>6</v>
      </c>
      <c r="G152" s="25">
        <v>1</v>
      </c>
      <c r="H152" s="25">
        <v>0</v>
      </c>
      <c r="I152" s="25">
        <v>0</v>
      </c>
      <c r="J152" s="25">
        <v>0</v>
      </c>
      <c r="K152" s="25">
        <v>1</v>
      </c>
      <c r="L152" s="34" t="s">
        <v>678</v>
      </c>
      <c r="M152" s="24">
        <v>14</v>
      </c>
    </row>
    <row r="153" spans="1:13" x14ac:dyDescent="0.25">
      <c r="A153" s="26"/>
      <c r="B153" s="25">
        <v>1</v>
      </c>
      <c r="C153" s="102" t="s">
        <v>621</v>
      </c>
      <c r="D153" s="10">
        <v>2650</v>
      </c>
      <c r="E153" s="10">
        <v>18</v>
      </c>
      <c r="F153" s="10">
        <v>25</v>
      </c>
      <c r="G153" s="25">
        <v>1</v>
      </c>
      <c r="H153" s="25">
        <v>0</v>
      </c>
      <c r="I153" s="25">
        <v>0</v>
      </c>
      <c r="J153" s="25">
        <v>0</v>
      </c>
      <c r="K153" s="25">
        <v>1</v>
      </c>
      <c r="L153" s="34" t="s">
        <v>678</v>
      </c>
      <c r="M153" s="24">
        <v>14</v>
      </c>
    </row>
    <row r="155" spans="1:13" x14ac:dyDescent="0.25">
      <c r="A155" s="31" t="s">
        <v>622</v>
      </c>
      <c r="B155" s="25">
        <f>SUM(B156:B157)</f>
        <v>2</v>
      </c>
      <c r="C155" s="32" t="s">
        <v>35</v>
      </c>
      <c r="D155" s="32" t="s">
        <v>35</v>
      </c>
      <c r="E155" s="25">
        <f t="shared" ref="E155:K155" si="38">SUM(E156:E157)</f>
        <v>13</v>
      </c>
      <c r="F155" s="25">
        <f t="shared" si="38"/>
        <v>20</v>
      </c>
      <c r="G155" s="30">
        <f t="shared" si="38"/>
        <v>1</v>
      </c>
      <c r="H155" s="30">
        <f t="shared" si="38"/>
        <v>0</v>
      </c>
      <c r="I155" s="30">
        <f t="shared" si="38"/>
        <v>0</v>
      </c>
      <c r="J155" s="30">
        <f t="shared" si="38"/>
        <v>0</v>
      </c>
      <c r="K155" s="30">
        <f t="shared" si="38"/>
        <v>2</v>
      </c>
      <c r="L155" s="34" t="s">
        <v>679</v>
      </c>
      <c r="M155" s="32" t="s">
        <v>35</v>
      </c>
    </row>
    <row r="156" spans="1:13" x14ac:dyDescent="0.25">
      <c r="A156" s="25" t="s">
        <v>663</v>
      </c>
      <c r="B156" s="25">
        <v>1</v>
      </c>
      <c r="C156" s="102" t="s">
        <v>499</v>
      </c>
      <c r="D156" s="10">
        <v>2250</v>
      </c>
      <c r="E156" s="10">
        <v>10</v>
      </c>
      <c r="F156" s="10">
        <v>14</v>
      </c>
      <c r="G156" s="25">
        <v>1</v>
      </c>
      <c r="H156" s="25">
        <v>0</v>
      </c>
      <c r="I156" s="25">
        <v>0</v>
      </c>
      <c r="J156" s="25">
        <v>0</v>
      </c>
      <c r="K156" s="25">
        <v>1</v>
      </c>
      <c r="L156" s="34" t="s">
        <v>679</v>
      </c>
      <c r="M156" s="24">
        <v>14</v>
      </c>
    </row>
    <row r="157" spans="1:13" x14ac:dyDescent="0.25">
      <c r="A157" s="26"/>
      <c r="B157" s="25">
        <v>1</v>
      </c>
      <c r="C157" s="102" t="s">
        <v>268</v>
      </c>
      <c r="D157" s="10">
        <v>2259</v>
      </c>
      <c r="E157" s="10">
        <v>3</v>
      </c>
      <c r="F157" s="10">
        <v>6</v>
      </c>
      <c r="G157" s="25">
        <v>0</v>
      </c>
      <c r="H157" s="25">
        <v>0</v>
      </c>
      <c r="I157" s="25">
        <v>0</v>
      </c>
      <c r="J157" s="25">
        <v>0</v>
      </c>
      <c r="K157" s="25">
        <v>1</v>
      </c>
      <c r="L157" s="34" t="s">
        <v>679</v>
      </c>
      <c r="M157" s="24">
        <v>14</v>
      </c>
    </row>
    <row r="159" spans="1:13" x14ac:dyDescent="0.25">
      <c r="A159" s="31" t="s">
        <v>433</v>
      </c>
      <c r="B159" s="25">
        <f>SUM(B160:B162)</f>
        <v>3</v>
      </c>
      <c r="C159" s="32" t="s">
        <v>35</v>
      </c>
      <c r="D159" s="32" t="s">
        <v>35</v>
      </c>
      <c r="E159" s="25">
        <f t="shared" ref="E159:K159" si="39">SUM(E160:E162)</f>
        <v>18</v>
      </c>
      <c r="F159" s="25">
        <f t="shared" si="39"/>
        <v>29</v>
      </c>
      <c r="G159" s="30">
        <f t="shared" si="39"/>
        <v>1</v>
      </c>
      <c r="H159" s="30">
        <f t="shared" si="39"/>
        <v>0</v>
      </c>
      <c r="I159" s="30">
        <f t="shared" si="39"/>
        <v>0</v>
      </c>
      <c r="J159" s="30">
        <f t="shared" si="39"/>
        <v>0</v>
      </c>
      <c r="K159" s="30">
        <f t="shared" si="39"/>
        <v>3</v>
      </c>
      <c r="L159" s="34" t="s">
        <v>679</v>
      </c>
      <c r="M159" s="32" t="s">
        <v>35</v>
      </c>
    </row>
    <row r="160" spans="1:13" x14ac:dyDescent="0.25">
      <c r="A160" s="25" t="s">
        <v>664</v>
      </c>
      <c r="B160" s="25">
        <v>1</v>
      </c>
      <c r="C160" s="102" t="s">
        <v>603</v>
      </c>
      <c r="D160" s="10">
        <v>2290</v>
      </c>
      <c r="E160" s="10">
        <v>12</v>
      </c>
      <c r="F160" s="10">
        <v>17</v>
      </c>
      <c r="G160" s="25">
        <v>1</v>
      </c>
      <c r="H160" s="25">
        <v>0</v>
      </c>
      <c r="I160" s="25">
        <v>0</v>
      </c>
      <c r="J160" s="25">
        <v>0</v>
      </c>
      <c r="K160" s="25">
        <v>1</v>
      </c>
      <c r="L160" s="34" t="s">
        <v>679</v>
      </c>
      <c r="M160" s="24">
        <v>14</v>
      </c>
    </row>
    <row r="161" spans="1:13" x14ac:dyDescent="0.25">
      <c r="A161" s="26"/>
      <c r="B161" s="25">
        <v>1</v>
      </c>
      <c r="C161" s="102" t="s">
        <v>604</v>
      </c>
      <c r="D161" s="10">
        <v>2302</v>
      </c>
      <c r="E161" s="10">
        <v>3</v>
      </c>
      <c r="F161" s="10">
        <v>6</v>
      </c>
      <c r="G161" s="25">
        <v>0</v>
      </c>
      <c r="H161" s="25">
        <v>0</v>
      </c>
      <c r="I161" s="25">
        <v>0</v>
      </c>
      <c r="J161" s="25">
        <v>0</v>
      </c>
      <c r="K161" s="25">
        <v>1</v>
      </c>
      <c r="L161" s="34" t="s">
        <v>679</v>
      </c>
      <c r="M161" s="24">
        <v>14</v>
      </c>
    </row>
    <row r="162" spans="1:13" x14ac:dyDescent="0.25">
      <c r="A162" s="26"/>
      <c r="B162" s="25">
        <v>1</v>
      </c>
      <c r="C162" s="102" t="s">
        <v>268</v>
      </c>
      <c r="D162" s="10">
        <v>2259</v>
      </c>
      <c r="E162" s="10">
        <v>3</v>
      </c>
      <c r="F162" s="10">
        <v>6</v>
      </c>
      <c r="G162" s="25">
        <v>0</v>
      </c>
      <c r="H162" s="25">
        <v>0</v>
      </c>
      <c r="I162" s="25">
        <v>0</v>
      </c>
      <c r="J162" s="25">
        <v>0</v>
      </c>
      <c r="K162" s="25">
        <v>1</v>
      </c>
      <c r="L162" s="34" t="s">
        <v>679</v>
      </c>
      <c r="M162" s="24">
        <v>14</v>
      </c>
    </row>
    <row r="164" spans="1:13" x14ac:dyDescent="0.25">
      <c r="A164" s="31" t="s">
        <v>623</v>
      </c>
      <c r="B164" s="25">
        <f>SUM(B165:B166)</f>
        <v>2</v>
      </c>
      <c r="C164" s="32" t="s">
        <v>35</v>
      </c>
      <c r="D164" s="32" t="s">
        <v>35</v>
      </c>
      <c r="E164" s="25">
        <f t="shared" ref="E164:K164" si="40">SUM(E165:E166)</f>
        <v>6</v>
      </c>
      <c r="F164" s="25">
        <f t="shared" si="40"/>
        <v>6</v>
      </c>
      <c r="G164" s="30">
        <f t="shared" si="40"/>
        <v>0</v>
      </c>
      <c r="H164" s="30">
        <f t="shared" si="40"/>
        <v>0</v>
      </c>
      <c r="I164" s="30">
        <f t="shared" si="40"/>
        <v>0</v>
      </c>
      <c r="J164" s="30">
        <f t="shared" si="40"/>
        <v>0</v>
      </c>
      <c r="K164" s="30">
        <f t="shared" si="40"/>
        <v>2</v>
      </c>
      <c r="L164" s="34" t="s">
        <v>672</v>
      </c>
      <c r="M164" s="32" t="s">
        <v>35</v>
      </c>
    </row>
    <row r="165" spans="1:13" x14ac:dyDescent="0.25">
      <c r="A165" s="25" t="s">
        <v>665</v>
      </c>
      <c r="B165" s="25">
        <v>1</v>
      </c>
      <c r="C165" s="102" t="s">
        <v>545</v>
      </c>
      <c r="D165" s="10">
        <v>2022</v>
      </c>
      <c r="E165" s="10">
        <v>3</v>
      </c>
      <c r="F165" s="10">
        <v>6</v>
      </c>
      <c r="G165" s="25">
        <v>0</v>
      </c>
      <c r="H165" s="25">
        <v>0</v>
      </c>
      <c r="I165" s="25">
        <v>0</v>
      </c>
      <c r="J165" s="25">
        <v>0</v>
      </c>
      <c r="K165" s="25">
        <v>1</v>
      </c>
      <c r="L165" s="34" t="s">
        <v>672</v>
      </c>
      <c r="M165" s="24">
        <v>14</v>
      </c>
    </row>
    <row r="166" spans="1:13" x14ac:dyDescent="0.25">
      <c r="A166" s="26"/>
      <c r="B166" s="25">
        <v>1</v>
      </c>
      <c r="C166" s="102" t="s">
        <v>353</v>
      </c>
      <c r="D166" s="10">
        <v>2018</v>
      </c>
      <c r="E166" s="10">
        <v>3</v>
      </c>
      <c r="F166" s="10">
        <v>0</v>
      </c>
      <c r="G166" s="25">
        <v>0</v>
      </c>
      <c r="H166" s="25">
        <v>0</v>
      </c>
      <c r="I166" s="25">
        <v>0</v>
      </c>
      <c r="J166" s="25">
        <v>0</v>
      </c>
      <c r="K166" s="25">
        <v>1</v>
      </c>
      <c r="L166" s="34" t="s">
        <v>672</v>
      </c>
      <c r="M166" s="24">
        <v>14</v>
      </c>
    </row>
    <row r="168" spans="1:13" s="26" customFormat="1" ht="14.25" customHeight="1" x14ac:dyDescent="0.25">
      <c r="A168" s="31" t="s">
        <v>684</v>
      </c>
      <c r="B168" s="25">
        <f>SUM(B169:B169)</f>
        <v>0</v>
      </c>
      <c r="C168" s="32" t="s">
        <v>35</v>
      </c>
      <c r="D168" s="32" t="s">
        <v>35</v>
      </c>
      <c r="E168" s="25">
        <f t="shared" ref="E168:K168" si="41">SUM(E169:E169)</f>
        <v>0</v>
      </c>
      <c r="F168" s="25">
        <f t="shared" si="41"/>
        <v>0</v>
      </c>
      <c r="G168" s="30">
        <f t="shared" si="41"/>
        <v>0</v>
      </c>
      <c r="H168" s="30">
        <f t="shared" si="41"/>
        <v>0</v>
      </c>
      <c r="I168" s="30">
        <f t="shared" si="41"/>
        <v>0</v>
      </c>
      <c r="J168" s="30">
        <f t="shared" si="41"/>
        <v>0</v>
      </c>
      <c r="K168" s="30">
        <f t="shared" si="41"/>
        <v>0</v>
      </c>
      <c r="L168" s="34" t="s">
        <v>672</v>
      </c>
      <c r="M168" s="32" t="s">
        <v>35</v>
      </c>
    </row>
    <row r="169" spans="1:13" s="26" customFormat="1" outlineLevel="1" x14ac:dyDescent="0.25">
      <c r="A169" s="25" t="s">
        <v>685</v>
      </c>
      <c r="B169" s="25"/>
      <c r="C169" s="102" t="s">
        <v>673</v>
      </c>
      <c r="D169" s="10"/>
      <c r="E169" s="10"/>
      <c r="F169" s="10"/>
      <c r="G169" s="25"/>
      <c r="H169" s="25"/>
      <c r="I169" s="25"/>
      <c r="J169" s="25"/>
      <c r="K169" s="25"/>
      <c r="L169" s="34" t="s">
        <v>672</v>
      </c>
      <c r="M169" s="24"/>
    </row>
    <row r="171" spans="1:13" s="26" customFormat="1" ht="14.25" customHeight="1" x14ac:dyDescent="0.25">
      <c r="A171" s="31" t="s">
        <v>687</v>
      </c>
      <c r="B171" s="25">
        <f>SUM(B172:B172)</f>
        <v>0</v>
      </c>
      <c r="C171" s="32" t="s">
        <v>35</v>
      </c>
      <c r="D171" s="32" t="s">
        <v>35</v>
      </c>
      <c r="E171" s="25">
        <f t="shared" ref="E171:K171" si="42">SUM(E172:E172)</f>
        <v>0</v>
      </c>
      <c r="F171" s="25">
        <f t="shared" si="42"/>
        <v>0</v>
      </c>
      <c r="G171" s="30">
        <f t="shared" si="42"/>
        <v>0</v>
      </c>
      <c r="H171" s="30">
        <f t="shared" si="42"/>
        <v>0</v>
      </c>
      <c r="I171" s="30">
        <f t="shared" si="42"/>
        <v>0</v>
      </c>
      <c r="J171" s="30">
        <f t="shared" si="42"/>
        <v>0</v>
      </c>
      <c r="K171" s="30">
        <f t="shared" si="42"/>
        <v>0</v>
      </c>
      <c r="L171" s="34" t="s">
        <v>672</v>
      </c>
      <c r="M171" s="32" t="s">
        <v>35</v>
      </c>
    </row>
    <row r="172" spans="1:13" s="26" customFormat="1" outlineLevel="1" x14ac:dyDescent="0.25">
      <c r="A172" s="25" t="s">
        <v>686</v>
      </c>
      <c r="B172" s="25"/>
      <c r="C172" s="102" t="s">
        <v>673</v>
      </c>
      <c r="D172" s="10"/>
      <c r="E172" s="10"/>
      <c r="F172" s="10"/>
      <c r="G172" s="25"/>
      <c r="H172" s="25"/>
      <c r="I172" s="25"/>
      <c r="J172" s="25"/>
      <c r="K172" s="25"/>
      <c r="L172" s="34" t="s">
        <v>672</v>
      </c>
      <c r="M172" s="24"/>
    </row>
    <row r="174" spans="1:13" x14ac:dyDescent="0.25">
      <c r="A174" s="31" t="s">
        <v>624</v>
      </c>
      <c r="B174" s="25">
        <f>SUM(B175:B177)</f>
        <v>3</v>
      </c>
      <c r="C174" s="32" t="s">
        <v>35</v>
      </c>
      <c r="D174" s="32" t="s">
        <v>35</v>
      </c>
      <c r="E174" s="25">
        <f t="shared" ref="E174:K174" si="43">SUM(E175:E177)</f>
        <v>18</v>
      </c>
      <c r="F174" s="25">
        <f t="shared" si="43"/>
        <v>15</v>
      </c>
      <c r="G174" s="30">
        <f t="shared" si="43"/>
        <v>0</v>
      </c>
      <c r="H174" s="30">
        <f t="shared" si="43"/>
        <v>0</v>
      </c>
      <c r="I174" s="30">
        <f t="shared" si="43"/>
        <v>0</v>
      </c>
      <c r="J174" s="30">
        <f t="shared" si="43"/>
        <v>0</v>
      </c>
      <c r="K174" s="30">
        <f t="shared" si="43"/>
        <v>3</v>
      </c>
      <c r="L174" s="34" t="s">
        <v>672</v>
      </c>
      <c r="M174" s="32" t="s">
        <v>35</v>
      </c>
    </row>
    <row r="175" spans="1:13" x14ac:dyDescent="0.25">
      <c r="A175" s="25" t="s">
        <v>666</v>
      </c>
      <c r="B175" s="25">
        <v>1</v>
      </c>
      <c r="C175" s="102" t="s">
        <v>545</v>
      </c>
      <c r="D175" s="10">
        <v>2022</v>
      </c>
      <c r="E175" s="10">
        <v>10</v>
      </c>
      <c r="F175" s="10">
        <v>15</v>
      </c>
      <c r="G175" s="25">
        <v>0</v>
      </c>
      <c r="H175" s="25">
        <v>0</v>
      </c>
      <c r="I175" s="25">
        <v>0</v>
      </c>
      <c r="J175" s="25">
        <v>0</v>
      </c>
      <c r="K175" s="25">
        <v>1</v>
      </c>
      <c r="L175" s="34" t="s">
        <v>672</v>
      </c>
      <c r="M175" s="24">
        <v>14</v>
      </c>
    </row>
    <row r="176" spans="1:13" x14ac:dyDescent="0.25">
      <c r="A176" s="26"/>
      <c r="B176" s="25">
        <v>1</v>
      </c>
      <c r="C176" s="102" t="s">
        <v>550</v>
      </c>
      <c r="D176" s="10">
        <v>2021</v>
      </c>
      <c r="E176" s="10">
        <v>5</v>
      </c>
      <c r="F176" s="10">
        <v>0</v>
      </c>
      <c r="G176" s="25">
        <v>0</v>
      </c>
      <c r="H176" s="25">
        <v>0</v>
      </c>
      <c r="I176" s="25">
        <v>0</v>
      </c>
      <c r="J176" s="25">
        <v>0</v>
      </c>
      <c r="K176" s="25">
        <v>1</v>
      </c>
      <c r="L176" s="34" t="s">
        <v>672</v>
      </c>
      <c r="M176" s="24">
        <v>14</v>
      </c>
    </row>
    <row r="177" spans="1:13" x14ac:dyDescent="0.25">
      <c r="A177" s="26"/>
      <c r="B177" s="25">
        <v>1</v>
      </c>
      <c r="C177" s="102" t="s">
        <v>625</v>
      </c>
      <c r="D177" s="10">
        <v>2029</v>
      </c>
      <c r="E177" s="10">
        <v>3</v>
      </c>
      <c r="F177" s="10">
        <v>0</v>
      </c>
      <c r="G177" s="25">
        <v>0</v>
      </c>
      <c r="H177" s="25">
        <v>0</v>
      </c>
      <c r="I177" s="25">
        <v>0</v>
      </c>
      <c r="J177" s="25">
        <v>0</v>
      </c>
      <c r="K177" s="25">
        <v>1</v>
      </c>
      <c r="L177" s="34" t="s">
        <v>672</v>
      </c>
      <c r="M177" s="24">
        <v>14</v>
      </c>
    </row>
    <row r="179" spans="1:13" x14ac:dyDescent="0.25">
      <c r="A179" s="31" t="s">
        <v>626</v>
      </c>
      <c r="B179" s="25">
        <f>SUM(B180:B182)</f>
        <v>3</v>
      </c>
      <c r="C179" s="32" t="s">
        <v>35</v>
      </c>
      <c r="D179" s="32" t="s">
        <v>35</v>
      </c>
      <c r="E179" s="25">
        <f t="shared" ref="E179:K179" si="44">SUM(E180:E182)</f>
        <v>14</v>
      </c>
      <c r="F179" s="25">
        <f t="shared" si="44"/>
        <v>23</v>
      </c>
      <c r="G179" s="30">
        <f t="shared" si="44"/>
        <v>1</v>
      </c>
      <c r="H179" s="30">
        <f t="shared" si="44"/>
        <v>0</v>
      </c>
      <c r="I179" s="30">
        <f t="shared" si="44"/>
        <v>0</v>
      </c>
      <c r="J179" s="30">
        <f t="shared" si="44"/>
        <v>0</v>
      </c>
      <c r="K179" s="30">
        <f t="shared" si="44"/>
        <v>3</v>
      </c>
      <c r="L179" s="33" t="s">
        <v>675</v>
      </c>
      <c r="M179" s="32" t="s">
        <v>35</v>
      </c>
    </row>
    <row r="180" spans="1:13" x14ac:dyDescent="0.25">
      <c r="A180" s="25" t="s">
        <v>667</v>
      </c>
      <c r="B180" s="25">
        <v>1</v>
      </c>
      <c r="C180" s="102" t="s">
        <v>575</v>
      </c>
      <c r="D180" s="10">
        <v>2165</v>
      </c>
      <c r="E180" s="10">
        <v>3</v>
      </c>
      <c r="F180" s="10">
        <v>6</v>
      </c>
      <c r="G180" s="25">
        <v>0</v>
      </c>
      <c r="H180" s="25">
        <v>0</v>
      </c>
      <c r="I180" s="25">
        <v>0</v>
      </c>
      <c r="J180" s="25">
        <v>0</v>
      </c>
      <c r="K180" s="25">
        <v>1</v>
      </c>
      <c r="L180" s="33" t="s">
        <v>675</v>
      </c>
      <c r="M180" s="24">
        <v>14</v>
      </c>
    </row>
    <row r="181" spans="1:13" x14ac:dyDescent="0.25">
      <c r="A181" s="26"/>
      <c r="B181" s="25">
        <v>1</v>
      </c>
      <c r="C181" s="102" t="s">
        <v>281</v>
      </c>
      <c r="D181" s="10">
        <v>2170</v>
      </c>
      <c r="E181" s="10">
        <v>7</v>
      </c>
      <c r="F181" s="10">
        <v>10</v>
      </c>
      <c r="G181" s="25">
        <v>1</v>
      </c>
      <c r="H181" s="25">
        <v>0</v>
      </c>
      <c r="I181" s="25">
        <v>0</v>
      </c>
      <c r="J181" s="25">
        <v>0</v>
      </c>
      <c r="K181" s="25">
        <v>1</v>
      </c>
      <c r="L181" s="33" t="s">
        <v>675</v>
      </c>
      <c r="M181" s="24">
        <v>14</v>
      </c>
    </row>
    <row r="182" spans="1:13" x14ac:dyDescent="0.25">
      <c r="A182" s="26"/>
      <c r="B182" s="25">
        <v>1</v>
      </c>
      <c r="C182" s="102" t="s">
        <v>283</v>
      </c>
      <c r="D182" s="10">
        <v>2164</v>
      </c>
      <c r="E182" s="10">
        <v>4</v>
      </c>
      <c r="F182" s="10">
        <v>7</v>
      </c>
      <c r="G182" s="25">
        <v>0</v>
      </c>
      <c r="H182" s="25">
        <v>0</v>
      </c>
      <c r="I182" s="25">
        <v>0</v>
      </c>
      <c r="J182" s="25">
        <v>0</v>
      </c>
      <c r="K182" s="25">
        <v>1</v>
      </c>
      <c r="L182" s="33" t="s">
        <v>675</v>
      </c>
      <c r="M182" s="24">
        <v>14</v>
      </c>
    </row>
    <row r="184" spans="1:13" x14ac:dyDescent="0.25">
      <c r="A184" s="31" t="s">
        <v>627</v>
      </c>
      <c r="B184" s="25">
        <f>SUM(B185:B186)</f>
        <v>2</v>
      </c>
      <c r="C184" s="32" t="s">
        <v>35</v>
      </c>
      <c r="D184" s="32" t="s">
        <v>35</v>
      </c>
      <c r="E184" s="25">
        <f t="shared" ref="E184:K184" si="45">SUM(E185:E186)</f>
        <v>10</v>
      </c>
      <c r="F184" s="25">
        <f t="shared" si="45"/>
        <v>6</v>
      </c>
      <c r="G184" s="30">
        <f t="shared" si="45"/>
        <v>0</v>
      </c>
      <c r="H184" s="30">
        <f t="shared" si="45"/>
        <v>0</v>
      </c>
      <c r="I184" s="30">
        <f t="shared" si="45"/>
        <v>0</v>
      </c>
      <c r="J184" s="30">
        <f t="shared" si="45"/>
        <v>0</v>
      </c>
      <c r="K184" s="30">
        <f t="shared" si="45"/>
        <v>2</v>
      </c>
      <c r="L184" s="34" t="s">
        <v>678</v>
      </c>
      <c r="M184" s="32" t="s">
        <v>35</v>
      </c>
    </row>
    <row r="185" spans="1:13" x14ac:dyDescent="0.25">
      <c r="A185" s="25" t="s">
        <v>668</v>
      </c>
      <c r="B185" s="25">
        <v>1</v>
      </c>
      <c r="C185" s="102" t="s">
        <v>628</v>
      </c>
      <c r="D185" s="10">
        <v>2529</v>
      </c>
      <c r="E185" s="10">
        <v>7</v>
      </c>
      <c r="F185" s="10">
        <v>0</v>
      </c>
      <c r="G185" s="25">
        <v>0</v>
      </c>
      <c r="H185" s="25">
        <v>0</v>
      </c>
      <c r="I185" s="25">
        <v>0</v>
      </c>
      <c r="J185" s="25">
        <v>0</v>
      </c>
      <c r="K185" s="25">
        <v>1</v>
      </c>
      <c r="L185" s="34" t="s">
        <v>678</v>
      </c>
      <c r="M185" s="24">
        <v>14</v>
      </c>
    </row>
    <row r="186" spans="1:13" x14ac:dyDescent="0.25">
      <c r="A186" s="26"/>
      <c r="B186" s="25">
        <v>1</v>
      </c>
      <c r="C186" s="102" t="s">
        <v>585</v>
      </c>
      <c r="D186" s="10">
        <v>2500</v>
      </c>
      <c r="E186" s="10">
        <v>3</v>
      </c>
      <c r="F186" s="10">
        <v>6</v>
      </c>
      <c r="G186" s="25">
        <v>0</v>
      </c>
      <c r="H186" s="25">
        <v>0</v>
      </c>
      <c r="I186" s="25">
        <v>0</v>
      </c>
      <c r="J186" s="25">
        <v>0</v>
      </c>
      <c r="K186" s="25">
        <v>1</v>
      </c>
      <c r="L186" s="34" t="s">
        <v>678</v>
      </c>
      <c r="M186" s="24">
        <v>14</v>
      </c>
    </row>
  </sheetData>
  <mergeCells count="15">
    <mergeCell ref="L4:L6"/>
    <mergeCell ref="M4:M6"/>
    <mergeCell ref="I5:I6"/>
    <mergeCell ref="J5:J6"/>
    <mergeCell ref="K5:K6"/>
    <mergeCell ref="G5:G6"/>
    <mergeCell ref="H5:H6"/>
    <mergeCell ref="A4:A6"/>
    <mergeCell ref="B4:D4"/>
    <mergeCell ref="E4:K4"/>
    <mergeCell ref="B5:B6"/>
    <mergeCell ref="C5:C6"/>
    <mergeCell ref="D5:D6"/>
    <mergeCell ref="F5:F6"/>
    <mergeCell ref="E5:E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topLeftCell="A4" zoomScale="85" zoomScaleNormal="85" workbookViewId="0">
      <selection activeCell="C34" sqref="C34:I34"/>
    </sheetView>
  </sheetViews>
  <sheetFormatPr defaultColWidth="9.140625" defaultRowHeight="15" x14ac:dyDescent="0.25"/>
  <cols>
    <col min="1" max="1" width="32.7109375" style="13" bestFit="1" customWidth="1"/>
    <col min="2" max="2" width="21.7109375" style="13" customWidth="1"/>
    <col min="3" max="3" width="33.140625" style="22" bestFit="1" customWidth="1"/>
    <col min="4" max="4" width="18.42578125" style="13" customWidth="1"/>
    <col min="5" max="5" width="17.85546875" style="13" bestFit="1" customWidth="1"/>
    <col min="6" max="7" width="8.85546875" style="13" customWidth="1"/>
    <col min="8" max="9" width="9.140625" style="13"/>
    <col min="10" max="10" width="9.140625" style="13" customWidth="1"/>
    <col min="11" max="22" width="9.140625" style="13"/>
    <col min="23" max="23" width="16.85546875" style="13" customWidth="1"/>
    <col min="24" max="16384" width="9.140625" style="13"/>
  </cols>
  <sheetData>
    <row r="1" spans="1:21" ht="34.5" x14ac:dyDescent="0.25">
      <c r="A1" s="191" t="s">
        <v>671</v>
      </c>
      <c r="B1" s="191"/>
      <c r="C1" s="4" t="s">
        <v>70</v>
      </c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4" spans="1:21" ht="30" x14ac:dyDescent="0.25">
      <c r="A4" s="148" t="s">
        <v>68</v>
      </c>
      <c r="B4" s="148"/>
      <c r="C4" s="148"/>
      <c r="D4" s="148"/>
      <c r="E4" s="148"/>
      <c r="F4" s="148"/>
      <c r="G4" s="148"/>
      <c r="H4" s="148"/>
      <c r="I4" s="148"/>
    </row>
    <row r="6" spans="1:21" ht="30" customHeight="1" x14ac:dyDescent="0.25">
      <c r="F6" s="122" t="s">
        <v>65</v>
      </c>
      <c r="G6" s="124"/>
      <c r="H6" s="124"/>
      <c r="I6" s="123"/>
    </row>
    <row r="7" spans="1:21" s="19" customFormat="1" ht="49.5" customHeight="1" x14ac:dyDescent="0.25">
      <c r="A7" s="192" t="s">
        <v>69</v>
      </c>
      <c r="B7" s="193"/>
      <c r="C7" s="173" t="s">
        <v>63</v>
      </c>
      <c r="D7" s="173" t="s">
        <v>64</v>
      </c>
      <c r="E7" s="173" t="s">
        <v>66</v>
      </c>
      <c r="F7" s="173" t="s">
        <v>160</v>
      </c>
      <c r="G7" s="173" t="s">
        <v>147</v>
      </c>
      <c r="H7" s="173" t="s">
        <v>143</v>
      </c>
      <c r="I7" s="173" t="s">
        <v>144</v>
      </c>
      <c r="J7" s="86" t="s">
        <v>145</v>
      </c>
    </row>
    <row r="8" spans="1:21" s="19" customFormat="1" ht="19.5" customHeight="1" thickBot="1" x14ac:dyDescent="0.3">
      <c r="A8" s="194"/>
      <c r="B8" s="195"/>
      <c r="C8" s="196"/>
      <c r="D8" s="196"/>
      <c r="E8" s="196"/>
      <c r="F8" s="196"/>
      <c r="G8" s="196"/>
      <c r="H8" s="196"/>
      <c r="I8" s="196"/>
      <c r="J8" s="15"/>
    </row>
    <row r="9" spans="1:21" ht="18.75" customHeight="1" x14ac:dyDescent="0.25">
      <c r="A9" s="176" t="s">
        <v>161</v>
      </c>
      <c r="B9" s="177"/>
      <c r="C9" s="38" t="s">
        <v>56</v>
      </c>
      <c r="D9" s="39">
        <v>74</v>
      </c>
      <c r="E9" s="103">
        <v>115.44736842105263</v>
      </c>
      <c r="F9" s="87">
        <v>115</v>
      </c>
      <c r="G9" s="87">
        <v>115</v>
      </c>
      <c r="H9" s="87">
        <v>115</v>
      </c>
      <c r="I9" s="88">
        <v>115</v>
      </c>
    </row>
    <row r="10" spans="1:21" ht="18.75" customHeight="1" x14ac:dyDescent="0.25">
      <c r="A10" s="178"/>
      <c r="B10" s="179"/>
      <c r="C10" s="89" t="s">
        <v>146</v>
      </c>
      <c r="D10" s="83">
        <v>74</v>
      </c>
      <c r="E10" s="104">
        <v>100</v>
      </c>
      <c r="F10" s="90">
        <v>100</v>
      </c>
      <c r="G10" s="90">
        <v>100</v>
      </c>
      <c r="H10" s="90">
        <v>100</v>
      </c>
      <c r="I10" s="91">
        <v>100</v>
      </c>
    </row>
    <row r="11" spans="1:21" ht="18" customHeight="1" x14ac:dyDescent="0.25">
      <c r="A11" s="178"/>
      <c r="B11" s="179"/>
      <c r="C11" s="27" t="s">
        <v>43</v>
      </c>
      <c r="D11" s="35">
        <v>74</v>
      </c>
      <c r="E11" s="105">
        <v>4</v>
      </c>
      <c r="F11" s="92">
        <v>4</v>
      </c>
      <c r="G11" s="92">
        <v>4</v>
      </c>
      <c r="H11" s="92">
        <v>4</v>
      </c>
      <c r="I11" s="93">
        <v>4</v>
      </c>
    </row>
    <row r="12" spans="1:21" ht="18" customHeight="1" x14ac:dyDescent="0.25">
      <c r="A12" s="178"/>
      <c r="B12" s="179"/>
      <c r="C12" s="27" t="s">
        <v>44</v>
      </c>
      <c r="D12" s="35">
        <v>74</v>
      </c>
      <c r="E12" s="105">
        <v>15</v>
      </c>
      <c r="F12" s="92">
        <v>15</v>
      </c>
      <c r="G12" s="92">
        <v>15</v>
      </c>
      <c r="H12" s="92">
        <v>15</v>
      </c>
      <c r="I12" s="93">
        <v>15</v>
      </c>
    </row>
    <row r="13" spans="1:21" ht="18" customHeight="1" x14ac:dyDescent="0.25">
      <c r="A13" s="178"/>
      <c r="B13" s="179"/>
      <c r="C13" s="27" t="s">
        <v>58</v>
      </c>
      <c r="D13" s="35">
        <v>74</v>
      </c>
      <c r="E13" s="105">
        <v>3</v>
      </c>
      <c r="F13" s="92">
        <v>3</v>
      </c>
      <c r="G13" s="92">
        <v>3</v>
      </c>
      <c r="H13" s="92">
        <v>3</v>
      </c>
      <c r="I13" s="93">
        <v>3</v>
      </c>
    </row>
    <row r="14" spans="1:21" ht="18" customHeight="1" x14ac:dyDescent="0.25">
      <c r="A14" s="178"/>
      <c r="B14" s="179"/>
      <c r="C14" s="27" t="s">
        <v>46</v>
      </c>
      <c r="D14" s="35">
        <v>74</v>
      </c>
      <c r="E14" s="105">
        <v>30</v>
      </c>
      <c r="F14" s="94">
        <v>30</v>
      </c>
      <c r="G14" s="94">
        <v>30</v>
      </c>
      <c r="H14" s="94">
        <v>30</v>
      </c>
      <c r="I14" s="95">
        <v>30</v>
      </c>
    </row>
    <row r="15" spans="1:21" ht="18" customHeight="1" x14ac:dyDescent="0.25">
      <c r="A15" s="178"/>
      <c r="B15" s="179"/>
      <c r="C15" s="27" t="s">
        <v>150</v>
      </c>
      <c r="D15" s="35">
        <v>74</v>
      </c>
      <c r="E15" s="105">
        <v>2</v>
      </c>
      <c r="F15" s="94">
        <v>2</v>
      </c>
      <c r="G15" s="94">
        <v>2</v>
      </c>
      <c r="H15" s="94">
        <v>2</v>
      </c>
      <c r="I15" s="95">
        <v>2</v>
      </c>
    </row>
    <row r="16" spans="1:21" ht="18" customHeight="1" thickBot="1" x14ac:dyDescent="0.3">
      <c r="A16" s="178"/>
      <c r="B16" s="179"/>
      <c r="C16" s="27" t="s">
        <v>59</v>
      </c>
      <c r="D16" s="35">
        <v>74</v>
      </c>
      <c r="E16" s="105">
        <v>40</v>
      </c>
      <c r="F16" s="92">
        <v>40</v>
      </c>
      <c r="G16" s="92">
        <v>40</v>
      </c>
      <c r="H16" s="92">
        <v>40</v>
      </c>
      <c r="I16" s="93">
        <v>40</v>
      </c>
    </row>
    <row r="17" spans="1:19" ht="28.5" customHeight="1" x14ac:dyDescent="0.25">
      <c r="A17" s="178"/>
      <c r="B17" s="179"/>
      <c r="C17" s="106" t="s">
        <v>669</v>
      </c>
      <c r="D17" s="35">
        <v>74</v>
      </c>
      <c r="E17" s="105">
        <v>11</v>
      </c>
      <c r="F17" s="107">
        <v>11</v>
      </c>
      <c r="G17" s="107">
        <v>11</v>
      </c>
      <c r="H17" s="107">
        <v>11</v>
      </c>
      <c r="I17" s="108">
        <v>11</v>
      </c>
      <c r="K17" s="182" t="s">
        <v>158</v>
      </c>
      <c r="L17" s="183"/>
      <c r="M17" s="183"/>
      <c r="N17" s="183"/>
      <c r="O17" s="183"/>
      <c r="P17" s="183"/>
      <c r="Q17" s="183"/>
      <c r="R17" s="184"/>
    </row>
    <row r="18" spans="1:19" ht="28.5" x14ac:dyDescent="0.25">
      <c r="A18" s="178"/>
      <c r="B18" s="179"/>
      <c r="C18" s="106" t="s">
        <v>670</v>
      </c>
      <c r="D18" s="35">
        <v>0</v>
      </c>
      <c r="E18" s="105">
        <v>0</v>
      </c>
      <c r="F18" s="107">
        <v>0</v>
      </c>
      <c r="G18" s="107">
        <v>0</v>
      </c>
      <c r="H18" s="107">
        <v>0</v>
      </c>
      <c r="I18" s="108">
        <v>0</v>
      </c>
      <c r="K18" s="185"/>
      <c r="L18" s="186"/>
      <c r="M18" s="186"/>
      <c r="N18" s="186"/>
      <c r="O18" s="186"/>
      <c r="P18" s="186"/>
      <c r="Q18" s="186"/>
      <c r="R18" s="187"/>
    </row>
    <row r="19" spans="1:19" ht="18" customHeight="1" x14ac:dyDescent="0.25">
      <c r="A19" s="178"/>
      <c r="B19" s="179"/>
      <c r="C19" s="27" t="s">
        <v>62</v>
      </c>
      <c r="D19" s="35">
        <v>0</v>
      </c>
      <c r="E19" s="105">
        <v>0</v>
      </c>
      <c r="F19" s="94">
        <v>0</v>
      </c>
      <c r="G19" s="94">
        <v>0</v>
      </c>
      <c r="H19" s="94">
        <v>0</v>
      </c>
      <c r="I19" s="95">
        <v>0</v>
      </c>
      <c r="K19" s="185"/>
      <c r="L19" s="186"/>
      <c r="M19" s="186"/>
      <c r="N19" s="186"/>
      <c r="O19" s="186"/>
      <c r="P19" s="186"/>
      <c r="Q19" s="186"/>
      <c r="R19" s="187"/>
    </row>
    <row r="20" spans="1:19" ht="18" customHeight="1" x14ac:dyDescent="0.25">
      <c r="A20" s="178"/>
      <c r="B20" s="179"/>
      <c r="C20" s="27" t="s">
        <v>38</v>
      </c>
      <c r="D20" s="35">
        <v>74</v>
      </c>
      <c r="E20" s="105">
        <v>8</v>
      </c>
      <c r="F20" s="94">
        <v>8</v>
      </c>
      <c r="G20" s="94">
        <v>8</v>
      </c>
      <c r="H20" s="94">
        <v>8</v>
      </c>
      <c r="I20" s="95">
        <v>8</v>
      </c>
      <c r="K20" s="185"/>
      <c r="L20" s="186"/>
      <c r="M20" s="186"/>
      <c r="N20" s="186"/>
      <c r="O20" s="186"/>
      <c r="P20" s="186"/>
      <c r="Q20" s="186"/>
      <c r="R20" s="187"/>
    </row>
    <row r="21" spans="1:19" ht="18" customHeight="1" x14ac:dyDescent="0.25">
      <c r="A21" s="178"/>
      <c r="B21" s="179"/>
      <c r="C21" s="27" t="s">
        <v>47</v>
      </c>
      <c r="D21" s="35">
        <v>74</v>
      </c>
      <c r="E21" s="105">
        <v>0.36842105263157898</v>
      </c>
      <c r="F21" s="94">
        <v>1</v>
      </c>
      <c r="G21" s="94">
        <v>1</v>
      </c>
      <c r="H21" s="94">
        <v>1</v>
      </c>
      <c r="I21" s="95">
        <v>1</v>
      </c>
      <c r="K21" s="185"/>
      <c r="L21" s="186"/>
      <c r="M21" s="186"/>
      <c r="N21" s="186"/>
      <c r="O21" s="186"/>
      <c r="P21" s="186"/>
      <c r="Q21" s="186"/>
      <c r="R21" s="187"/>
    </row>
    <row r="22" spans="1:19" ht="18" customHeight="1" x14ac:dyDescent="0.25">
      <c r="A22" s="178"/>
      <c r="B22" s="179"/>
      <c r="C22" s="27" t="s">
        <v>48</v>
      </c>
      <c r="D22" s="35">
        <v>74</v>
      </c>
      <c r="E22" s="105">
        <v>0.36842105263157898</v>
      </c>
      <c r="F22" s="94">
        <v>1</v>
      </c>
      <c r="G22" s="94">
        <v>1</v>
      </c>
      <c r="H22" s="94">
        <v>1</v>
      </c>
      <c r="I22" s="95">
        <v>1</v>
      </c>
      <c r="K22" s="185"/>
      <c r="L22" s="186"/>
      <c r="M22" s="186"/>
      <c r="N22" s="186"/>
      <c r="O22" s="186"/>
      <c r="P22" s="186"/>
      <c r="Q22" s="186"/>
      <c r="R22" s="187"/>
    </row>
    <row r="23" spans="1:19" ht="18" customHeight="1" x14ac:dyDescent="0.25">
      <c r="A23" s="178"/>
      <c r="B23" s="179"/>
      <c r="C23" s="27" t="s">
        <v>49</v>
      </c>
      <c r="D23" s="35">
        <v>74</v>
      </c>
      <c r="E23" s="105">
        <v>0.81578947368421051</v>
      </c>
      <c r="F23" s="94">
        <v>1</v>
      </c>
      <c r="G23" s="94">
        <v>1</v>
      </c>
      <c r="H23" s="94">
        <v>1</v>
      </c>
      <c r="I23" s="95">
        <v>1</v>
      </c>
      <c r="K23" s="185"/>
      <c r="L23" s="186"/>
      <c r="M23" s="186"/>
      <c r="N23" s="186"/>
      <c r="O23" s="186"/>
      <c r="P23" s="186"/>
      <c r="Q23" s="186"/>
      <c r="R23" s="187"/>
      <c r="S23" s="82"/>
    </row>
    <row r="24" spans="1:19" ht="18" customHeight="1" x14ac:dyDescent="0.25">
      <c r="A24" s="178"/>
      <c r="B24" s="179"/>
      <c r="C24" s="27" t="s">
        <v>50</v>
      </c>
      <c r="D24" s="35">
        <v>0</v>
      </c>
      <c r="E24" s="105">
        <v>0</v>
      </c>
      <c r="F24" s="94">
        <v>0</v>
      </c>
      <c r="G24" s="94">
        <v>0</v>
      </c>
      <c r="H24" s="94">
        <v>0</v>
      </c>
      <c r="I24" s="95">
        <v>0</v>
      </c>
      <c r="K24" s="185"/>
      <c r="L24" s="186"/>
      <c r="M24" s="186"/>
      <c r="N24" s="186"/>
      <c r="O24" s="186"/>
      <c r="P24" s="186"/>
      <c r="Q24" s="186"/>
      <c r="R24" s="187"/>
      <c r="S24" s="82"/>
    </row>
    <row r="25" spans="1:19" ht="18" customHeight="1" thickBot="1" x14ac:dyDescent="0.3">
      <c r="A25" s="178"/>
      <c r="B25" s="179"/>
      <c r="C25" s="27" t="s">
        <v>51</v>
      </c>
      <c r="D25" s="35">
        <v>0</v>
      </c>
      <c r="E25" s="105">
        <v>0</v>
      </c>
      <c r="F25" s="94">
        <v>0</v>
      </c>
      <c r="G25" s="94">
        <v>0</v>
      </c>
      <c r="H25" s="94">
        <v>0</v>
      </c>
      <c r="I25" s="95">
        <v>0</v>
      </c>
      <c r="K25" s="188"/>
      <c r="L25" s="189"/>
      <c r="M25" s="189"/>
      <c r="N25" s="189"/>
      <c r="O25" s="189"/>
      <c r="P25" s="189"/>
      <c r="Q25" s="189"/>
      <c r="R25" s="190"/>
    </row>
    <row r="26" spans="1:19" ht="18" customHeight="1" x14ac:dyDescent="0.25">
      <c r="A26" s="178"/>
      <c r="B26" s="179"/>
      <c r="C26" s="27" t="s">
        <v>36</v>
      </c>
      <c r="D26" s="35">
        <v>74</v>
      </c>
      <c r="E26" s="105">
        <v>0.94736842105263164</v>
      </c>
      <c r="F26" s="94">
        <v>1</v>
      </c>
      <c r="G26" s="94">
        <v>1</v>
      </c>
      <c r="H26" s="94">
        <v>1</v>
      </c>
      <c r="I26" s="95">
        <v>1</v>
      </c>
    </row>
    <row r="27" spans="1:19" ht="18" customHeight="1" x14ac:dyDescent="0.25">
      <c r="A27" s="178"/>
      <c r="B27" s="179"/>
      <c r="C27" s="27" t="s">
        <v>52</v>
      </c>
      <c r="D27" s="35">
        <v>0</v>
      </c>
      <c r="E27" s="105">
        <v>0</v>
      </c>
      <c r="F27" s="94">
        <v>0</v>
      </c>
      <c r="G27" s="94">
        <v>0</v>
      </c>
      <c r="H27" s="94">
        <v>0</v>
      </c>
      <c r="I27" s="95">
        <v>0</v>
      </c>
    </row>
    <row r="28" spans="1:19" ht="18" customHeight="1" x14ac:dyDescent="0.25">
      <c r="A28" s="178"/>
      <c r="B28" s="179"/>
      <c r="C28" s="27" t="s">
        <v>53</v>
      </c>
      <c r="D28" s="35">
        <v>0</v>
      </c>
      <c r="E28" s="105">
        <v>0</v>
      </c>
      <c r="F28" s="94">
        <v>0</v>
      </c>
      <c r="G28" s="94">
        <v>0</v>
      </c>
      <c r="H28" s="94">
        <v>0</v>
      </c>
      <c r="I28" s="95">
        <v>0</v>
      </c>
    </row>
    <row r="29" spans="1:19" ht="18" customHeight="1" thickBot="1" x14ac:dyDescent="0.3">
      <c r="A29" s="180"/>
      <c r="B29" s="181"/>
      <c r="C29" s="41"/>
      <c r="D29" s="40"/>
      <c r="E29" s="109"/>
      <c r="F29" s="96"/>
      <c r="G29" s="96"/>
      <c r="H29" s="96"/>
      <c r="I29" s="97"/>
    </row>
    <row r="30" spans="1:19" ht="15.75" hidden="1" customHeight="1" x14ac:dyDescent="0.25">
      <c r="C30" s="36"/>
      <c r="D30" s="26"/>
      <c r="E30" s="110"/>
      <c r="F30" s="23" t="e">
        <f>SUM(#REF!*#REF!)*#REF!</f>
        <v>#REF!</v>
      </c>
      <c r="G30" s="23"/>
      <c r="H30" s="23" t="e">
        <f>SUM(#REF!*#REF!)*#REF!</f>
        <v>#REF!</v>
      </c>
      <c r="I30" s="23" t="e">
        <f>SUM(#REF!*#REF!)*#REF!</f>
        <v>#REF!</v>
      </c>
    </row>
    <row r="31" spans="1:19" ht="15" customHeight="1" x14ac:dyDescent="0.25">
      <c r="A31" s="176" t="s">
        <v>162</v>
      </c>
      <c r="B31" s="177"/>
      <c r="C31" s="89" t="s">
        <v>151</v>
      </c>
      <c r="D31" s="83">
        <v>0</v>
      </c>
      <c r="E31" s="104">
        <v>0</v>
      </c>
      <c r="F31" s="90">
        <v>0</v>
      </c>
      <c r="G31" s="90">
        <v>0</v>
      </c>
      <c r="H31" s="90">
        <v>0</v>
      </c>
      <c r="I31" s="91">
        <v>0</v>
      </c>
    </row>
    <row r="32" spans="1:19" ht="15" customHeight="1" x14ac:dyDescent="0.25">
      <c r="A32" s="178"/>
      <c r="B32" s="179"/>
      <c r="C32" s="27" t="s">
        <v>45</v>
      </c>
      <c r="D32" s="35">
        <v>0</v>
      </c>
      <c r="E32" s="105">
        <v>0</v>
      </c>
      <c r="F32" s="92">
        <v>0</v>
      </c>
      <c r="G32" s="92">
        <v>0</v>
      </c>
      <c r="H32" s="92">
        <v>0</v>
      </c>
      <c r="I32" s="93">
        <v>0</v>
      </c>
    </row>
    <row r="33" spans="1:9" ht="15" customHeight="1" x14ac:dyDescent="0.25">
      <c r="A33" s="178"/>
      <c r="B33" s="179"/>
      <c r="C33" s="98" t="s">
        <v>54</v>
      </c>
      <c r="D33" s="99">
        <v>0</v>
      </c>
      <c r="E33" s="111">
        <v>0</v>
      </c>
      <c r="F33" s="100">
        <v>0</v>
      </c>
      <c r="G33" s="100">
        <v>0</v>
      </c>
      <c r="H33" s="100">
        <v>0</v>
      </c>
      <c r="I33" s="101">
        <v>0</v>
      </c>
    </row>
    <row r="34" spans="1:9" ht="15.75" customHeight="1" thickBot="1" x14ac:dyDescent="0.3">
      <c r="A34" s="180"/>
      <c r="B34" s="181"/>
      <c r="C34" s="112" t="s">
        <v>689</v>
      </c>
      <c r="D34" s="113">
        <v>35</v>
      </c>
      <c r="E34" s="113" t="s">
        <v>690</v>
      </c>
      <c r="F34" s="113">
        <v>0</v>
      </c>
      <c r="G34" s="113" t="s">
        <v>690</v>
      </c>
      <c r="H34" s="113" t="s">
        <v>690</v>
      </c>
      <c r="I34" s="114">
        <v>0</v>
      </c>
    </row>
    <row r="35" spans="1:9" x14ac:dyDescent="0.25">
      <c r="A35" s="22"/>
      <c r="C35" s="13"/>
    </row>
    <row r="36" spans="1:9" x14ac:dyDescent="0.25">
      <c r="A36" s="22"/>
      <c r="C36" s="13"/>
    </row>
    <row r="37" spans="1:9" x14ac:dyDescent="0.25">
      <c r="A37" s="22"/>
      <c r="C37" s="13"/>
    </row>
    <row r="38" spans="1:9" x14ac:dyDescent="0.25">
      <c r="A38" s="22"/>
      <c r="C38" s="13"/>
    </row>
    <row r="39" spans="1:9" x14ac:dyDescent="0.25">
      <c r="A39" s="22"/>
      <c r="C39" s="13"/>
    </row>
    <row r="40" spans="1:9" x14ac:dyDescent="0.25">
      <c r="A40" s="22"/>
      <c r="C40" s="13"/>
    </row>
    <row r="41" spans="1:9" x14ac:dyDescent="0.25">
      <c r="A41" s="22"/>
      <c r="C41" s="13"/>
    </row>
    <row r="42" spans="1:9" x14ac:dyDescent="0.25">
      <c r="A42" s="22"/>
      <c r="C42" s="13"/>
    </row>
    <row r="43" spans="1:9" x14ac:dyDescent="0.25">
      <c r="A43" s="22"/>
      <c r="C43" s="13"/>
    </row>
    <row r="44" spans="1:9" x14ac:dyDescent="0.25">
      <c r="A44" s="22"/>
      <c r="C44" s="13"/>
    </row>
    <row r="45" spans="1:9" x14ac:dyDescent="0.25">
      <c r="A45" s="22"/>
      <c r="C45" s="13"/>
    </row>
    <row r="46" spans="1:9" x14ac:dyDescent="0.25">
      <c r="A46" s="22"/>
      <c r="C46" s="13"/>
    </row>
    <row r="47" spans="1:9" x14ac:dyDescent="0.25">
      <c r="A47" s="22"/>
      <c r="C47" s="13"/>
    </row>
    <row r="69" spans="1:3" x14ac:dyDescent="0.25">
      <c r="A69" s="22"/>
      <c r="C69" s="13"/>
    </row>
    <row r="70" spans="1:3" x14ac:dyDescent="0.25">
      <c r="A70" s="22"/>
      <c r="C70" s="13"/>
    </row>
  </sheetData>
  <mergeCells count="14">
    <mergeCell ref="A9:B29"/>
    <mergeCell ref="K17:R25"/>
    <mergeCell ref="A31:B34"/>
    <mergeCell ref="A1:B1"/>
    <mergeCell ref="A4:I4"/>
    <mergeCell ref="A7:B8"/>
    <mergeCell ref="E7:E8"/>
    <mergeCell ref="D7:D8"/>
    <mergeCell ref="C7:C8"/>
    <mergeCell ref="F6:I6"/>
    <mergeCell ref="I7:I8"/>
    <mergeCell ref="H7:H8"/>
    <mergeCell ref="G7:G8"/>
    <mergeCell ref="F7:F8"/>
  </mergeCells>
  <pageMargins left="0.7" right="0.7" top="0.75" bottom="0.75" header="0.3" footer="0.3"/>
  <pageSetup paperSize="9" scale="33" orientation="landscape" r:id="rId1"/>
  <drawing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0B3863E18DF240919C16D6794A52FDA5" version="1.0.0">
  <systemFields>
    <field name="Objective-Id">
      <value order="0">A7824698</value>
    </field>
    <field name="Objective-Title">
      <value order="0">Request for Tender - SRC006427 - Annexure D - Pricing Schedule Template - New South Wales</value>
    </field>
    <field name="Objective-Description">
      <value order="0"/>
    </field>
    <field name="Objective-CreationStamp">
      <value order="0">2026-06-05T05:50:20Z</value>
    </field>
    <field name="Objective-IsApproved">
      <value order="0">false</value>
    </field>
    <field name="Objective-IsPublished">
      <value order="0">true</value>
    </field>
    <field name="Objective-DatePublished">
      <value order="0">2026-06-05T05:50:22Z</value>
    </field>
    <field name="Objective-ModificationStamp">
      <value order="0">2026-06-10T00:40:02Z</value>
    </field>
    <field name="Objective-Owner">
      <value order="0">Michael Pal</value>
    </field>
    <field name="Objective-Path">
      <value order="0"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alue>
    </field>
    <field name="Objective-Parent">
      <value order="0">Annexures</value>
    </field>
    <field name="Objective-State">
      <value order="0">Published</value>
    </field>
    <field name="Objective-VersionId">
      <value order="0">vA10202003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2026/3743</value>
    </field>
    <field name="Objective-Classification">
      <value order="0">OFFICIAL</value>
    </field>
    <field name="Objective-Caveats">
      <value order="0"/>
    </field>
  </systemFields>
  <catalogues>
    <catalogue name="Document Type Catalogue" type="type" ori="id:cA91">
      <field name="Objective-Next Review Date">
        <value order="0"/>
      </field>
      <field name="Objective-Document approver">
        <value order="0"/>
      </field>
      <field name="Objective-Approver role">
        <value order="0"/>
      </field>
      <field name="Objective-Date approved">
        <value order="0"/>
      </field>
      <field name="Objective-Version approved">
        <value order="0"/>
      </field>
      <field name="Objective-Approval history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0B3863E18DF240919C16D6794A52F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Group 1 </vt:lpstr>
      <vt:lpstr>Contents</vt:lpstr>
      <vt:lpstr>1. Pricing Schedule</vt:lpstr>
      <vt:lpstr>2. Volume Discounts</vt:lpstr>
      <vt:lpstr>3. Additional Services</vt:lpstr>
      <vt:lpstr>4. Static Polling Places</vt:lpstr>
      <vt:lpstr>5. Pre-Polling Voting Centre</vt:lpstr>
      <vt:lpstr>6. Out-Posted Centre </vt:lpstr>
    </vt:vector>
  </TitlesOfParts>
  <Company>Australian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Carvalho</dc:creator>
  <cp:lastModifiedBy>Michael Pal</cp:lastModifiedBy>
  <cp:lastPrinted>2021-06-14T06:00:59Z</cp:lastPrinted>
  <dcterms:created xsi:type="dcterms:W3CDTF">2020-11-13T02:58:37Z</dcterms:created>
  <dcterms:modified xsi:type="dcterms:W3CDTF">2026-06-05T05:43:51Z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A7824698</vt:lpwstr>
  </property>
  <property fmtid="{D5CDD505-2E9C-101B-9397-08002B2CF9AE}" pid="4" name="Objective-Title">
    <vt:lpwstr>Request for Tender - SRC006427 - Annexure D - Pricing Schedule Template - New South Wales</vt:lpwstr>
  </property>
  <property fmtid="{D5CDD505-2E9C-101B-9397-08002B2CF9AE}" pid="5" name="Objective-Description">
    <vt:lpwstr/>
  </property>
  <property fmtid="{D5CDD505-2E9C-101B-9397-08002B2CF9AE}" pid="6" name="Objective-CreationStamp">
    <vt:filetime>2026-06-05T05:50:20Z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2026-06-05T05:50:22Z</vt:filetime>
  </property>
  <property fmtid="{D5CDD505-2E9C-101B-9397-08002B2CF9AE}" pid="10" name="Objective-ModificationStamp">
    <vt:filetime>2026-06-10T00:40:02Z</vt:filetime>
  </property>
  <property fmtid="{D5CDD505-2E9C-101B-9397-08002B2CF9AE}" pid="11" name="Objective-Owner">
    <vt:lpwstr>Michael Pal</vt:lpwstr>
  </property>
  <property fmtid="{D5CDD505-2E9C-101B-9397-08002B2CF9AE}" pid="12" name="Objective-Path">
    <vt:lpwstr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t:lpwstr>
  </property>
  <property fmtid="{D5CDD505-2E9C-101B-9397-08002B2CF9AE}" pid="13" name="Objective-Parent">
    <vt:lpwstr>Annexures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vA10202003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/>
  </property>
  <property fmtid="{D5CDD505-2E9C-101B-9397-08002B2CF9AE}" pid="19" name="Objective-FileNumber">
    <vt:lpwstr>2026/3743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/>
  </property>
  <property fmtid="{D5CDD505-2E9C-101B-9397-08002B2CF9AE}" pid="22" name="Objective-Comment">
    <vt:lpwstr/>
  </property>
  <property fmtid="{D5CDD505-2E9C-101B-9397-08002B2CF9AE}" pid="23" name="MSIP_Label_cbfd5943-f87e-40ae-9ab7-ca0a2fbb12c2_Enabled">
    <vt:lpwstr>true</vt:lpwstr>
  </property>
  <property fmtid="{D5CDD505-2E9C-101B-9397-08002B2CF9AE}" pid="24" name="MSIP_Label_cbfd5943-f87e-40ae-9ab7-ca0a2fbb12c2_SetDate">
    <vt:lpwstr>2026-03-03T23:57:45Z</vt:lpwstr>
  </property>
  <property fmtid="{D5CDD505-2E9C-101B-9397-08002B2CF9AE}" pid="25" name="MSIP_Label_cbfd5943-f87e-40ae-9ab7-ca0a2fbb12c2_Method">
    <vt:lpwstr>Privileged</vt:lpwstr>
  </property>
  <property fmtid="{D5CDD505-2E9C-101B-9397-08002B2CF9AE}" pid="26" name="MSIP_Label_cbfd5943-f87e-40ae-9ab7-ca0a2fbb12c2_Name">
    <vt:lpwstr>OFFICIAL</vt:lpwstr>
  </property>
  <property fmtid="{D5CDD505-2E9C-101B-9397-08002B2CF9AE}" pid="27" name="MSIP_Label_cbfd5943-f87e-40ae-9ab7-ca0a2fbb12c2_SiteId">
    <vt:lpwstr>c1eefc4f-a78a-4616-a218-48ba01757af3</vt:lpwstr>
  </property>
  <property fmtid="{D5CDD505-2E9C-101B-9397-08002B2CF9AE}" pid="28" name="MSIP_Label_cbfd5943-f87e-40ae-9ab7-ca0a2fbb12c2_ActionId">
    <vt:lpwstr>a8d5e407-f36d-46a8-a163-17c2b18239ff</vt:lpwstr>
  </property>
  <property fmtid="{D5CDD505-2E9C-101B-9397-08002B2CF9AE}" pid="29" name="MSIP_Label_cbfd5943-f87e-40ae-9ab7-ca0a2fbb12c2_ContentBits">
    <vt:lpwstr>0</vt:lpwstr>
  </property>
  <property fmtid="{D5CDD505-2E9C-101B-9397-08002B2CF9AE}" pid="30" name="MSIP_Label_cbfd5943-f87e-40ae-9ab7-ca0a2fbb12c2_Tag">
    <vt:lpwstr>10, 0, 1, 1</vt:lpwstr>
  </property>
  <property fmtid="{D5CDD505-2E9C-101B-9397-08002B2CF9AE}" pid="31" name="Objective-Next Review Date">
    <vt:lpwstr/>
  </property>
  <property fmtid="{D5CDD505-2E9C-101B-9397-08002B2CF9AE}" pid="32" name="Objective-Document approver">
    <vt:lpwstr/>
  </property>
  <property fmtid="{D5CDD505-2E9C-101B-9397-08002B2CF9AE}" pid="33" name="Objective-Approver role">
    <vt:lpwstr/>
  </property>
  <property fmtid="{D5CDD505-2E9C-101B-9397-08002B2CF9AE}" pid="34" name="Objective-Date approved">
    <vt:lpwstr/>
  </property>
  <property fmtid="{D5CDD505-2E9C-101B-9397-08002B2CF9AE}" pid="35" name="Objective-Version approved">
    <vt:lpwstr/>
  </property>
  <property fmtid="{D5CDD505-2E9C-101B-9397-08002B2CF9AE}" pid="36" name="Objective-Approval history">
    <vt:lpwstr/>
  </property>
</Properties>
</file>