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pal\Music\"/>
    </mc:Choice>
  </mc:AlternateContent>
  <xr:revisionPtr revIDLastSave="0" documentId="8_{5937FCCC-AB19-4AB3-85A1-7C9E5788BBA6}" xr6:coauthVersionLast="47" xr6:coauthVersionMax="47" xr10:uidLastSave="{00000000-0000-0000-0000-000000000000}"/>
  <bookViews>
    <workbookView xWindow="28680" yWindow="-120" windowWidth="29040" windowHeight="15720" tabRatio="759" firstSheet="1" activeTab="1" xr2:uid="{00000000-000D-0000-FFFF-FFFF00000000}"/>
  </bookViews>
  <sheets>
    <sheet name="Product Group 1 " sheetId="1" state="hidden" r:id="rId1"/>
    <sheet name="Contents" sheetId="12" r:id="rId2"/>
    <sheet name="1. Pricing Schedule" sheetId="13" r:id="rId3"/>
    <sheet name="2. Volume Discounts" sheetId="14" r:id="rId4"/>
    <sheet name="3. Additional Services" sheetId="15" r:id="rId5"/>
    <sheet name="4. Static Polling Places" sheetId="9" r:id="rId6"/>
    <sheet name="5. Pre-Polling Voting Centre" sheetId="11" r:id="rId7"/>
    <sheet name="6. Out-Posted Centre 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0" i="6" l="1"/>
  <c r="H30" i="6"/>
  <c r="F30" i="6"/>
  <c r="B12" i="9"/>
  <c r="E12" i="9"/>
  <c r="F12" i="9"/>
  <c r="K14" i="11"/>
  <c r="J14" i="11"/>
  <c r="I14" i="11"/>
  <c r="H14" i="11"/>
  <c r="G14" i="11"/>
  <c r="F14" i="11"/>
  <c r="E14" i="11"/>
  <c r="B14" i="11"/>
  <c r="B8" i="11"/>
  <c r="K8" i="11"/>
  <c r="J8" i="11"/>
  <c r="I8" i="11"/>
  <c r="H8" i="11"/>
  <c r="G8" i="11"/>
  <c r="F8" i="11"/>
  <c r="E8" i="11"/>
  <c r="B7" i="9" l="1"/>
  <c r="E7" i="9"/>
  <c r="F7" i="9"/>
  <c r="D11" i="1" l="1"/>
  <c r="C11" i="1"/>
  <c r="B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 Carvalho</author>
  </authors>
  <commentList>
    <comment ref="F9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0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7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8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0" authorId="0" shapeId="0" xr:uid="{00000000-0006-0000-0200-000006000000}">
      <text/>
    </comment>
    <comment ref="F21" authorId="0" shapeId="0" xr:uid="{00000000-0006-0000-0200-000007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2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3" authorId="0" shapeId="0" xr:uid="{00000000-0006-0000-0200-000009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4" authorId="0" shapeId="0" xr:uid="{00000000-0006-0000-0200-00000A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5" authorId="0" shapeId="0" xr:uid="{00000000-0006-0000-0200-00000B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6" authorId="0" shapeId="0" xr:uid="{00000000-0006-0000-0200-00000C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7" authorId="0" shapeId="0" xr:uid="{00000000-0006-0000-0200-00000D000000}">
      <text/>
    </comment>
    <comment ref="F35" authorId="0" shapeId="0" xr:uid="{00000000-0006-0000-0200-00000E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6" authorId="0" shapeId="0" xr:uid="{00000000-0006-0000-0200-00000F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7" authorId="0" shapeId="0" xr:uid="{00000000-0006-0000-0200-000010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8" authorId="0" shapeId="0" xr:uid="{00000000-0006-0000-0200-000011000000}">
      <text/>
    </comment>
    <comment ref="F39" authorId="0" shapeId="0" xr:uid="{00000000-0006-0000-0200-000012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0" authorId="0" shapeId="0" xr:uid="{00000000-0006-0000-0200-000013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1" authorId="0" shapeId="0" xr:uid="{00000000-0006-0000-0200-000014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2" authorId="0" shapeId="0" xr:uid="{00000000-0006-0000-0200-00001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3" authorId="0" shapeId="0" xr:uid="{00000000-0006-0000-0200-000016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4" authorId="0" shapeId="0" xr:uid="{00000000-0006-0000-0200-000017000000}">
      <text/>
    </comment>
    <comment ref="F45" authorId="0" shapeId="0" xr:uid="{00000000-0006-0000-0200-000018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00000000-0006-0000-0200-000019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7" authorId="0" shapeId="0" xr:uid="{00000000-0006-0000-0200-00001A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8" authorId="0" shapeId="0" xr:uid="{00000000-0006-0000-0200-00001B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9" authorId="0" shapeId="0" xr:uid="{00000000-0006-0000-0200-00001C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0" authorId="0" shapeId="0" xr:uid="{00000000-0006-0000-0200-00001D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1" authorId="0" shapeId="0" xr:uid="{00000000-0006-0000-0200-00001E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2" authorId="0" shapeId="0" xr:uid="{00000000-0006-0000-0200-00001F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3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4" authorId="0" shapeId="0" xr:uid="{00000000-0006-0000-0200-00002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5" authorId="0" shapeId="0" xr:uid="{274A224D-3BAB-46AA-99CD-0A924E03B638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<sst xmlns="http://schemas.openxmlformats.org/spreadsheetml/2006/main" count="300" uniqueCount="185">
  <si>
    <t xml:space="preserve">Division </t>
  </si>
  <si>
    <t xml:space="preserve">Trestle Tables </t>
  </si>
  <si>
    <t xml:space="preserve">Plastic Chairs </t>
  </si>
  <si>
    <t xml:space="preserve">Total Delivery  
Locations </t>
  </si>
  <si>
    <t>Hire Period 
(Days)</t>
  </si>
  <si>
    <t xml:space="preserve">Demographic  
Rating </t>
  </si>
  <si>
    <t>BRASSALL</t>
  </si>
  <si>
    <t>QLD</t>
  </si>
  <si>
    <t xml:space="preserve">Suburb </t>
  </si>
  <si>
    <t xml:space="preserve">Total Product Quantity Required </t>
  </si>
  <si>
    <t xml:space="preserve">Delivery </t>
  </si>
  <si>
    <t xml:space="preserve">BLAIR </t>
  </si>
  <si>
    <t xml:space="preserve">BLAIR DETAILS </t>
  </si>
  <si>
    <t xml:space="preserve">Postcode </t>
  </si>
  <si>
    <t>IPSWICH</t>
  </si>
  <si>
    <t>COLLINGWOOD PARK</t>
  </si>
  <si>
    <t>EAST IPSWICH</t>
  </si>
  <si>
    <t>RIPLEY</t>
  </si>
  <si>
    <t>GRANDCHESTER</t>
  </si>
  <si>
    <t>KARALEE</t>
  </si>
  <si>
    <t>LOWOOD</t>
  </si>
  <si>
    <t>NEWTOWN</t>
  </si>
  <si>
    <t>NORTH BOOVAL</t>
  </si>
  <si>
    <t>NORTH IPSWICH</t>
  </si>
  <si>
    <t>PINE MOUNTAIN</t>
  </si>
  <si>
    <t>RACEVIEW</t>
  </si>
  <si>
    <t>TARAMPA</t>
  </si>
  <si>
    <t>TIVOLI</t>
  </si>
  <si>
    <t>YAMANTO</t>
  </si>
  <si>
    <t>SPRINGFIELD</t>
  </si>
  <si>
    <t xml:space="preserve">Inner- Metro </t>
  </si>
  <si>
    <t>Total Divisional Delivery Price</t>
  </si>
  <si>
    <t xml:space="preserve">Total Divsional Product Supply Price </t>
  </si>
  <si>
    <t xml:space="preserve">Static Polling Places </t>
  </si>
  <si>
    <t>BONNER</t>
  </si>
  <si>
    <t>See below +</t>
  </si>
  <si>
    <t>Refrigerator</t>
  </si>
  <si>
    <t>Microwave Oven</t>
  </si>
  <si>
    <t>Large flatbed trolley</t>
  </si>
  <si>
    <t xml:space="preserve">Water Dispenser </t>
  </si>
  <si>
    <t xml:space="preserve">Hot Water Urn </t>
  </si>
  <si>
    <t>Flatbed Trolley</t>
  </si>
  <si>
    <t>Ergonomic Typist Chair</t>
  </si>
  <si>
    <t xml:space="preserve">Solid table </t>
  </si>
  <si>
    <t>Ergonomic typist chair</t>
  </si>
  <si>
    <t xml:space="preserve">Floor mat/carpet tile </t>
  </si>
  <si>
    <t xml:space="preserve">Fencing panel (black plastic)
L/M </t>
  </si>
  <si>
    <t>Upright trolley</t>
  </si>
  <si>
    <t xml:space="preserve">Pallet wrapping handle </t>
  </si>
  <si>
    <t>Pallet jack</t>
  </si>
  <si>
    <t>Data projector</t>
  </si>
  <si>
    <t xml:space="preserve">Projector screen </t>
  </si>
  <si>
    <t>Microwave oven</t>
  </si>
  <si>
    <t>Hot water urn</t>
  </si>
  <si>
    <t>Water dispenser with filter</t>
  </si>
  <si>
    <t>Pre-Polling Voting Centre</t>
  </si>
  <si>
    <t>Trestle Table</t>
  </si>
  <si>
    <t xml:space="preserve"> Plastic Chairs </t>
  </si>
  <si>
    <t>Whiteboard</t>
  </si>
  <si>
    <t>Bollards</t>
  </si>
  <si>
    <t xml:space="preserve">Shelving bays, large </t>
  </si>
  <si>
    <t xml:space="preserve">Shelving bays, small </t>
  </si>
  <si>
    <t>Lockers</t>
  </si>
  <si>
    <t xml:space="preserve">Items </t>
  </si>
  <si>
    <t xml:space="preserve">Estimated Total Days Required </t>
  </si>
  <si>
    <t>ELECTION PERIOD</t>
  </si>
  <si>
    <t>Estimated Maximum Quantity Required</t>
  </si>
  <si>
    <t>Classification</t>
  </si>
  <si>
    <t xml:space="preserve">QUANTITY REQUIREMENTS  </t>
  </si>
  <si>
    <t xml:space="preserve">Out-Posted Centre - Total Requirements </t>
  </si>
  <si>
    <t xml:space="preserve">Out-Posted Centre </t>
  </si>
  <si>
    <t xml:space="preserve">Contents </t>
  </si>
  <si>
    <t xml:space="preserve">Page </t>
  </si>
  <si>
    <t xml:space="preserve">Title </t>
  </si>
  <si>
    <t>Description</t>
  </si>
  <si>
    <t>Pricing Schedule</t>
  </si>
  <si>
    <t>Volume Discounts</t>
  </si>
  <si>
    <t xml:space="preserve">Additional Services </t>
  </si>
  <si>
    <t xml:space="preserve">A reference page providing quantities and locations for Static Polling Places. </t>
  </si>
  <si>
    <t xml:space="preserve">Pre-Poll Voting Centre </t>
  </si>
  <si>
    <t xml:space="preserve">A reference page providing quantities and locations for Pre-Poll Voting Centres. </t>
  </si>
  <si>
    <t>A reference page providing quantities and locations for Out-posted Centres.</t>
  </si>
  <si>
    <t xml:space="preserve">AEC Product Request </t>
  </si>
  <si>
    <t>Divisions are allocated a demographic classification as per below, for your reference.</t>
  </si>
  <si>
    <r>
      <t>Inner Metropolitan</t>
    </r>
    <r>
      <rPr>
        <sz val="11"/>
        <color theme="1"/>
        <rFont val="Arial"/>
        <family val="2"/>
      </rPr>
      <t> </t>
    </r>
  </si>
  <si>
    <t>Situated in capital cities and consisting of well-established built-up suburbs.</t>
  </si>
  <si>
    <r>
      <t>Outer Metropolitan</t>
    </r>
    <r>
      <rPr>
        <sz val="11"/>
        <color theme="1"/>
        <rFont val="Arial"/>
        <family val="2"/>
      </rPr>
      <t> </t>
    </r>
  </si>
  <si>
    <t>Situated in capital cities and containing large areas of recent suburban expansion.</t>
  </si>
  <si>
    <r>
      <t>Provincial</t>
    </r>
    <r>
      <rPr>
        <sz val="11"/>
        <color theme="1"/>
        <rFont val="Arial"/>
        <family val="2"/>
      </rPr>
      <t> </t>
    </r>
  </si>
  <si>
    <t>Outside capital cities, but with a majority of enrolment in major provincial cities.</t>
  </si>
  <si>
    <r>
      <t>Rural</t>
    </r>
    <r>
      <rPr>
        <sz val="11"/>
        <color theme="1"/>
        <rFont val="Arial"/>
        <family val="2"/>
      </rPr>
      <t> </t>
    </r>
  </si>
  <si>
    <t>Outside capital cities and without majority of enrolment in major provincial cities.</t>
  </si>
  <si>
    <t xml:space="preserve">Furniture &amp; Equipment Pricing Schedule </t>
  </si>
  <si>
    <t xml:space="preserve">PRODUCT SCOPE </t>
  </si>
  <si>
    <t>REQUESTED ITEM</t>
  </si>
  <si>
    <t>SUPPLIED ITEM</t>
  </si>
  <si>
    <t>RENTAL</t>
  </si>
  <si>
    <t>Assumptions/Caveats</t>
  </si>
  <si>
    <t xml:space="preserve">Product Group </t>
  </si>
  <si>
    <t xml:space="preserve">AEC Facility </t>
  </si>
  <si>
    <t>Expected Period of Requirement (Days)</t>
  </si>
  <si>
    <t xml:space="preserve">Product </t>
  </si>
  <si>
    <t>Product Description / Approximate Dimensions</t>
  </si>
  <si>
    <t xml:space="preserve">Reference Image </t>
  </si>
  <si>
    <r>
      <t xml:space="preserve">As per AEC Product </t>
    </r>
    <r>
      <rPr>
        <b/>
        <sz val="12"/>
        <color rgb="FFFF0000"/>
        <rFont val="HelveticaNeueLT Std Lt Cn"/>
        <family val="2"/>
      </rPr>
      <t>(Y/N)</t>
    </r>
    <r>
      <rPr>
        <sz val="12"/>
        <color theme="1"/>
        <rFont val="HelveticaNeueLT Std Lt Cn"/>
        <family val="2"/>
      </rPr>
      <t xml:space="preserve">
(If ‘N’ and an alternative product can be supplied, be complete adjacent field)</t>
    </r>
  </si>
  <si>
    <t>Alternate or Equivalent Product - Description /  Dimensions</t>
  </si>
  <si>
    <r>
      <t xml:space="preserve">Price per unit 
</t>
    </r>
    <r>
      <rPr>
        <b/>
        <sz val="12"/>
        <color rgb="FFFF0000"/>
        <rFont val="HelveticaNeueLT Std Lt Cn"/>
        <family val="2"/>
      </rPr>
      <t xml:space="preserve">(per day)
</t>
    </r>
    <r>
      <rPr>
        <sz val="12"/>
        <color theme="1"/>
        <rFont val="HelveticaNeueLT Std Lt Cn"/>
        <family val="2"/>
      </rPr>
      <t>(GST Inclusive)</t>
    </r>
  </si>
  <si>
    <r>
      <t xml:space="preserve">Rental period 
</t>
    </r>
    <r>
      <rPr>
        <b/>
        <sz val="12"/>
        <color rgb="FFFF0000"/>
        <rFont val="HelveticaNeueLT Std Lt Cn"/>
        <family val="2"/>
      </rPr>
      <t>(in days)</t>
    </r>
  </si>
  <si>
    <r>
      <t xml:space="preserve">Assumptions/Caveats
</t>
    </r>
    <r>
      <rPr>
        <b/>
        <i/>
        <sz val="11"/>
        <rFont val="Arial"/>
        <family val="2"/>
      </rPr>
      <t>Please describe any assumptions or caveats that apply</t>
    </r>
  </si>
  <si>
    <t xml:space="preserve"> Static Polling Places </t>
  </si>
  <si>
    <t>Moulded plastic 1800 x 900mm</t>
  </si>
  <si>
    <t>Stackable chairs, Plastic, Armless</t>
  </si>
  <si>
    <t>Delivery &amp; Collection</t>
  </si>
  <si>
    <t>Inner Metropolitan </t>
  </si>
  <si>
    <t>Outer Metropolitan </t>
  </si>
  <si>
    <t>Provincial </t>
  </si>
  <si>
    <t>Rural </t>
  </si>
  <si>
    <t xml:space="preserve">
 Pre-Polling Voting Centres </t>
  </si>
  <si>
    <t>1 - 21</t>
  </si>
  <si>
    <t>Acoustic screens</t>
  </si>
  <si>
    <t xml:space="preserve">1500 x 1800mm </t>
  </si>
  <si>
    <t xml:space="preserve">300L Max, Fridge / Freezer </t>
  </si>
  <si>
    <t xml:space="preserve">20-30L </t>
  </si>
  <si>
    <t>8-30L</t>
  </si>
  <si>
    <t xml:space="preserve">600 x 900mm,  150kg Capacity </t>
  </si>
  <si>
    <t>4 bay, standing unit</t>
  </si>
  <si>
    <t xml:space="preserve">1200 x 450, Light duty garage racking </t>
  </si>
  <si>
    <t xml:space="preserve">Fencing Cage </t>
  </si>
  <si>
    <t xml:space="preserve">Large lockable cabinet </t>
  </si>
  <si>
    <t xml:space="preserve">
Out-Posted Centre
</t>
  </si>
  <si>
    <t xml:space="preserve">Timber top table that has structural support (wont sag) </t>
  </si>
  <si>
    <t>1800 x 1200mm, mobile</t>
  </si>
  <si>
    <t xml:space="preserve">Orange bollards with weighted base </t>
  </si>
  <si>
    <t xml:space="preserve">2700 x 900mm, Heavy duty racking </t>
  </si>
  <si>
    <t xml:space="preserve">1200 x 900mm, 300kg Capacity </t>
  </si>
  <si>
    <t>Standard AU pallet size</t>
  </si>
  <si>
    <t xml:space="preserve">500L Fridge / Freezer </t>
  </si>
  <si>
    <t>CHARGES FOR ADDITIONAL SERVICES</t>
  </si>
  <si>
    <t>Any volume discounts the Service Provider is offering</t>
  </si>
  <si>
    <t>Pricing for equipment hire and/or purchase for the items the Service Provider is offering</t>
  </si>
  <si>
    <t>Any related additional services/products the Service Provider is offering</t>
  </si>
  <si>
    <t>Demographic Classification</t>
  </si>
  <si>
    <t xml:space="preserve"> Offer /  Response</t>
  </si>
  <si>
    <t>All Delivery and Collection charges are subject finalisation dependant on location and volume and will be agreed in a resultant work order</t>
  </si>
  <si>
    <t>Day 33-62</t>
  </si>
  <si>
    <t>Day 63-74</t>
  </si>
  <si>
    <t>74 days Total</t>
  </si>
  <si>
    <t>Plastic Chair</t>
  </si>
  <si>
    <t>Day 21-32</t>
  </si>
  <si>
    <t>Outline of Potential Surcharges (additional costs associated with weekend/public holiday or urgent deliveries)</t>
  </si>
  <si>
    <t>Additional Costs</t>
  </si>
  <si>
    <t>Fencing Gate</t>
  </si>
  <si>
    <t>Acoustic Screen</t>
  </si>
  <si>
    <t>Volume Discounts (OPTIONAL)</t>
  </si>
  <si>
    <t>Additional Services (OPTIONAL)</t>
  </si>
  <si>
    <t>Price per KM
(GST Inclusive)</t>
  </si>
  <si>
    <t>Price per delivery 
(GST Inclusive)</t>
  </si>
  <si>
    <t>Price per Hour
(GST Inclusive)</t>
  </si>
  <si>
    <t>Delivery Costs (Complete one or more options)</t>
  </si>
  <si>
    <t xml:space="preserve">The total items required per grouping in the election period section represents the total amount required for that group. (i.e. Do not add or subtract weeks to one another). </t>
  </si>
  <si>
    <t>14-74</t>
  </si>
  <si>
    <t>Day 1-20</t>
  </si>
  <si>
    <r>
      <t xml:space="preserve">OPC Requirements 
</t>
    </r>
    <r>
      <rPr>
        <b/>
        <sz val="16"/>
        <color rgb="FF7030A0"/>
        <rFont val="HelveticaNeueLT Std Lt Cn"/>
        <family val="2"/>
      </rPr>
      <t>CORE Items</t>
    </r>
    <r>
      <rPr>
        <b/>
        <sz val="16"/>
        <color theme="1"/>
        <rFont val="HelveticaNeueLT Std Lt Cn"/>
        <family val="2"/>
      </rPr>
      <t xml:space="preserve">
(Per Divison)</t>
    </r>
  </si>
  <si>
    <r>
      <t xml:space="preserve">OPC Requirements
</t>
    </r>
    <r>
      <rPr>
        <b/>
        <sz val="16"/>
        <color rgb="FF0070C0"/>
        <rFont val="HelveticaNeueLT Std Lt Cn"/>
        <family val="2"/>
      </rPr>
      <t>OPTIONAL Items</t>
    </r>
    <r>
      <rPr>
        <b/>
        <sz val="16"/>
        <color theme="1"/>
        <rFont val="HelveticaNeueLT Std Lt Cn"/>
        <family val="2"/>
      </rPr>
      <t xml:space="preserve">
(Per Divison)</t>
    </r>
  </si>
  <si>
    <t>NT</t>
  </si>
  <si>
    <t>Shelving bays, large 
(H2400 x D1200x W2400)</t>
  </si>
  <si>
    <t>Shelving bays, small 
(H1800 x D600 x W1200)</t>
  </si>
  <si>
    <t>LINGIARI</t>
  </si>
  <si>
    <t>BERRY SPRINGS</t>
  </si>
  <si>
    <t>COOLALINGA</t>
  </si>
  <si>
    <t xml:space="preserve">LINGIARI Details </t>
  </si>
  <si>
    <t>SOLOMON</t>
  </si>
  <si>
    <t xml:space="preserve">SOLOMON Details </t>
  </si>
  <si>
    <t>DARWIN CITY</t>
  </si>
  <si>
    <t>LUDMILLA</t>
  </si>
  <si>
    <t>NAKARA</t>
  </si>
  <si>
    <t>ZUCCOLI</t>
  </si>
  <si>
    <t>Inner Metropolitan</t>
  </si>
  <si>
    <t>Rural</t>
  </si>
  <si>
    <t>ALICE SPRINGS</t>
  </si>
  <si>
    <t>PALMERSTON</t>
  </si>
  <si>
    <t>Portable toilets and associated servicing</t>
  </si>
  <si>
    <t>Please specify type. If more than one form of unit available please add further rows and describe.</t>
  </si>
  <si>
    <t>Portable Toilets and associated servicing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</si>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</sst>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HelveticaNeueLT Std Cn"/>
      <family val="2"/>
    </font>
    <font>
      <b/>
      <sz val="28"/>
      <color theme="1"/>
      <name val="HelveticaNeueLT Std Cn"/>
      <family val="2"/>
    </font>
    <font>
      <sz val="24"/>
      <color theme="0"/>
      <name val="HelveticaNeueLT Std Cn"/>
      <family val="2"/>
    </font>
    <font>
      <sz val="10"/>
      <name val="Arial"/>
      <family val="2"/>
    </font>
    <font>
      <sz val="11"/>
      <color theme="1"/>
      <name val="HelveticaNeueLT Std Lt Cn"/>
      <family val="2"/>
    </font>
    <font>
      <b/>
      <sz val="14"/>
      <color theme="1"/>
      <name val="HelveticaNeueLT Std Lt Cn"/>
      <family val="2"/>
    </font>
    <font>
      <sz val="24"/>
      <color theme="0"/>
      <name val="HelveticaNeueLT Std Lt Cn"/>
      <family val="2"/>
    </font>
    <font>
      <sz val="12"/>
      <color theme="1"/>
      <name val="HelveticaNeueLT Std Lt Cn"/>
      <family val="2"/>
    </font>
    <font>
      <b/>
      <sz val="16"/>
      <color theme="1"/>
      <name val="HelveticaNeueLT Std Lt Cn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HelveticaNeueLT Std Lt Cn"/>
      <family val="2"/>
    </font>
    <font>
      <b/>
      <i/>
      <sz val="11"/>
      <name val="Arial"/>
      <family val="2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12"/>
      <name val="HelveticaNeueLT Std Lt Cn"/>
      <family val="2"/>
    </font>
    <font>
      <sz val="8"/>
      <name val="Arial"/>
      <family val="2"/>
    </font>
    <font>
      <b/>
      <sz val="16"/>
      <color rgb="FF0070C0"/>
      <name val="HelveticaNeueLT Std Lt Cn"/>
      <family val="2"/>
    </font>
    <font>
      <b/>
      <sz val="16"/>
      <color rgb="FF7030A0"/>
      <name val="HelveticaNeueLT Std Lt Cn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E267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  <xf numFmtId="0" fontId="21" fillId="0" borderId="0"/>
    <xf numFmtId="44" fontId="1" fillId="0" borderId="0" applyFont="0" applyFill="0" applyBorder="0" applyAlignment="0" applyProtection="0"/>
  </cellStyleXfs>
  <cellXfs count="19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8" fillId="35" borderId="0" xfId="0" applyFont="1" applyFill="1"/>
    <xf numFmtId="0" fontId="20" fillId="33" borderId="0" xfId="0" applyFont="1" applyFill="1" applyAlignment="1">
      <alignment horizontal="left" vertical="center"/>
    </xf>
    <xf numFmtId="0" fontId="20" fillId="35" borderId="0" xfId="0" applyFont="1" applyFill="1" applyAlignment="1">
      <alignment horizontal="left"/>
    </xf>
    <xf numFmtId="0" fontId="19" fillId="34" borderId="0" xfId="0" applyFont="1" applyFill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2" xfId="0" applyBorder="1"/>
    <xf numFmtId="0" fontId="0" fillId="0" borderId="11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  <xf numFmtId="0" fontId="0" fillId="35" borderId="0" xfId="0" applyFill="1" applyAlignment="1">
      <alignment vertical="center" wrapText="1"/>
    </xf>
    <xf numFmtId="0" fontId="0" fillId="35" borderId="0" xfId="0" applyFill="1" applyAlignment="1">
      <alignment vertical="center"/>
    </xf>
    <xf numFmtId="0" fontId="0" fillId="35" borderId="0" xfId="0" applyFill="1" applyAlignment="1">
      <alignment horizontal="center" vertical="center" wrapText="1"/>
    </xf>
    <xf numFmtId="0" fontId="20" fillId="35" borderId="0" xfId="0" applyFont="1" applyFill="1" applyAlignment="1">
      <alignment horizontal="left" vertical="center"/>
    </xf>
    <xf numFmtId="0" fontId="0" fillId="35" borderId="0" xfId="0" applyFill="1" applyAlignment="1">
      <alignment wrapText="1"/>
    </xf>
    <xf numFmtId="0" fontId="22" fillId="35" borderId="0" xfId="0" applyFont="1" applyFill="1"/>
    <xf numFmtId="0" fontId="25" fillId="37" borderId="11" xfId="0" applyFont="1" applyFill="1" applyBorder="1" applyAlignment="1">
      <alignment horizontal="center" vertical="center" wrapText="1"/>
    </xf>
    <xf numFmtId="0" fontId="0" fillId="35" borderId="0" xfId="0" applyFill="1" applyAlignment="1">
      <alignment horizontal="left"/>
    </xf>
    <xf numFmtId="0" fontId="27" fillId="0" borderId="0" xfId="0" applyFont="1"/>
    <xf numFmtId="0" fontId="27" fillId="35" borderId="11" xfId="0" applyFont="1" applyFill="1" applyBorder="1"/>
    <xf numFmtId="0" fontId="27" fillId="0" borderId="11" xfId="0" applyFont="1" applyBorder="1"/>
    <xf numFmtId="0" fontId="27" fillId="35" borderId="0" xfId="0" applyFont="1" applyFill="1"/>
    <xf numFmtId="0" fontId="27" fillId="0" borderId="11" xfId="0" applyFont="1" applyBorder="1" applyAlignment="1">
      <alignment horizontal="left" vertical="center"/>
    </xf>
    <xf numFmtId="0" fontId="27" fillId="34" borderId="20" xfId="0" applyFont="1" applyFill="1" applyBorder="1"/>
    <xf numFmtId="0" fontId="27" fillId="34" borderId="0" xfId="0" applyFont="1" applyFill="1"/>
    <xf numFmtId="0" fontId="27" fillId="0" borderId="11" xfId="0" applyFont="1" applyBorder="1" applyAlignment="1">
      <alignment vertical="center"/>
    </xf>
    <xf numFmtId="0" fontId="28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0" borderId="11" xfId="0" applyFont="1" applyBorder="1" applyAlignment="1">
      <alignment horizontal="center" vertical="center"/>
    </xf>
    <xf numFmtId="0" fontId="27" fillId="35" borderId="0" xfId="0" applyFont="1" applyFill="1" applyAlignment="1">
      <alignment horizontal="left"/>
    </xf>
    <xf numFmtId="0" fontId="27" fillId="35" borderId="0" xfId="0" applyFont="1" applyFill="1" applyAlignment="1">
      <alignment horizontal="left" vertical="center"/>
    </xf>
    <xf numFmtId="0" fontId="27" fillId="0" borderId="24" xfId="0" applyFont="1" applyBorder="1" applyAlignment="1">
      <alignment horizontal="left" vertical="center"/>
    </xf>
    <xf numFmtId="0" fontId="27" fillId="0" borderId="24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1" xfId="0" applyFont="1" applyBorder="1" applyAlignment="1">
      <alignment horizontal="left" vertical="center"/>
    </xf>
    <xf numFmtId="0" fontId="27" fillId="34" borderId="34" xfId="0" applyFont="1" applyFill="1" applyBorder="1"/>
    <xf numFmtId="0" fontId="27" fillId="34" borderId="35" xfId="0" applyFont="1" applyFill="1" applyBorder="1"/>
    <xf numFmtId="0" fontId="19" fillId="35" borderId="0" xfId="0" applyFont="1" applyFill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32" fillId="35" borderId="11" xfId="0" applyFont="1" applyFill="1" applyBorder="1" applyAlignment="1">
      <alignment horizontal="center" vertical="center"/>
    </xf>
    <xf numFmtId="0" fontId="28" fillId="37" borderId="11" xfId="0" applyFont="1" applyFill="1" applyBorder="1" applyAlignment="1">
      <alignment horizontal="left" vertical="center" wrapText="1"/>
    </xf>
    <xf numFmtId="0" fontId="25" fillId="35" borderId="0" xfId="0" applyFont="1" applyFill="1" applyAlignment="1">
      <alignment horizontal="center" vertical="center" wrapText="1"/>
    </xf>
    <xf numFmtId="0" fontId="35" fillId="35" borderId="0" xfId="0" applyFont="1" applyFill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27" fillId="41" borderId="11" xfId="0" applyFont="1" applyFill="1" applyBorder="1"/>
    <xf numFmtId="0" fontId="27" fillId="41" borderId="15" xfId="0" applyFont="1" applyFill="1" applyBorder="1"/>
    <xf numFmtId="0" fontId="36" fillId="35" borderId="0" xfId="0" applyFont="1" applyFill="1"/>
    <xf numFmtId="0" fontId="27" fillId="34" borderId="21" xfId="0" applyFont="1" applyFill="1" applyBorder="1"/>
    <xf numFmtId="0" fontId="27" fillId="34" borderId="17" xfId="0" applyFont="1" applyFill="1" applyBorder="1"/>
    <xf numFmtId="0" fontId="37" fillId="35" borderId="0" xfId="0" applyFont="1" applyFill="1" applyAlignment="1">
      <alignment horizontal="center" vertical="center" wrapText="1"/>
    </xf>
    <xf numFmtId="0" fontId="37" fillId="35" borderId="0" xfId="0" applyFont="1" applyFill="1" applyAlignment="1">
      <alignment vertical="center"/>
    </xf>
    <xf numFmtId="0" fontId="28" fillId="0" borderId="15" xfId="0" applyFont="1" applyBorder="1" applyAlignment="1">
      <alignment horizontal="center" vertical="center"/>
    </xf>
    <xf numFmtId="0" fontId="37" fillId="35" borderId="0" xfId="0" applyFont="1" applyFill="1" applyAlignment="1">
      <alignment vertical="center" wrapText="1"/>
    </xf>
    <xf numFmtId="0" fontId="27" fillId="35" borderId="0" xfId="0" applyFont="1" applyFill="1" applyAlignment="1">
      <alignment vertical="center" wrapText="1"/>
    </xf>
    <xf numFmtId="0" fontId="27" fillId="41" borderId="11" xfId="0" applyFont="1" applyFill="1" applyBorder="1" applyAlignment="1">
      <alignment vertical="center"/>
    </xf>
    <xf numFmtId="0" fontId="27" fillId="34" borderId="15" xfId="0" applyFont="1" applyFill="1" applyBorder="1" applyAlignment="1">
      <alignment vertical="center"/>
    </xf>
    <xf numFmtId="0" fontId="27" fillId="34" borderId="13" xfId="0" applyFont="1" applyFill="1" applyBorder="1" applyAlignment="1">
      <alignment vertical="center"/>
    </xf>
    <xf numFmtId="0" fontId="27" fillId="34" borderId="13" xfId="0" applyFont="1" applyFill="1" applyBorder="1"/>
    <xf numFmtId="0" fontId="27" fillId="41" borderId="12" xfId="0" applyFont="1" applyFill="1" applyBorder="1"/>
    <xf numFmtId="0" fontId="40" fillId="35" borderId="0" xfId="0" applyFont="1" applyFill="1" applyAlignment="1">
      <alignment horizontal="center"/>
    </xf>
    <xf numFmtId="0" fontId="42" fillId="0" borderId="0" xfId="0" applyFont="1" applyAlignment="1">
      <alignment horizontal="left" vertic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2" fillId="35" borderId="0" xfId="0" applyFont="1" applyFill="1" applyAlignment="1">
      <alignment horizontal="left" vertical="center"/>
    </xf>
    <xf numFmtId="0" fontId="40" fillId="35" borderId="0" xfId="0" applyFont="1" applyFill="1"/>
    <xf numFmtId="0" fontId="23" fillId="38" borderId="10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left" vertical="center" wrapText="1"/>
    </xf>
    <xf numFmtId="0" fontId="20" fillId="35" borderId="0" xfId="0" applyFont="1" applyFill="1" applyAlignment="1">
      <alignment horizontal="left" vertical="center" wrapText="1"/>
    </xf>
    <xf numFmtId="0" fontId="27" fillId="41" borderId="11" xfId="0" applyFont="1" applyFill="1" applyBorder="1" applyAlignment="1">
      <alignment wrapText="1"/>
    </xf>
    <xf numFmtId="0" fontId="27" fillId="35" borderId="0" xfId="0" applyFont="1" applyFill="1" applyAlignment="1">
      <alignment wrapText="1"/>
    </xf>
    <xf numFmtId="0" fontId="27" fillId="41" borderId="14" xfId="0" applyFont="1" applyFill="1" applyBorder="1" applyAlignment="1">
      <alignment wrapText="1"/>
    </xf>
    <xf numFmtId="0" fontId="23" fillId="38" borderId="14" xfId="0" applyFont="1" applyFill="1" applyBorder="1" applyAlignment="1">
      <alignment horizontal="center" vertical="center"/>
    </xf>
    <xf numFmtId="0" fontId="27" fillId="34" borderId="35" xfId="0" applyFont="1" applyFill="1" applyBorder="1" applyAlignment="1">
      <alignment horizontal="center"/>
    </xf>
    <xf numFmtId="0" fontId="27" fillId="34" borderId="17" xfId="0" applyFont="1" applyFill="1" applyBorder="1" applyAlignment="1">
      <alignment horizontal="center"/>
    </xf>
    <xf numFmtId="0" fontId="0" fillId="35" borderId="0" xfId="0" applyFill="1" applyAlignment="1">
      <alignment horizontal="center" wrapText="1"/>
    </xf>
    <xf numFmtId="0" fontId="27" fillId="0" borderId="12" xfId="0" applyFont="1" applyBorder="1" applyAlignment="1">
      <alignment horizontal="center" vertical="center"/>
    </xf>
    <xf numFmtId="0" fontId="27" fillId="34" borderId="35" xfId="0" applyFont="1" applyFill="1" applyBorder="1" applyAlignment="1">
      <alignment vertical="center"/>
    </xf>
    <xf numFmtId="0" fontId="27" fillId="34" borderId="20" xfId="0" applyFont="1" applyFill="1" applyBorder="1" applyAlignment="1">
      <alignment vertical="center"/>
    </xf>
    <xf numFmtId="0" fontId="0" fillId="37" borderId="14" xfId="0" applyFill="1" applyBorder="1" applyAlignment="1">
      <alignment horizontal="center" vertical="center" wrapText="1"/>
    </xf>
    <xf numFmtId="0" fontId="27" fillId="0" borderId="24" xfId="0" applyFont="1" applyBorder="1" applyAlignment="1">
      <alignment horizontal="center" wrapText="1"/>
    </xf>
    <xf numFmtId="0" fontId="27" fillId="0" borderId="37" xfId="0" applyFont="1" applyBorder="1" applyAlignment="1">
      <alignment horizontal="center" wrapText="1"/>
    </xf>
    <xf numFmtId="0" fontId="27" fillId="0" borderId="12" xfId="0" applyFont="1" applyBorder="1" applyAlignment="1">
      <alignment horizontal="left" vertical="center"/>
    </xf>
    <xf numFmtId="0" fontId="27" fillId="0" borderId="12" xfId="0" applyFont="1" applyBorder="1" applyAlignment="1">
      <alignment horizontal="center" wrapText="1"/>
    </xf>
    <xf numFmtId="0" fontId="27" fillId="0" borderId="40" xfId="0" applyFont="1" applyBorder="1" applyAlignment="1">
      <alignment horizontal="center" wrapText="1"/>
    </xf>
    <xf numFmtId="0" fontId="27" fillId="0" borderId="11" xfId="0" applyFont="1" applyBorder="1" applyAlignment="1">
      <alignment horizontal="center" wrapText="1"/>
    </xf>
    <xf numFmtId="0" fontId="27" fillId="0" borderId="38" xfId="0" applyFont="1" applyBorder="1" applyAlignment="1">
      <alignment horizontal="center" wrapText="1"/>
    </xf>
    <xf numFmtId="0" fontId="30" fillId="0" borderId="11" xfId="0" applyFont="1" applyBorder="1" applyAlignment="1">
      <alignment horizontal="center" wrapText="1"/>
    </xf>
    <xf numFmtId="0" fontId="30" fillId="0" borderId="38" xfId="0" applyFont="1" applyBorder="1" applyAlignment="1">
      <alignment horizontal="center" wrapText="1"/>
    </xf>
    <xf numFmtId="0" fontId="30" fillId="0" borderId="31" xfId="0" applyFont="1" applyBorder="1" applyAlignment="1">
      <alignment horizontal="center" wrapText="1"/>
    </xf>
    <xf numFmtId="0" fontId="30" fillId="0" borderId="39" xfId="0" applyFont="1" applyBorder="1" applyAlignment="1">
      <alignment horizontal="center" wrapText="1"/>
    </xf>
    <xf numFmtId="0" fontId="27" fillId="0" borderId="15" xfId="0" applyFont="1" applyBorder="1" applyAlignment="1">
      <alignment horizontal="left" vertical="center"/>
    </xf>
    <xf numFmtId="0" fontId="27" fillId="0" borderId="1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wrapText="1"/>
    </xf>
    <xf numFmtId="0" fontId="30" fillId="0" borderId="42" xfId="0" applyFont="1" applyBorder="1" applyAlignment="1">
      <alignment horizontal="center" wrapText="1"/>
    </xf>
    <xf numFmtId="0" fontId="27" fillId="0" borderId="11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" fontId="27" fillId="0" borderId="24" xfId="0" applyNumberFormat="1" applyFont="1" applyBorder="1" applyAlignment="1">
      <alignment horizontal="center" vertical="center"/>
    </xf>
    <xf numFmtId="1" fontId="27" fillId="0" borderId="12" xfId="0" applyNumberFormat="1" applyFont="1" applyBorder="1" applyAlignment="1">
      <alignment horizontal="center" vertical="center"/>
    </xf>
    <xf numFmtId="1" fontId="27" fillId="0" borderId="11" xfId="0" applyNumberFormat="1" applyFont="1" applyBorder="1" applyAlignment="1">
      <alignment horizontal="center" vertical="center"/>
    </xf>
    <xf numFmtId="1" fontId="27" fillId="0" borderId="31" xfId="0" applyNumberFormat="1" applyFont="1" applyBorder="1" applyAlignment="1">
      <alignment horizontal="center" vertical="center"/>
    </xf>
    <xf numFmtId="1" fontId="27" fillId="35" borderId="0" xfId="0" applyNumberFormat="1" applyFont="1" applyFill="1"/>
    <xf numFmtId="1" fontId="27" fillId="0" borderId="15" xfId="0" applyNumberFormat="1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0" fontId="27" fillId="35" borderId="31" xfId="0" applyFont="1" applyFill="1" applyBorder="1" applyAlignment="1">
      <alignment horizontal="left" vertical="center"/>
    </xf>
    <xf numFmtId="0" fontId="27" fillId="35" borderId="31" xfId="0" applyFont="1" applyFill="1" applyBorder="1" applyAlignment="1">
      <alignment horizontal="center" vertical="center"/>
    </xf>
    <xf numFmtId="0" fontId="27" fillId="35" borderId="39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7" fillId="0" borderId="10" xfId="0" applyFont="1" applyBorder="1" applyAlignment="1">
      <alignment horizontal="left"/>
    </xf>
    <xf numFmtId="0" fontId="27" fillId="0" borderId="16" xfId="0" applyFont="1" applyBorder="1" applyAlignment="1">
      <alignment horizontal="left"/>
    </xf>
    <xf numFmtId="0" fontId="27" fillId="0" borderId="14" xfId="0" applyFont="1" applyBorder="1" applyAlignment="1">
      <alignment horizontal="left"/>
    </xf>
    <xf numFmtId="0" fontId="27" fillId="35" borderId="11" xfId="0" applyFont="1" applyFill="1" applyBorder="1" applyAlignment="1">
      <alignment horizontal="left"/>
    </xf>
    <xf numFmtId="0" fontId="23" fillId="34" borderId="11" xfId="0" applyFont="1" applyFill="1" applyBorder="1" applyAlignment="1">
      <alignment horizontal="left" vertical="center" wrapText="1"/>
    </xf>
    <xf numFmtId="0" fontId="28" fillId="35" borderId="10" xfId="0" applyFont="1" applyFill="1" applyBorder="1" applyAlignment="1">
      <alignment horizontal="left"/>
    </xf>
    <xf numFmtId="0" fontId="28" fillId="35" borderId="16" xfId="0" applyFont="1" applyFill="1" applyBorder="1" applyAlignment="1">
      <alignment horizontal="left"/>
    </xf>
    <xf numFmtId="0" fontId="28" fillId="35" borderId="14" xfId="0" applyFont="1" applyFill="1" applyBorder="1" applyAlignment="1">
      <alignment horizontal="left"/>
    </xf>
    <xf numFmtId="0" fontId="24" fillId="36" borderId="0" xfId="0" applyFont="1" applyFill="1" applyAlignment="1">
      <alignment horizontal="left" vertical="center"/>
    </xf>
    <xf numFmtId="0" fontId="23" fillId="34" borderId="11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6" fillId="39" borderId="11" xfId="0" applyFont="1" applyFill="1" applyBorder="1" applyAlignment="1">
      <alignment horizontal="center" vertical="center" wrapText="1"/>
    </xf>
    <xf numFmtId="0" fontId="26" fillId="39" borderId="15" xfId="0" applyFont="1" applyFill="1" applyBorder="1" applyAlignment="1">
      <alignment horizontal="center" vertical="center" wrapText="1"/>
    </xf>
    <xf numFmtId="0" fontId="26" fillId="39" borderId="13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left" vertical="center"/>
    </xf>
    <xf numFmtId="0" fontId="27" fillId="42" borderId="15" xfId="0" applyFont="1" applyFill="1" applyBorder="1" applyAlignment="1">
      <alignment horizontal="center"/>
    </xf>
    <xf numFmtId="0" fontId="27" fillId="42" borderId="13" xfId="0" applyFont="1" applyFill="1" applyBorder="1" applyAlignment="1">
      <alignment horizontal="center"/>
    </xf>
    <xf numFmtId="0" fontId="27" fillId="42" borderId="12" xfId="0" applyFont="1" applyFill="1" applyBorder="1" applyAlignment="1">
      <alignment horizontal="center"/>
    </xf>
    <xf numFmtId="0" fontId="27" fillId="34" borderId="18" xfId="0" applyFont="1" applyFill="1" applyBorder="1" applyAlignment="1">
      <alignment horizontal="left" vertical="center" wrapText="1"/>
    </xf>
    <xf numFmtId="0" fontId="27" fillId="34" borderId="34" xfId="0" applyFont="1" applyFill="1" applyBorder="1" applyAlignment="1">
      <alignment horizontal="left" vertical="center" wrapText="1"/>
    </xf>
    <xf numFmtId="0" fontId="27" fillId="34" borderId="19" xfId="0" applyFont="1" applyFill="1" applyBorder="1" applyAlignment="1">
      <alignment horizontal="left" vertical="center" wrapText="1"/>
    </xf>
    <xf numFmtId="0" fontId="27" fillId="34" borderId="0" xfId="0" applyFont="1" applyFill="1" applyAlignment="1">
      <alignment horizontal="left" vertical="center" wrapText="1"/>
    </xf>
    <xf numFmtId="0" fontId="27" fillId="34" borderId="36" xfId="0" applyFont="1" applyFill="1" applyBorder="1" applyAlignment="1">
      <alignment horizontal="left" vertical="center" wrapText="1"/>
    </xf>
    <xf numFmtId="0" fontId="27" fillId="34" borderId="21" xfId="0" applyFont="1" applyFill="1" applyBorder="1" applyAlignment="1">
      <alignment horizontal="left" vertical="center" wrapText="1"/>
    </xf>
    <xf numFmtId="0" fontId="27" fillId="39" borderId="15" xfId="0" applyFont="1" applyFill="1" applyBorder="1" applyAlignment="1">
      <alignment horizontal="center" vertical="center"/>
    </xf>
    <xf numFmtId="0" fontId="27" fillId="39" borderId="13" xfId="0" applyFont="1" applyFill="1" applyBorder="1" applyAlignment="1">
      <alignment horizontal="center" vertical="center"/>
    </xf>
    <xf numFmtId="0" fontId="27" fillId="39" borderId="12" xfId="0" applyFont="1" applyFill="1" applyBorder="1" applyAlignment="1">
      <alignment horizontal="center" vertical="center"/>
    </xf>
    <xf numFmtId="0" fontId="27" fillId="39" borderId="11" xfId="0" applyFont="1" applyFill="1" applyBorder="1" applyAlignment="1">
      <alignment horizontal="center" vertical="center" wrapText="1"/>
    </xf>
    <xf numFmtId="0" fontId="27" fillId="34" borderId="35" xfId="0" applyFont="1" applyFill="1" applyBorder="1" applyAlignment="1">
      <alignment horizontal="center"/>
    </xf>
    <xf numFmtId="0" fontId="27" fillId="34" borderId="17" xfId="0" applyFont="1" applyFill="1" applyBorder="1" applyAlignment="1">
      <alignment horizontal="center"/>
    </xf>
    <xf numFmtId="49" fontId="27" fillId="39" borderId="11" xfId="0" applyNumberFormat="1" applyFont="1" applyFill="1" applyBorder="1" applyAlignment="1">
      <alignment horizontal="center" vertical="center" wrapText="1"/>
    </xf>
    <xf numFmtId="0" fontId="0" fillId="35" borderId="0" xfId="0" applyFill="1" applyAlignment="1">
      <alignment horizontal="center"/>
    </xf>
    <xf numFmtId="0" fontId="24" fillId="36" borderId="0" xfId="0" applyFont="1" applyFill="1" applyAlignment="1">
      <alignment horizontal="center" vertical="center"/>
    </xf>
    <xf numFmtId="0" fontId="23" fillId="38" borderId="10" xfId="0" applyFont="1" applyFill="1" applyBorder="1" applyAlignment="1">
      <alignment horizontal="center" vertical="center" wrapText="1"/>
    </xf>
    <xf numFmtId="0" fontId="23" fillId="38" borderId="16" xfId="0" applyFont="1" applyFill="1" applyBorder="1" applyAlignment="1">
      <alignment horizontal="center" vertical="center" wrapText="1"/>
    </xf>
    <xf numFmtId="0" fontId="23" fillId="38" borderId="14" xfId="0" applyFont="1" applyFill="1" applyBorder="1" applyAlignment="1">
      <alignment horizontal="center" vertical="center" wrapText="1"/>
    </xf>
    <xf numFmtId="0" fontId="23" fillId="38" borderId="11" xfId="0" applyFont="1" applyFill="1" applyBorder="1" applyAlignment="1">
      <alignment horizontal="center" vertical="center"/>
    </xf>
    <xf numFmtId="0" fontId="23" fillId="38" borderId="10" xfId="0" applyFont="1" applyFill="1" applyBorder="1" applyAlignment="1">
      <alignment horizontal="center" vertical="center"/>
    </xf>
    <xf numFmtId="0" fontId="23" fillId="38" borderId="14" xfId="0" applyFont="1" applyFill="1" applyBorder="1" applyAlignment="1">
      <alignment horizontal="center" vertical="center"/>
    </xf>
    <xf numFmtId="0" fontId="23" fillId="38" borderId="16" xfId="0" applyFont="1" applyFill="1" applyBorder="1" applyAlignment="1">
      <alignment horizontal="center" vertical="center"/>
    </xf>
    <xf numFmtId="0" fontId="23" fillId="38" borderId="18" xfId="0" applyFont="1" applyFill="1" applyBorder="1" applyAlignment="1">
      <alignment horizontal="left" vertical="center" wrapText="1"/>
    </xf>
    <xf numFmtId="0" fontId="23" fillId="38" borderId="34" xfId="0" applyFont="1" applyFill="1" applyBorder="1" applyAlignment="1">
      <alignment horizontal="left" vertical="center" wrapText="1"/>
    </xf>
    <xf numFmtId="0" fontId="23" fillId="38" borderId="35" xfId="0" applyFont="1" applyFill="1" applyBorder="1" applyAlignment="1">
      <alignment horizontal="left" vertical="center" wrapText="1"/>
    </xf>
    <xf numFmtId="0" fontId="41" fillId="41" borderId="10" xfId="0" applyFont="1" applyFill="1" applyBorder="1" applyAlignment="1">
      <alignment horizontal="left" vertical="center"/>
    </xf>
    <xf numFmtId="0" fontId="41" fillId="41" borderId="16" xfId="0" applyFont="1" applyFill="1" applyBorder="1" applyAlignment="1">
      <alignment horizontal="left" vertical="center"/>
    </xf>
    <xf numFmtId="0" fontId="41" fillId="41" borderId="14" xfId="0" applyFont="1" applyFill="1" applyBorder="1" applyAlignment="1">
      <alignment horizontal="left" vertical="center"/>
    </xf>
    <xf numFmtId="0" fontId="23" fillId="38" borderId="11" xfId="0" applyFont="1" applyFill="1" applyBorder="1" applyAlignment="1">
      <alignment horizontal="left" vertical="center" wrapText="1"/>
    </xf>
    <xf numFmtId="0" fontId="41" fillId="41" borderId="11" xfId="0" applyFont="1" applyFill="1" applyBorder="1" applyAlignment="1">
      <alignment horizontal="left" vertical="center"/>
    </xf>
    <xf numFmtId="0" fontId="23" fillId="38" borderId="15" xfId="0" applyFont="1" applyFill="1" applyBorder="1" applyAlignment="1">
      <alignment horizontal="center" vertical="center"/>
    </xf>
    <xf numFmtId="0" fontId="23" fillId="38" borderId="12" xfId="0" applyFont="1" applyFill="1" applyBorder="1" applyAlignment="1">
      <alignment horizontal="center" vertical="center"/>
    </xf>
    <xf numFmtId="0" fontId="23" fillId="38" borderId="15" xfId="0" applyFont="1" applyFill="1" applyBorder="1" applyAlignment="1">
      <alignment horizontal="center" vertical="center" wrapText="1"/>
    </xf>
    <xf numFmtId="0" fontId="23" fillId="38" borderId="11" xfId="0" applyFont="1" applyFill="1" applyBorder="1" applyAlignment="1">
      <alignment horizontal="center" vertical="center" wrapText="1"/>
    </xf>
    <xf numFmtId="0" fontId="25" fillId="37" borderId="11" xfId="0" applyFont="1" applyFill="1" applyBorder="1" applyAlignment="1">
      <alignment horizontal="center" vertical="center" wrapText="1"/>
    </xf>
    <xf numFmtId="0" fontId="23" fillId="38" borderId="13" xfId="0" applyFont="1" applyFill="1" applyBorder="1" applyAlignment="1">
      <alignment horizontal="center" vertical="center"/>
    </xf>
    <xf numFmtId="0" fontId="25" fillId="37" borderId="15" xfId="0" applyFont="1" applyFill="1" applyBorder="1" applyAlignment="1">
      <alignment horizontal="center" vertical="center" wrapText="1"/>
    </xf>
    <xf numFmtId="0" fontId="25" fillId="37" borderId="12" xfId="0" applyFont="1" applyFill="1" applyBorder="1" applyAlignment="1">
      <alignment horizontal="center" vertical="center" wrapText="1"/>
    </xf>
    <xf numFmtId="0" fontId="26" fillId="40" borderId="22" xfId="0" applyFont="1" applyFill="1" applyBorder="1" applyAlignment="1">
      <alignment horizontal="center" vertical="center" wrapText="1"/>
    </xf>
    <xf numFmtId="0" fontId="26" fillId="40" borderId="23" xfId="0" applyFont="1" applyFill="1" applyBorder="1" applyAlignment="1">
      <alignment horizontal="center" vertical="center" wrapText="1"/>
    </xf>
    <xf numFmtId="0" fontId="26" fillId="40" borderId="27" xfId="0" applyFont="1" applyFill="1" applyBorder="1" applyAlignment="1">
      <alignment horizontal="center" vertical="center" wrapText="1"/>
    </xf>
    <xf numFmtId="0" fontId="26" fillId="40" borderId="20" xfId="0" applyFont="1" applyFill="1" applyBorder="1" applyAlignment="1">
      <alignment horizontal="center" vertical="center" wrapText="1"/>
    </xf>
    <xf numFmtId="0" fontId="26" fillId="40" borderId="29" xfId="0" applyFont="1" applyFill="1" applyBorder="1" applyAlignment="1">
      <alignment horizontal="center" vertical="center" wrapText="1"/>
    </xf>
    <xf numFmtId="0" fontId="26" fillId="40" borderId="30" xfId="0" applyFont="1" applyFill="1" applyBorder="1" applyAlignment="1">
      <alignment horizontal="center" vertical="center" wrapText="1"/>
    </xf>
    <xf numFmtId="0" fontId="31" fillId="35" borderId="22" xfId="0" applyFont="1" applyFill="1" applyBorder="1" applyAlignment="1">
      <alignment horizontal="center" vertical="center" wrapText="1"/>
    </xf>
    <xf numFmtId="0" fontId="31" fillId="35" borderId="25" xfId="0" applyFont="1" applyFill="1" applyBorder="1" applyAlignment="1">
      <alignment horizontal="center" vertical="center" wrapText="1"/>
    </xf>
    <xf numFmtId="0" fontId="31" fillId="35" borderId="26" xfId="0" applyFont="1" applyFill="1" applyBorder="1" applyAlignment="1">
      <alignment horizontal="center" vertical="center" wrapText="1"/>
    </xf>
    <xf numFmtId="0" fontId="31" fillId="35" borderId="27" xfId="0" applyFont="1" applyFill="1" applyBorder="1" applyAlignment="1">
      <alignment horizontal="center" vertical="center" wrapText="1"/>
    </xf>
    <xf numFmtId="0" fontId="31" fillId="35" borderId="0" xfId="0" applyFont="1" applyFill="1" applyAlignment="1">
      <alignment horizontal="center" vertical="center" wrapText="1"/>
    </xf>
    <xf numFmtId="0" fontId="31" fillId="35" borderId="28" xfId="0" applyFont="1" applyFill="1" applyBorder="1" applyAlignment="1">
      <alignment horizontal="center" vertical="center" wrapText="1"/>
    </xf>
    <xf numFmtId="0" fontId="31" fillId="35" borderId="29" xfId="0" applyFont="1" applyFill="1" applyBorder="1" applyAlignment="1">
      <alignment horizontal="center" vertical="center" wrapText="1"/>
    </xf>
    <xf numFmtId="0" fontId="31" fillId="35" borderId="32" xfId="0" applyFont="1" applyFill="1" applyBorder="1" applyAlignment="1">
      <alignment horizontal="center" vertical="center" wrapText="1"/>
    </xf>
    <xf numFmtId="0" fontId="31" fillId="35" borderId="33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23" fillId="38" borderId="18" xfId="0" applyFont="1" applyFill="1" applyBorder="1" applyAlignment="1">
      <alignment horizontal="center" vertical="center"/>
    </xf>
    <xf numFmtId="0" fontId="23" fillId="38" borderId="35" xfId="0" applyFont="1" applyFill="1" applyBorder="1" applyAlignment="1">
      <alignment horizontal="center" vertical="center"/>
    </xf>
    <xf numFmtId="0" fontId="23" fillId="38" borderId="43" xfId="0" applyFont="1" applyFill="1" applyBorder="1" applyAlignment="1">
      <alignment horizontal="center" vertical="center"/>
    </xf>
    <xf numFmtId="0" fontId="23" fillId="38" borderId="30" xfId="0" applyFont="1" applyFill="1" applyBorder="1" applyAlignment="1">
      <alignment horizontal="center" vertical="center"/>
    </xf>
    <xf numFmtId="0" fontId="25" fillId="37" borderId="41" xfId="0" applyFont="1" applyFill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2" xfId="44" xr:uid="{00000000-0005-0000-0000-00001C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2" xr:uid="{00000000-0005-0000-0000-000027000000}"/>
    <cellStyle name="Normal 8" xfId="43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calcChain" Target="calcChain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Relationship Type="http://schemas.openxmlformats.org/officeDocument/2006/relationships/customXml" Target="/customXML/item2.xml" Id="Ra782fd20560e4fc7" 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87442</xdr:colOff>
      <xdr:row>17</xdr:row>
      <xdr:rowOff>174996</xdr:rowOff>
    </xdr:from>
    <xdr:to>
      <xdr:col>9</xdr:col>
      <xdr:colOff>544936</xdr:colOff>
      <xdr:row>22</xdr:row>
      <xdr:rowOff>206013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BCBD5E67-7541-4E14-B295-C41A6F631D96}"/>
            </a:ext>
          </a:extLst>
        </xdr:cNvPr>
        <xdr:cNvSpPr/>
      </xdr:nvSpPr>
      <xdr:spPr>
        <a:xfrm rot="16200000">
          <a:off x="10320980" y="5457683"/>
          <a:ext cx="1307367" cy="457494"/>
        </a:xfrm>
        <a:prstGeom prst="triangl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44824</xdr:colOff>
      <xdr:row>6</xdr:row>
      <xdr:rowOff>414618</xdr:rowOff>
    </xdr:from>
    <xdr:to>
      <xdr:col>18</xdr:col>
      <xdr:colOff>190500</xdr:colOff>
      <xdr:row>11</xdr:row>
      <xdr:rowOff>201706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DAF401-8167-44B2-B70F-E5908993CA0A}"/>
            </a:ext>
          </a:extLst>
        </xdr:cNvPr>
        <xdr:cNvSpPr txBox="1"/>
      </xdr:nvSpPr>
      <xdr:spPr>
        <a:xfrm>
          <a:off x="11922499" y="2186268"/>
          <a:ext cx="4412876" cy="1368238"/>
        </a:xfrm>
        <a:prstGeom prst="rect">
          <a:avLst/>
        </a:prstGeom>
        <a:solidFill>
          <a:schemeClr val="lt1"/>
        </a:solidFill>
        <a:ln w="571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2800">
              <a:solidFill>
                <a:sysClr val="windowText" lastClr="000000"/>
              </a:solidFill>
            </a:rPr>
            <a:t>Please review items</a:t>
          </a:r>
          <a:r>
            <a:rPr lang="en-AU" sz="2800" baseline="0">
              <a:solidFill>
                <a:sysClr val="windowText" lastClr="000000"/>
              </a:solidFill>
            </a:rPr>
            <a:t> at zero </a:t>
          </a:r>
          <a:endParaRPr lang="en-AU" sz="28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2"/>
  <sheetViews>
    <sheetView workbookViewId="0">
      <selection activeCell="N14" sqref="N14"/>
    </sheetView>
  </sheetViews>
  <sheetFormatPr defaultRowHeight="15" outlineLevelRow="1" x14ac:dyDescent="0.25"/>
  <cols>
    <col min="1" max="1" width="23" bestFit="1" customWidth="1"/>
    <col min="2" max="2" width="13.85546875" bestFit="1" customWidth="1"/>
    <col min="3" max="3" width="16.42578125" customWidth="1"/>
    <col min="4" max="4" width="14.140625" customWidth="1"/>
    <col min="5" max="5" width="20.85546875" bestFit="1" customWidth="1"/>
    <col min="7" max="7" width="13.42578125" customWidth="1"/>
    <col min="9" max="9" width="14.5703125" customWidth="1"/>
    <col min="10" max="10" width="20.7109375" customWidth="1"/>
  </cols>
  <sheetData>
    <row r="1" spans="1:45" ht="34.5" x14ac:dyDescent="0.4">
      <c r="A1" s="6" t="s">
        <v>7</v>
      </c>
      <c r="B1" s="4" t="s">
        <v>33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8" spans="1:45" x14ac:dyDescent="0.25">
      <c r="A8" s="128" t="s">
        <v>0</v>
      </c>
      <c r="B8" s="128" t="s">
        <v>9</v>
      </c>
      <c r="C8" s="128"/>
      <c r="D8" s="127" t="s">
        <v>10</v>
      </c>
      <c r="E8" s="127"/>
      <c r="F8" s="127"/>
      <c r="G8" s="127" t="s">
        <v>5</v>
      </c>
      <c r="H8" s="127" t="s">
        <v>4</v>
      </c>
      <c r="I8" s="127" t="s">
        <v>31</v>
      </c>
      <c r="J8" s="127" t="s">
        <v>32</v>
      </c>
    </row>
    <row r="9" spans="1:45" ht="30" x14ac:dyDescent="0.25">
      <c r="A9" s="128"/>
      <c r="B9" s="7" t="s">
        <v>1</v>
      </c>
      <c r="C9" s="7" t="s">
        <v>2</v>
      </c>
      <c r="D9" s="8" t="s">
        <v>3</v>
      </c>
      <c r="E9" s="8" t="s">
        <v>8</v>
      </c>
      <c r="F9" s="8" t="s">
        <v>13</v>
      </c>
      <c r="G9" s="127"/>
      <c r="H9" s="127"/>
      <c r="I9" s="127"/>
      <c r="J9" s="127"/>
    </row>
    <row r="10" spans="1:45" x14ac:dyDescent="0.25">
      <c r="A10" s="12"/>
      <c r="B10" s="2"/>
      <c r="C10" s="2"/>
      <c r="D10" s="11"/>
      <c r="E10" s="11"/>
      <c r="F10" s="11"/>
      <c r="G10" s="1"/>
      <c r="H10" s="1"/>
      <c r="I10" s="1"/>
      <c r="J10" s="1"/>
    </row>
    <row r="11" spans="1:45" x14ac:dyDescent="0.25">
      <c r="A11" s="10" t="s">
        <v>11</v>
      </c>
      <c r="B11" s="10">
        <f>SUM(B12:B30)</f>
        <v>83</v>
      </c>
      <c r="C11" s="10">
        <f>SUM(C12:C30)</f>
        <v>41</v>
      </c>
      <c r="D11" s="10">
        <f>SUM(D12:D30)</f>
        <v>19</v>
      </c>
      <c r="E11" s="10"/>
      <c r="F11" s="10"/>
      <c r="G11" s="10" t="s">
        <v>30</v>
      </c>
      <c r="H11" s="10">
        <v>1</v>
      </c>
      <c r="I11" s="10"/>
      <c r="J11" s="10"/>
    </row>
    <row r="12" spans="1:45" outlineLevel="1" x14ac:dyDescent="0.25">
      <c r="A12" t="s">
        <v>12</v>
      </c>
      <c r="B12" s="9">
        <v>3</v>
      </c>
      <c r="C12" s="9">
        <v>0</v>
      </c>
      <c r="D12" s="9">
        <v>1</v>
      </c>
      <c r="E12" s="9" t="s">
        <v>6</v>
      </c>
      <c r="F12" s="9">
        <v>4305</v>
      </c>
    </row>
    <row r="13" spans="1:45" outlineLevel="1" x14ac:dyDescent="0.25">
      <c r="B13" s="10">
        <v>2</v>
      </c>
      <c r="C13" s="10">
        <v>1</v>
      </c>
      <c r="D13" s="10">
        <v>1</v>
      </c>
      <c r="E13" s="10" t="s">
        <v>15</v>
      </c>
      <c r="F13" s="10">
        <v>4301</v>
      </c>
    </row>
    <row r="14" spans="1:45" outlineLevel="1" x14ac:dyDescent="0.25">
      <c r="B14" s="10">
        <v>3</v>
      </c>
      <c r="C14" s="10">
        <v>0</v>
      </c>
      <c r="D14" s="10">
        <v>1</v>
      </c>
      <c r="E14" s="10" t="s">
        <v>16</v>
      </c>
      <c r="F14" s="10">
        <v>4305</v>
      </c>
    </row>
    <row r="15" spans="1:45" outlineLevel="1" x14ac:dyDescent="0.25">
      <c r="B15" s="10">
        <v>2</v>
      </c>
      <c r="C15" s="10">
        <v>3</v>
      </c>
      <c r="D15" s="10">
        <v>1</v>
      </c>
      <c r="E15" s="10" t="s">
        <v>17</v>
      </c>
      <c r="F15" s="10">
        <v>4306</v>
      </c>
    </row>
    <row r="16" spans="1:45" outlineLevel="1" x14ac:dyDescent="0.25">
      <c r="B16" s="10">
        <v>4</v>
      </c>
      <c r="C16" s="10">
        <v>0</v>
      </c>
      <c r="D16" s="10">
        <v>1</v>
      </c>
      <c r="E16" s="10" t="s">
        <v>18</v>
      </c>
      <c r="F16" s="10">
        <v>4340</v>
      </c>
    </row>
    <row r="17" spans="1:6" outlineLevel="1" x14ac:dyDescent="0.25">
      <c r="B17" s="10">
        <v>2</v>
      </c>
      <c r="C17" s="10">
        <v>1</v>
      </c>
      <c r="D17" s="10">
        <v>1</v>
      </c>
      <c r="E17" s="10" t="s">
        <v>19</v>
      </c>
      <c r="F17" s="10">
        <v>4306</v>
      </c>
    </row>
    <row r="18" spans="1:6" outlineLevel="1" x14ac:dyDescent="0.25">
      <c r="B18" s="10">
        <v>9</v>
      </c>
      <c r="C18" s="10">
        <v>0</v>
      </c>
      <c r="D18" s="10">
        <v>1</v>
      </c>
      <c r="E18" s="10" t="s">
        <v>20</v>
      </c>
      <c r="F18" s="10">
        <v>4311</v>
      </c>
    </row>
    <row r="19" spans="1:6" outlineLevel="1" x14ac:dyDescent="0.25">
      <c r="B19" s="10">
        <v>10</v>
      </c>
      <c r="C19" s="10">
        <v>0</v>
      </c>
      <c r="D19" s="10">
        <v>1</v>
      </c>
      <c r="E19" s="10" t="s">
        <v>21</v>
      </c>
      <c r="F19" s="10">
        <v>4305</v>
      </c>
    </row>
    <row r="20" spans="1:6" outlineLevel="1" x14ac:dyDescent="0.25">
      <c r="B20" s="10">
        <v>2</v>
      </c>
      <c r="C20" s="10">
        <v>0</v>
      </c>
      <c r="D20" s="10">
        <v>1</v>
      </c>
      <c r="E20" s="10" t="s">
        <v>22</v>
      </c>
      <c r="F20" s="10">
        <v>4304</v>
      </c>
    </row>
    <row r="21" spans="1:6" outlineLevel="1" x14ac:dyDescent="0.25">
      <c r="B21" s="10">
        <v>2</v>
      </c>
      <c r="C21" s="10">
        <v>0</v>
      </c>
      <c r="D21" s="10">
        <v>1</v>
      </c>
      <c r="E21" s="10" t="s">
        <v>23</v>
      </c>
      <c r="F21" s="10">
        <v>4305</v>
      </c>
    </row>
    <row r="22" spans="1:6" outlineLevel="1" x14ac:dyDescent="0.25">
      <c r="B22" s="10">
        <v>6</v>
      </c>
      <c r="C22" s="10">
        <v>1</v>
      </c>
      <c r="D22" s="10">
        <v>1</v>
      </c>
      <c r="E22" s="10" t="s">
        <v>24</v>
      </c>
      <c r="F22" s="10">
        <v>4306</v>
      </c>
    </row>
    <row r="23" spans="1:6" outlineLevel="1" x14ac:dyDescent="0.25">
      <c r="B23" s="10">
        <v>1</v>
      </c>
      <c r="C23" s="10">
        <v>0</v>
      </c>
      <c r="D23" s="10">
        <v>1</v>
      </c>
      <c r="E23" s="10" t="s">
        <v>25</v>
      </c>
      <c r="F23" s="10">
        <v>4305</v>
      </c>
    </row>
    <row r="24" spans="1:6" outlineLevel="1" x14ac:dyDescent="0.25">
      <c r="B24" s="10">
        <v>3</v>
      </c>
      <c r="C24" s="10">
        <v>0</v>
      </c>
      <c r="D24" s="10">
        <v>1</v>
      </c>
      <c r="E24" s="10" t="s">
        <v>26</v>
      </c>
      <c r="F24" s="10">
        <v>4311</v>
      </c>
    </row>
    <row r="25" spans="1:6" outlineLevel="1" x14ac:dyDescent="0.25">
      <c r="B25" s="10">
        <v>5</v>
      </c>
      <c r="C25" s="10">
        <v>0</v>
      </c>
      <c r="D25" s="10">
        <v>1</v>
      </c>
      <c r="E25" s="10" t="s">
        <v>27</v>
      </c>
      <c r="F25" s="10">
        <v>4305</v>
      </c>
    </row>
    <row r="26" spans="1:6" outlineLevel="1" x14ac:dyDescent="0.25">
      <c r="B26" s="10">
        <v>2</v>
      </c>
      <c r="C26" s="10">
        <v>4</v>
      </c>
      <c r="D26" s="10">
        <v>1</v>
      </c>
      <c r="E26" s="10" t="s">
        <v>23</v>
      </c>
      <c r="F26" s="10">
        <v>4305</v>
      </c>
    </row>
    <row r="27" spans="1:6" outlineLevel="1" x14ac:dyDescent="0.25">
      <c r="B27" s="10">
        <v>10</v>
      </c>
      <c r="C27" s="10">
        <v>14</v>
      </c>
      <c r="D27" s="10">
        <v>1</v>
      </c>
      <c r="E27" s="10" t="s">
        <v>6</v>
      </c>
      <c r="F27" s="10">
        <v>4305</v>
      </c>
    </row>
    <row r="28" spans="1:6" outlineLevel="1" x14ac:dyDescent="0.25">
      <c r="B28" s="10">
        <v>11</v>
      </c>
      <c r="C28" s="10">
        <v>16</v>
      </c>
      <c r="D28" s="10">
        <v>1</v>
      </c>
      <c r="E28" s="10" t="s">
        <v>14</v>
      </c>
      <c r="F28" s="10">
        <v>4305</v>
      </c>
    </row>
    <row r="29" spans="1:6" outlineLevel="1" x14ac:dyDescent="0.25">
      <c r="B29" s="10">
        <v>3</v>
      </c>
      <c r="C29" s="10">
        <v>1</v>
      </c>
      <c r="D29" s="10">
        <v>1</v>
      </c>
      <c r="E29" s="10" t="s">
        <v>28</v>
      </c>
      <c r="F29" s="10">
        <v>4305</v>
      </c>
    </row>
    <row r="30" spans="1:6" outlineLevel="1" x14ac:dyDescent="0.25">
      <c r="B30" s="10">
        <v>3</v>
      </c>
      <c r="C30" s="10">
        <v>0</v>
      </c>
      <c r="D30" s="10">
        <v>1</v>
      </c>
      <c r="E30" s="10" t="s">
        <v>29</v>
      </c>
      <c r="F30" s="10">
        <v>4300</v>
      </c>
    </row>
    <row r="32" spans="1:6" x14ac:dyDescent="0.25">
      <c r="A32" t="s">
        <v>34</v>
      </c>
    </row>
  </sheetData>
  <mergeCells count="7">
    <mergeCell ref="D8:F8"/>
    <mergeCell ref="J8:J9"/>
    <mergeCell ref="I8:I9"/>
    <mergeCell ref="B8:C8"/>
    <mergeCell ref="A8:A9"/>
    <mergeCell ref="G8:G9"/>
    <mergeCell ref="H8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8"/>
  <sheetViews>
    <sheetView showGridLines="0" tabSelected="1" zoomScale="90" zoomScaleNormal="90" workbookViewId="0">
      <selection activeCell="B22" sqref="B22"/>
    </sheetView>
  </sheetViews>
  <sheetFormatPr defaultColWidth="9.140625" defaultRowHeight="15" x14ac:dyDescent="0.25"/>
  <cols>
    <col min="1" max="1" width="8.85546875" style="14" bestFit="1" customWidth="1"/>
    <col min="2" max="2" width="34.42578125" style="13" customWidth="1"/>
    <col min="3" max="3" width="23.7109375" style="13" customWidth="1"/>
    <col min="4" max="4" width="35.28515625" style="13" customWidth="1"/>
    <col min="5" max="5" width="26.5703125" style="13" customWidth="1"/>
    <col min="6" max="6" width="13" style="13" customWidth="1"/>
    <col min="7" max="7" width="9.140625" style="13"/>
    <col min="8" max="8" width="72.85546875" style="13" customWidth="1"/>
    <col min="9" max="9" width="4.7109375" style="13" customWidth="1"/>
    <col min="10" max="13" width="9.140625" style="13"/>
    <col min="14" max="14" width="122.7109375" style="13" customWidth="1"/>
    <col min="15" max="16384" width="9.140625" style="13"/>
  </cols>
  <sheetData>
    <row r="2" spans="1:8" ht="36" customHeight="1" x14ac:dyDescent="0.25">
      <c r="A2" s="125" t="s">
        <v>71</v>
      </c>
      <c r="B2" s="125"/>
      <c r="C2" s="125"/>
      <c r="D2" s="125"/>
      <c r="E2" s="125"/>
      <c r="F2" s="125"/>
      <c r="G2" s="125"/>
      <c r="H2" s="125"/>
    </row>
    <row r="4" spans="1:8" ht="18" x14ac:dyDescent="0.25">
      <c r="A4" s="44" t="s">
        <v>72</v>
      </c>
      <c r="B4" s="45" t="s">
        <v>73</v>
      </c>
      <c r="C4" s="126" t="s">
        <v>74</v>
      </c>
      <c r="D4" s="126"/>
      <c r="E4" s="126"/>
      <c r="F4" s="126"/>
      <c r="G4" s="126"/>
      <c r="H4" s="126"/>
    </row>
    <row r="5" spans="1:8" ht="15.75" x14ac:dyDescent="0.25">
      <c r="A5" s="46">
        <v>1</v>
      </c>
      <c r="B5" s="47" t="s">
        <v>75</v>
      </c>
      <c r="C5" s="120" t="s">
        <v>139</v>
      </c>
      <c r="D5" s="120"/>
      <c r="E5" s="120"/>
      <c r="F5" s="120"/>
      <c r="G5" s="120"/>
      <c r="H5" s="120"/>
    </row>
    <row r="6" spans="1:8" ht="15.75" x14ac:dyDescent="0.25">
      <c r="A6" s="46">
        <v>2</v>
      </c>
      <c r="B6" s="47" t="s">
        <v>76</v>
      </c>
      <c r="C6" s="120" t="s">
        <v>138</v>
      </c>
      <c r="D6" s="120"/>
      <c r="E6" s="120"/>
      <c r="F6" s="120"/>
      <c r="G6" s="120"/>
      <c r="H6" s="120"/>
    </row>
    <row r="7" spans="1:8" ht="15.75" x14ac:dyDescent="0.25">
      <c r="A7" s="46">
        <v>3</v>
      </c>
      <c r="B7" s="47" t="s">
        <v>77</v>
      </c>
      <c r="C7" s="120" t="s">
        <v>140</v>
      </c>
      <c r="D7" s="120"/>
      <c r="E7" s="120"/>
      <c r="F7" s="120"/>
      <c r="G7" s="120"/>
      <c r="H7" s="120"/>
    </row>
    <row r="8" spans="1:8" ht="15.75" x14ac:dyDescent="0.25">
      <c r="A8" s="46">
        <v>4</v>
      </c>
      <c r="B8" s="47" t="s">
        <v>33</v>
      </c>
      <c r="C8" s="120" t="s">
        <v>78</v>
      </c>
      <c r="D8" s="120"/>
      <c r="E8" s="120"/>
      <c r="F8" s="120"/>
      <c r="G8" s="120"/>
      <c r="H8" s="120"/>
    </row>
    <row r="9" spans="1:8" ht="15.75" x14ac:dyDescent="0.25">
      <c r="A9" s="46">
        <v>5</v>
      </c>
      <c r="B9" s="47" t="s">
        <v>79</v>
      </c>
      <c r="C9" s="120" t="s">
        <v>80</v>
      </c>
      <c r="D9" s="120"/>
      <c r="E9" s="120"/>
      <c r="F9" s="120"/>
      <c r="G9" s="120"/>
      <c r="H9" s="120"/>
    </row>
    <row r="10" spans="1:8" ht="15.75" x14ac:dyDescent="0.25">
      <c r="A10" s="46">
        <v>6</v>
      </c>
      <c r="B10" s="47" t="s">
        <v>70</v>
      </c>
      <c r="C10" s="120" t="s">
        <v>81</v>
      </c>
      <c r="D10" s="120"/>
      <c r="E10" s="120"/>
      <c r="F10" s="120"/>
      <c r="G10" s="120"/>
      <c r="H10" s="120"/>
    </row>
    <row r="13" spans="1:8" ht="18" x14ac:dyDescent="0.25">
      <c r="A13" s="121" t="s">
        <v>141</v>
      </c>
      <c r="B13" s="121"/>
      <c r="C13" s="121"/>
      <c r="D13" s="121"/>
      <c r="E13" s="121"/>
      <c r="F13" s="121"/>
      <c r="G13" s="121"/>
      <c r="H13" s="121"/>
    </row>
    <row r="14" spans="1:8" x14ac:dyDescent="0.25">
      <c r="A14" s="122" t="s">
        <v>83</v>
      </c>
      <c r="B14" s="123"/>
      <c r="C14" s="123"/>
      <c r="D14" s="123"/>
      <c r="E14" s="123"/>
      <c r="F14" s="123"/>
      <c r="G14" s="123"/>
      <c r="H14" s="124"/>
    </row>
    <row r="15" spans="1:8" x14ac:dyDescent="0.25">
      <c r="A15" s="114" t="s">
        <v>84</v>
      </c>
      <c r="B15" s="116"/>
      <c r="C15" s="117" t="s">
        <v>85</v>
      </c>
      <c r="D15" s="118"/>
      <c r="E15" s="118"/>
      <c r="F15" s="118"/>
      <c r="G15" s="118"/>
      <c r="H15" s="119"/>
    </row>
    <row r="16" spans="1:8" x14ac:dyDescent="0.25">
      <c r="A16" s="114" t="s">
        <v>86</v>
      </c>
      <c r="B16" s="116"/>
      <c r="C16" s="117" t="s">
        <v>87</v>
      </c>
      <c r="D16" s="118"/>
      <c r="E16" s="118"/>
      <c r="F16" s="118"/>
      <c r="G16" s="118"/>
      <c r="H16" s="119"/>
    </row>
    <row r="17" spans="1:8" x14ac:dyDescent="0.25">
      <c r="A17" s="114" t="s">
        <v>88</v>
      </c>
      <c r="B17" s="116"/>
      <c r="C17" s="117" t="s">
        <v>89</v>
      </c>
      <c r="D17" s="118"/>
      <c r="E17" s="118"/>
      <c r="F17" s="118"/>
      <c r="G17" s="118"/>
      <c r="H17" s="119"/>
    </row>
    <row r="18" spans="1:8" x14ac:dyDescent="0.25">
      <c r="A18" s="114" t="s">
        <v>90</v>
      </c>
      <c r="B18" s="115"/>
      <c r="C18" s="117" t="s">
        <v>91</v>
      </c>
      <c r="D18" s="118"/>
      <c r="E18" s="118"/>
      <c r="F18" s="118"/>
      <c r="G18" s="118"/>
      <c r="H18" s="119"/>
    </row>
  </sheetData>
  <mergeCells count="18">
    <mergeCell ref="C8:H8"/>
    <mergeCell ref="A2:H2"/>
    <mergeCell ref="C4:H4"/>
    <mergeCell ref="C5:H5"/>
    <mergeCell ref="C6:H6"/>
    <mergeCell ref="C7:H7"/>
    <mergeCell ref="C9:H9"/>
    <mergeCell ref="C10:H10"/>
    <mergeCell ref="A13:H13"/>
    <mergeCell ref="A14:H14"/>
    <mergeCell ref="A15:B15"/>
    <mergeCell ref="C15:H15"/>
    <mergeCell ref="A18:B18"/>
    <mergeCell ref="A17:B17"/>
    <mergeCell ref="A16:B16"/>
    <mergeCell ref="C18:H18"/>
    <mergeCell ref="C17:H17"/>
    <mergeCell ref="C16:H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0"/>
  <sheetViews>
    <sheetView showGridLines="0" topLeftCell="A32" zoomScale="80" zoomScaleNormal="80" workbookViewId="0">
      <selection activeCell="D56" sqref="D56:F56"/>
    </sheetView>
  </sheetViews>
  <sheetFormatPr defaultColWidth="9.140625" defaultRowHeight="15" x14ac:dyDescent="0.25"/>
  <cols>
    <col min="1" max="1" width="12.140625" style="14" customWidth="1"/>
    <col min="2" max="2" width="22.42578125" style="13" customWidth="1"/>
    <col min="3" max="3" width="18.85546875" style="13" customWidth="1"/>
    <col min="4" max="4" width="41.42578125" style="13" customWidth="1"/>
    <col min="5" max="5" width="55.42578125" style="13" bestFit="1" customWidth="1"/>
    <col min="6" max="6" width="13" style="13" customWidth="1"/>
    <col min="7" max="7" width="3.42578125" style="13" customWidth="1"/>
    <col min="8" max="8" width="41.85546875" style="13" customWidth="1"/>
    <col min="9" max="9" width="35" style="13" customWidth="1"/>
    <col min="10" max="10" width="22.85546875" style="13" customWidth="1"/>
    <col min="11" max="11" width="27" style="13" customWidth="1"/>
    <col min="12" max="14" width="32.140625" style="13" customWidth="1"/>
    <col min="15" max="15" width="45.42578125" style="13" customWidth="1"/>
    <col min="16" max="16" width="79.5703125" style="19" customWidth="1"/>
    <col min="17" max="16384" width="9.140625" style="13"/>
  </cols>
  <sheetData>
    <row r="1" spans="1:27" ht="34.5" x14ac:dyDescent="0.25">
      <c r="A1" s="6" t="s">
        <v>164</v>
      </c>
      <c r="B1" s="4" t="s">
        <v>92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3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" customHeight="1" x14ac:dyDescent="0.25">
      <c r="A2" s="43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74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x14ac:dyDescent="0.25">
      <c r="J3" s="149"/>
      <c r="K3" s="149"/>
    </row>
    <row r="4" spans="1:27" ht="36" customHeight="1" x14ac:dyDescent="0.25">
      <c r="A4" s="150" t="s">
        <v>82</v>
      </c>
      <c r="B4" s="150"/>
      <c r="C4" s="150"/>
      <c r="D4" s="150"/>
      <c r="E4" s="150"/>
      <c r="F4" s="150"/>
      <c r="G4" s="14"/>
      <c r="H4" s="150" t="s">
        <v>142</v>
      </c>
      <c r="I4" s="150"/>
      <c r="J4" s="150"/>
      <c r="K4" s="150"/>
      <c r="L4" s="150"/>
      <c r="M4" s="150"/>
      <c r="N4" s="150"/>
      <c r="O4" s="150"/>
      <c r="P4" s="150"/>
    </row>
    <row r="6" spans="1:27" ht="18" x14ac:dyDescent="0.25">
      <c r="A6" s="151" t="s">
        <v>93</v>
      </c>
      <c r="B6" s="152"/>
      <c r="C6" s="153"/>
      <c r="D6" s="154" t="s">
        <v>94</v>
      </c>
      <c r="E6" s="154"/>
      <c r="F6" s="154"/>
      <c r="G6" s="20"/>
      <c r="H6" s="155" t="s">
        <v>95</v>
      </c>
      <c r="I6" s="156"/>
      <c r="J6" s="155" t="s">
        <v>96</v>
      </c>
      <c r="K6" s="157"/>
      <c r="L6" s="155" t="s">
        <v>158</v>
      </c>
      <c r="M6" s="157"/>
      <c r="N6" s="157"/>
      <c r="O6" s="78" t="s">
        <v>150</v>
      </c>
      <c r="P6" s="72" t="s">
        <v>97</v>
      </c>
    </row>
    <row r="7" spans="1:27" s="49" customFormat="1" ht="74.25" customHeight="1" x14ac:dyDescent="0.25">
      <c r="A7" s="21" t="s">
        <v>98</v>
      </c>
      <c r="B7" s="21" t="s">
        <v>99</v>
      </c>
      <c r="C7" s="21" t="s">
        <v>100</v>
      </c>
      <c r="D7" s="21" t="s">
        <v>101</v>
      </c>
      <c r="E7" s="21" t="s">
        <v>102</v>
      </c>
      <c r="F7" s="21" t="s">
        <v>103</v>
      </c>
      <c r="G7" s="48"/>
      <c r="H7" s="21" t="s">
        <v>104</v>
      </c>
      <c r="I7" s="21" t="s">
        <v>105</v>
      </c>
      <c r="J7" s="21" t="s">
        <v>106</v>
      </c>
      <c r="K7" s="21" t="s">
        <v>107</v>
      </c>
      <c r="L7" s="21" t="s">
        <v>156</v>
      </c>
      <c r="M7" s="21" t="s">
        <v>155</v>
      </c>
      <c r="N7" s="21" t="s">
        <v>157</v>
      </c>
      <c r="O7" s="21" t="s">
        <v>149</v>
      </c>
      <c r="P7" s="21" t="s">
        <v>108</v>
      </c>
    </row>
    <row r="9" spans="1:27" ht="15" customHeight="1" x14ac:dyDescent="0.25">
      <c r="A9" s="129">
        <v>1</v>
      </c>
      <c r="B9" s="129" t="s">
        <v>109</v>
      </c>
      <c r="C9" s="145">
        <v>1</v>
      </c>
      <c r="D9" s="25" t="s">
        <v>56</v>
      </c>
      <c r="E9" s="25" t="s">
        <v>110</v>
      </c>
      <c r="F9" s="50"/>
      <c r="G9" s="26"/>
      <c r="H9" s="51"/>
      <c r="I9" s="51"/>
      <c r="J9" s="51"/>
      <c r="K9" s="51"/>
      <c r="L9" s="146"/>
      <c r="M9" s="79"/>
      <c r="N9" s="79"/>
      <c r="O9" s="79"/>
      <c r="P9" s="75"/>
    </row>
    <row r="10" spans="1:27" ht="20.25" customHeight="1" x14ac:dyDescent="0.25">
      <c r="A10" s="129"/>
      <c r="B10" s="129"/>
      <c r="C10" s="145"/>
      <c r="D10" s="25" t="s">
        <v>57</v>
      </c>
      <c r="E10" s="25" t="s">
        <v>111</v>
      </c>
      <c r="F10" s="27"/>
      <c r="G10" s="26"/>
      <c r="H10" s="52"/>
      <c r="I10" s="52"/>
      <c r="J10" s="52"/>
      <c r="K10" s="52"/>
      <c r="L10" s="147"/>
      <c r="M10" s="80"/>
      <c r="N10" s="80"/>
      <c r="O10" s="80"/>
      <c r="P10" s="75"/>
    </row>
    <row r="11" spans="1:27" ht="15" customHeight="1" x14ac:dyDescent="0.35">
      <c r="A11" s="53"/>
      <c r="B11" s="53"/>
      <c r="C11" s="26"/>
      <c r="D11" s="132" t="s">
        <v>112</v>
      </c>
      <c r="E11" s="25" t="s">
        <v>113</v>
      </c>
      <c r="F11" s="133"/>
      <c r="G11" s="26"/>
      <c r="H11" s="136" t="s">
        <v>143</v>
      </c>
      <c r="I11" s="137"/>
      <c r="J11" s="137"/>
      <c r="K11" s="41"/>
      <c r="L11" s="51"/>
      <c r="M11" s="51"/>
      <c r="N11" s="51"/>
      <c r="O11" s="51"/>
      <c r="P11" s="77"/>
    </row>
    <row r="12" spans="1:27" ht="15" customHeight="1" x14ac:dyDescent="0.35">
      <c r="A12" s="53"/>
      <c r="B12" s="53"/>
      <c r="C12" s="26"/>
      <c r="D12" s="132"/>
      <c r="E12" s="25" t="s">
        <v>114</v>
      </c>
      <c r="F12" s="134"/>
      <c r="G12" s="26"/>
      <c r="H12" s="138"/>
      <c r="I12" s="139"/>
      <c r="J12" s="139"/>
      <c r="K12" s="29"/>
      <c r="L12" s="51"/>
      <c r="M12" s="51"/>
      <c r="N12" s="51"/>
      <c r="O12" s="51"/>
      <c r="P12" s="77"/>
    </row>
    <row r="13" spans="1:27" ht="15" customHeight="1" x14ac:dyDescent="0.35">
      <c r="A13" s="53"/>
      <c r="B13" s="53"/>
      <c r="C13" s="26"/>
      <c r="D13" s="132"/>
      <c r="E13" s="25" t="s">
        <v>115</v>
      </c>
      <c r="F13" s="134"/>
      <c r="G13" s="26"/>
      <c r="H13" s="138"/>
      <c r="I13" s="139"/>
      <c r="J13" s="139"/>
      <c r="K13" s="29"/>
      <c r="L13" s="51"/>
      <c r="M13" s="51"/>
      <c r="N13" s="51"/>
      <c r="O13" s="51"/>
      <c r="P13" s="77"/>
    </row>
    <row r="14" spans="1:27" ht="15" customHeight="1" x14ac:dyDescent="0.35">
      <c r="A14" s="53"/>
      <c r="B14" s="53"/>
      <c r="C14" s="26"/>
      <c r="D14" s="132"/>
      <c r="E14" s="25" t="s">
        <v>116</v>
      </c>
      <c r="F14" s="135"/>
      <c r="G14" s="26"/>
      <c r="H14" s="140"/>
      <c r="I14" s="141"/>
      <c r="J14" s="141"/>
      <c r="K14" s="54"/>
      <c r="L14" s="51"/>
      <c r="M14" s="51"/>
      <c r="N14" s="51"/>
      <c r="O14" s="51"/>
      <c r="P14" s="77"/>
    </row>
    <row r="15" spans="1:27" ht="15" customHeight="1" x14ac:dyDescent="0.35">
      <c r="A15" s="53"/>
      <c r="B15" s="53"/>
      <c r="C15" s="26"/>
      <c r="D15" s="3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76"/>
    </row>
    <row r="16" spans="1:27" ht="15.75" customHeight="1" x14ac:dyDescent="0.25">
      <c r="A16" s="56"/>
      <c r="B16" s="57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76"/>
    </row>
    <row r="17" spans="1:16" ht="15" customHeight="1" x14ac:dyDescent="0.25">
      <c r="A17" s="129">
        <v>2</v>
      </c>
      <c r="B17" s="129" t="s">
        <v>117</v>
      </c>
      <c r="C17" s="148" t="s">
        <v>118</v>
      </c>
      <c r="D17" s="25" t="s">
        <v>56</v>
      </c>
      <c r="E17" s="25" t="s">
        <v>110</v>
      </c>
      <c r="F17" s="50"/>
      <c r="G17" s="26"/>
      <c r="H17" s="51"/>
      <c r="I17" s="51"/>
      <c r="J17" s="51"/>
      <c r="K17" s="51"/>
      <c r="L17" s="42"/>
      <c r="M17" s="42"/>
      <c r="N17" s="42"/>
      <c r="O17" s="42"/>
      <c r="P17" s="77"/>
    </row>
    <row r="18" spans="1:16" ht="15" customHeight="1" x14ac:dyDescent="0.25">
      <c r="A18" s="129"/>
      <c r="B18" s="129"/>
      <c r="C18" s="148"/>
      <c r="D18" s="25" t="s">
        <v>57</v>
      </c>
      <c r="E18" s="25" t="s">
        <v>111</v>
      </c>
      <c r="F18" s="27"/>
      <c r="G18" s="26"/>
      <c r="H18" s="51"/>
      <c r="I18" s="51"/>
      <c r="J18" s="51"/>
      <c r="K18" s="51"/>
      <c r="L18" s="28"/>
      <c r="M18" s="28"/>
      <c r="N18" s="28"/>
      <c r="O18" s="28"/>
      <c r="P18" s="77"/>
    </row>
    <row r="19" spans="1:16" ht="15" customHeight="1" x14ac:dyDescent="0.25">
      <c r="A19" s="129"/>
      <c r="B19" s="129"/>
      <c r="C19" s="148"/>
      <c r="D19" s="30" t="s">
        <v>119</v>
      </c>
      <c r="E19" s="25" t="s">
        <v>120</v>
      </c>
      <c r="F19" s="25"/>
      <c r="G19" s="26"/>
      <c r="H19" s="51"/>
      <c r="I19" s="51"/>
      <c r="J19" s="51"/>
      <c r="K19" s="51"/>
      <c r="L19" s="28"/>
      <c r="M19" s="28"/>
      <c r="N19" s="28"/>
      <c r="O19" s="28"/>
      <c r="P19" s="77"/>
    </row>
    <row r="20" spans="1:16" ht="15" customHeight="1" x14ac:dyDescent="0.25">
      <c r="A20" s="129"/>
      <c r="B20" s="129"/>
      <c r="C20" s="148"/>
      <c r="D20" s="30" t="s">
        <v>42</v>
      </c>
      <c r="E20" s="25"/>
      <c r="F20" s="30"/>
      <c r="G20" s="26"/>
      <c r="H20" s="51"/>
      <c r="I20" s="51"/>
      <c r="J20" s="51"/>
      <c r="K20" s="51"/>
      <c r="L20" s="28"/>
      <c r="M20" s="28"/>
      <c r="N20" s="28"/>
      <c r="O20" s="28"/>
      <c r="P20" s="77"/>
    </row>
    <row r="21" spans="1:16" ht="15" customHeight="1" x14ac:dyDescent="0.25">
      <c r="A21" s="129"/>
      <c r="B21" s="129"/>
      <c r="C21" s="148"/>
      <c r="D21" s="30" t="s">
        <v>36</v>
      </c>
      <c r="E21" s="25" t="s">
        <v>121</v>
      </c>
      <c r="F21" s="50"/>
      <c r="G21" s="26"/>
      <c r="H21" s="51"/>
      <c r="I21" s="51"/>
      <c r="J21" s="51"/>
      <c r="K21" s="51"/>
      <c r="L21" s="28"/>
      <c r="M21" s="28"/>
      <c r="N21" s="28"/>
      <c r="O21" s="28"/>
      <c r="P21" s="77"/>
    </row>
    <row r="22" spans="1:16" ht="15" customHeight="1" x14ac:dyDescent="0.25">
      <c r="A22" s="129"/>
      <c r="B22" s="129"/>
      <c r="C22" s="148"/>
      <c r="D22" s="30" t="s">
        <v>37</v>
      </c>
      <c r="E22" s="25" t="s">
        <v>122</v>
      </c>
      <c r="F22" s="50"/>
      <c r="G22" s="26"/>
      <c r="H22" s="51"/>
      <c r="I22" s="51"/>
      <c r="J22" s="51"/>
      <c r="K22" s="51"/>
      <c r="L22" s="28"/>
      <c r="M22" s="28"/>
      <c r="N22" s="28"/>
      <c r="O22" s="28"/>
      <c r="P22" s="77"/>
    </row>
    <row r="23" spans="1:16" ht="15" customHeight="1" x14ac:dyDescent="0.25">
      <c r="A23" s="129"/>
      <c r="B23" s="129"/>
      <c r="C23" s="148"/>
      <c r="D23" s="30" t="s">
        <v>39</v>
      </c>
      <c r="E23" s="25"/>
      <c r="F23" s="50"/>
      <c r="G23" s="26"/>
      <c r="H23" s="51"/>
      <c r="I23" s="51"/>
      <c r="J23" s="51"/>
      <c r="K23" s="51"/>
      <c r="L23" s="28"/>
      <c r="M23" s="28"/>
      <c r="N23" s="28"/>
      <c r="O23" s="28"/>
      <c r="P23" s="77"/>
    </row>
    <row r="24" spans="1:16" ht="15" customHeight="1" x14ac:dyDescent="0.25">
      <c r="A24" s="129"/>
      <c r="B24" s="129"/>
      <c r="C24" s="148"/>
      <c r="D24" s="30" t="s">
        <v>40</v>
      </c>
      <c r="E24" s="24" t="s">
        <v>123</v>
      </c>
      <c r="F24" s="50"/>
      <c r="G24" s="26"/>
      <c r="H24" s="51"/>
      <c r="I24" s="51"/>
      <c r="J24" s="51"/>
      <c r="K24" s="51"/>
      <c r="L24" s="28"/>
      <c r="M24" s="28"/>
      <c r="N24" s="28"/>
      <c r="O24" s="28"/>
      <c r="P24" s="77"/>
    </row>
    <row r="25" spans="1:16" ht="15" customHeight="1" x14ac:dyDescent="0.25">
      <c r="A25" s="129"/>
      <c r="B25" s="129"/>
      <c r="C25" s="148"/>
      <c r="D25" s="30" t="s">
        <v>41</v>
      </c>
      <c r="E25" s="25" t="s">
        <v>124</v>
      </c>
      <c r="F25" s="50"/>
      <c r="G25" s="26"/>
      <c r="H25" s="52"/>
      <c r="I25" s="52"/>
      <c r="J25" s="52"/>
      <c r="K25" s="51"/>
      <c r="L25" s="28"/>
      <c r="M25" s="28"/>
      <c r="N25" s="28"/>
      <c r="O25" s="28"/>
      <c r="P25" s="77"/>
    </row>
    <row r="26" spans="1:16" ht="15" customHeight="1" x14ac:dyDescent="0.25">
      <c r="A26" s="129"/>
      <c r="B26" s="129"/>
      <c r="C26" s="148"/>
      <c r="D26" s="30" t="s">
        <v>62</v>
      </c>
      <c r="E26" s="30" t="s">
        <v>125</v>
      </c>
      <c r="F26" s="50"/>
      <c r="G26" s="26"/>
      <c r="H26" s="52"/>
      <c r="I26" s="52"/>
      <c r="J26" s="52"/>
      <c r="K26" s="51"/>
      <c r="L26" s="28"/>
      <c r="M26" s="28"/>
      <c r="N26" s="28"/>
      <c r="O26" s="28"/>
      <c r="P26" s="77"/>
    </row>
    <row r="27" spans="1:16" ht="15" customHeight="1" x14ac:dyDescent="0.25">
      <c r="A27" s="129"/>
      <c r="B27" s="129"/>
      <c r="C27" s="148"/>
      <c r="D27" s="30" t="s">
        <v>61</v>
      </c>
      <c r="E27" s="30" t="s">
        <v>126</v>
      </c>
      <c r="F27" s="50"/>
      <c r="G27" s="26"/>
      <c r="H27" s="52"/>
      <c r="I27" s="52"/>
      <c r="J27" s="52"/>
      <c r="K27" s="51"/>
      <c r="L27" s="28"/>
      <c r="M27" s="28"/>
      <c r="N27" s="28"/>
      <c r="O27" s="28"/>
      <c r="P27" s="77"/>
    </row>
    <row r="28" spans="1:16" ht="15" customHeight="1" x14ac:dyDescent="0.25">
      <c r="A28" s="129"/>
      <c r="B28" s="129"/>
      <c r="C28" s="148"/>
      <c r="D28" s="30" t="s">
        <v>127</v>
      </c>
      <c r="E28" s="25" t="s">
        <v>128</v>
      </c>
      <c r="F28" s="58"/>
      <c r="G28" s="26"/>
      <c r="H28" s="51"/>
      <c r="I28" s="51"/>
      <c r="J28" s="51"/>
      <c r="K28" s="51"/>
      <c r="L28" s="55"/>
      <c r="M28" s="55"/>
      <c r="N28" s="55"/>
      <c r="O28" s="55"/>
      <c r="P28" s="77"/>
    </row>
    <row r="29" spans="1:16" ht="15" customHeight="1" x14ac:dyDescent="0.25">
      <c r="A29" s="59"/>
      <c r="B29" s="59"/>
      <c r="C29" s="26"/>
      <c r="D29" s="132" t="s">
        <v>112</v>
      </c>
      <c r="E29" s="25" t="s">
        <v>113</v>
      </c>
      <c r="F29" s="133"/>
      <c r="G29" s="26"/>
      <c r="H29" s="136" t="s">
        <v>143</v>
      </c>
      <c r="I29" s="137"/>
      <c r="J29" s="137"/>
      <c r="K29" s="29"/>
      <c r="L29" s="51"/>
      <c r="M29" s="51"/>
      <c r="N29" s="51"/>
      <c r="O29" s="51"/>
      <c r="P29" s="77"/>
    </row>
    <row r="30" spans="1:16" ht="15" customHeight="1" x14ac:dyDescent="0.25">
      <c r="A30" s="59"/>
      <c r="B30" s="59"/>
      <c r="C30" s="26"/>
      <c r="D30" s="132"/>
      <c r="E30" s="25" t="s">
        <v>114</v>
      </c>
      <c r="F30" s="134"/>
      <c r="G30" s="26"/>
      <c r="H30" s="138"/>
      <c r="I30" s="139"/>
      <c r="J30" s="139"/>
      <c r="K30" s="29"/>
      <c r="L30" s="51"/>
      <c r="M30" s="51"/>
      <c r="N30" s="51"/>
      <c r="O30" s="51"/>
      <c r="P30" s="77"/>
    </row>
    <row r="31" spans="1:16" ht="21" x14ac:dyDescent="0.25">
      <c r="A31" s="59"/>
      <c r="B31" s="59"/>
      <c r="C31" s="26"/>
      <c r="D31" s="132"/>
      <c r="E31" s="25" t="s">
        <v>115</v>
      </c>
      <c r="F31" s="134"/>
      <c r="G31" s="26"/>
      <c r="H31" s="138"/>
      <c r="I31" s="139"/>
      <c r="J31" s="139"/>
      <c r="K31" s="29"/>
      <c r="L31" s="51"/>
      <c r="M31" s="51"/>
      <c r="N31" s="51"/>
      <c r="O31" s="51"/>
      <c r="P31" s="77"/>
    </row>
    <row r="32" spans="1:16" ht="15" customHeight="1" x14ac:dyDescent="0.25">
      <c r="A32" s="59"/>
      <c r="B32" s="59"/>
      <c r="C32" s="26"/>
      <c r="D32" s="132"/>
      <c r="E32" s="25" t="s">
        <v>116</v>
      </c>
      <c r="F32" s="135"/>
      <c r="G32" s="26"/>
      <c r="H32" s="140"/>
      <c r="I32" s="141"/>
      <c r="J32" s="141"/>
      <c r="K32" s="54"/>
      <c r="L32" s="51"/>
      <c r="M32" s="51"/>
      <c r="N32" s="51"/>
      <c r="O32" s="51"/>
      <c r="P32" s="77"/>
    </row>
    <row r="33" spans="1:16" ht="15" customHeight="1" x14ac:dyDescent="0.25">
      <c r="A33" s="59"/>
      <c r="B33" s="59"/>
      <c r="C33" s="60"/>
      <c r="D33" s="3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76"/>
    </row>
    <row r="34" spans="1:16" ht="19.5" customHeight="1" thickBot="1" x14ac:dyDescent="0.3">
      <c r="A34" s="56"/>
      <c r="B34" s="57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76"/>
    </row>
    <row r="35" spans="1:16" ht="15" customHeight="1" x14ac:dyDescent="0.25">
      <c r="A35" s="129">
        <v>3</v>
      </c>
      <c r="B35" s="130" t="s">
        <v>129</v>
      </c>
      <c r="C35" s="142" t="s">
        <v>160</v>
      </c>
      <c r="D35" s="37" t="s">
        <v>56</v>
      </c>
      <c r="E35" s="25" t="s">
        <v>110</v>
      </c>
      <c r="F35" s="50"/>
      <c r="G35" s="26"/>
      <c r="H35" s="61"/>
      <c r="I35" s="61"/>
      <c r="J35" s="51"/>
      <c r="K35" s="51"/>
      <c r="L35" s="62"/>
      <c r="M35" s="83"/>
      <c r="N35" s="83"/>
      <c r="O35" s="83"/>
      <c r="P35" s="77"/>
    </row>
    <row r="36" spans="1:16" ht="15" customHeight="1" x14ac:dyDescent="0.25">
      <c r="A36" s="129"/>
      <c r="B36" s="131"/>
      <c r="C36" s="143"/>
      <c r="D36" s="88" t="s">
        <v>147</v>
      </c>
      <c r="E36" s="25" t="s">
        <v>111</v>
      </c>
      <c r="F36" s="27"/>
      <c r="G36" s="26"/>
      <c r="H36" s="61"/>
      <c r="I36" s="61"/>
      <c r="J36" s="51"/>
      <c r="K36" s="51"/>
      <c r="L36" s="63"/>
      <c r="M36" s="84"/>
      <c r="N36" s="84"/>
      <c r="O36" s="84"/>
      <c r="P36" s="77"/>
    </row>
    <row r="37" spans="1:16" ht="15" customHeight="1" x14ac:dyDescent="0.25">
      <c r="A37" s="129"/>
      <c r="B37" s="131"/>
      <c r="C37" s="143"/>
      <c r="D37" s="27" t="s">
        <v>43</v>
      </c>
      <c r="E37" s="30" t="s">
        <v>130</v>
      </c>
      <c r="F37" s="27"/>
      <c r="G37" s="26"/>
      <c r="H37" s="61"/>
      <c r="I37" s="61"/>
      <c r="J37" s="51"/>
      <c r="K37" s="51"/>
      <c r="L37" s="63"/>
      <c r="M37" s="84"/>
      <c r="N37" s="84"/>
      <c r="O37" s="84"/>
      <c r="P37" s="77"/>
    </row>
    <row r="38" spans="1:16" ht="15" customHeight="1" x14ac:dyDescent="0.25">
      <c r="A38" s="129"/>
      <c r="B38" s="131"/>
      <c r="C38" s="143"/>
      <c r="D38" s="27" t="s">
        <v>44</v>
      </c>
      <c r="E38" s="30"/>
      <c r="F38" s="30"/>
      <c r="G38" s="26"/>
      <c r="H38" s="61"/>
      <c r="I38" s="61"/>
      <c r="J38" s="51"/>
      <c r="K38" s="51"/>
      <c r="L38" s="63"/>
      <c r="M38" s="84"/>
      <c r="N38" s="84"/>
      <c r="O38" s="84"/>
      <c r="P38" s="77"/>
    </row>
    <row r="39" spans="1:16" ht="15" customHeight="1" x14ac:dyDescent="0.25">
      <c r="A39" s="129"/>
      <c r="B39" s="131"/>
      <c r="C39" s="143"/>
      <c r="D39" s="27" t="s">
        <v>58</v>
      </c>
      <c r="E39" s="30" t="s">
        <v>131</v>
      </c>
      <c r="F39" s="50"/>
      <c r="G39" s="26"/>
      <c r="H39" s="61"/>
      <c r="I39" s="61"/>
      <c r="J39" s="51"/>
      <c r="K39" s="51"/>
      <c r="L39" s="63"/>
      <c r="M39" s="84"/>
      <c r="N39" s="84"/>
      <c r="O39" s="84"/>
      <c r="P39" s="77"/>
    </row>
    <row r="40" spans="1:16" ht="15" customHeight="1" x14ac:dyDescent="0.25">
      <c r="A40" s="129"/>
      <c r="B40" s="131"/>
      <c r="C40" s="143"/>
      <c r="D40" s="27" t="s">
        <v>45</v>
      </c>
      <c r="E40" s="30"/>
      <c r="F40" s="50"/>
      <c r="G40" s="26"/>
      <c r="H40" s="61"/>
      <c r="I40" s="61"/>
      <c r="J40" s="51"/>
      <c r="K40" s="51"/>
      <c r="L40" s="63"/>
      <c r="M40" s="84"/>
      <c r="N40" s="84"/>
      <c r="O40" s="84"/>
      <c r="P40" s="77"/>
    </row>
    <row r="41" spans="1:16" ht="15" customHeight="1" x14ac:dyDescent="0.25">
      <c r="A41" s="129"/>
      <c r="B41" s="131"/>
      <c r="C41" s="143"/>
      <c r="D41" s="27" t="s">
        <v>46</v>
      </c>
      <c r="E41" s="30"/>
      <c r="F41" s="50"/>
      <c r="G41" s="26"/>
      <c r="H41" s="61"/>
      <c r="I41" s="61"/>
      <c r="J41" s="51"/>
      <c r="K41" s="51"/>
      <c r="L41" s="63"/>
      <c r="M41" s="84"/>
      <c r="N41" s="84"/>
      <c r="O41" s="84"/>
      <c r="P41" s="77"/>
    </row>
    <row r="42" spans="1:16" ht="15" customHeight="1" x14ac:dyDescent="0.25">
      <c r="A42" s="129"/>
      <c r="B42" s="131"/>
      <c r="C42" s="143"/>
      <c r="D42" s="27" t="s">
        <v>59</v>
      </c>
      <c r="E42" s="30" t="s">
        <v>132</v>
      </c>
      <c r="F42" s="50"/>
      <c r="G42" s="26"/>
      <c r="H42" s="61"/>
      <c r="I42" s="61"/>
      <c r="J42" s="51"/>
      <c r="K42" s="51"/>
      <c r="L42" s="63"/>
      <c r="M42" s="84"/>
      <c r="N42" s="84"/>
      <c r="O42" s="84"/>
      <c r="P42" s="77"/>
    </row>
    <row r="43" spans="1:16" ht="15" customHeight="1" x14ac:dyDescent="0.25">
      <c r="A43" s="129"/>
      <c r="B43" s="131"/>
      <c r="C43" s="143"/>
      <c r="D43" s="27" t="s">
        <v>60</v>
      </c>
      <c r="E43" s="30" t="s">
        <v>133</v>
      </c>
      <c r="F43" s="27"/>
      <c r="G43" s="26"/>
      <c r="H43" s="61"/>
      <c r="I43" s="61"/>
      <c r="J43" s="51"/>
      <c r="K43" s="51"/>
      <c r="L43" s="63"/>
      <c r="M43" s="84"/>
      <c r="N43" s="84"/>
      <c r="O43" s="84"/>
      <c r="P43" s="77"/>
    </row>
    <row r="44" spans="1:16" ht="15" customHeight="1" x14ac:dyDescent="0.25">
      <c r="A44" s="129"/>
      <c r="B44" s="131"/>
      <c r="C44" s="143"/>
      <c r="D44" s="27" t="s">
        <v>61</v>
      </c>
      <c r="E44" s="30" t="s">
        <v>126</v>
      </c>
      <c r="F44" s="50"/>
      <c r="G44" s="26"/>
      <c r="H44" s="61"/>
      <c r="I44" s="61"/>
      <c r="J44" s="51"/>
      <c r="K44" s="51"/>
      <c r="L44" s="63"/>
      <c r="M44" s="84"/>
      <c r="N44" s="84"/>
      <c r="O44" s="84"/>
      <c r="P44" s="77"/>
    </row>
    <row r="45" spans="1:16" ht="15" customHeight="1" x14ac:dyDescent="0.25">
      <c r="A45" s="129"/>
      <c r="B45" s="131"/>
      <c r="C45" s="143"/>
      <c r="D45" s="27" t="s">
        <v>62</v>
      </c>
      <c r="E45" s="30" t="s">
        <v>125</v>
      </c>
      <c r="F45" s="50"/>
      <c r="G45" s="26"/>
      <c r="H45" s="61"/>
      <c r="I45" s="61"/>
      <c r="J45" s="51"/>
      <c r="K45" s="51"/>
      <c r="L45" s="63"/>
      <c r="M45" s="84"/>
      <c r="N45" s="84"/>
      <c r="O45" s="84"/>
      <c r="P45" s="77"/>
    </row>
    <row r="46" spans="1:16" ht="15" customHeight="1" x14ac:dyDescent="0.25">
      <c r="A46" s="129"/>
      <c r="B46" s="131"/>
      <c r="C46" s="143"/>
      <c r="D46" s="27" t="s">
        <v>38</v>
      </c>
      <c r="E46" s="30" t="s">
        <v>134</v>
      </c>
      <c r="F46" s="50"/>
      <c r="G46" s="26"/>
      <c r="H46" s="61"/>
      <c r="I46" s="61"/>
      <c r="J46" s="51"/>
      <c r="K46" s="51"/>
      <c r="L46" s="63"/>
      <c r="M46" s="84"/>
      <c r="N46" s="84"/>
      <c r="O46" s="84"/>
      <c r="P46" s="77"/>
    </row>
    <row r="47" spans="1:16" ht="15" customHeight="1" x14ac:dyDescent="0.25">
      <c r="A47" s="129"/>
      <c r="B47" s="131"/>
      <c r="C47" s="143"/>
      <c r="D47" s="27" t="s">
        <v>47</v>
      </c>
      <c r="E47" s="30"/>
      <c r="F47" s="50"/>
      <c r="G47" s="26"/>
      <c r="H47" s="61"/>
      <c r="I47" s="61"/>
      <c r="J47" s="51"/>
      <c r="K47" s="51"/>
      <c r="L47" s="63"/>
      <c r="M47" s="84"/>
      <c r="N47" s="84"/>
      <c r="O47" s="84"/>
      <c r="P47" s="77"/>
    </row>
    <row r="48" spans="1:16" ht="15" customHeight="1" x14ac:dyDescent="0.25">
      <c r="A48" s="129"/>
      <c r="B48" s="131"/>
      <c r="C48" s="143"/>
      <c r="D48" s="27" t="s">
        <v>48</v>
      </c>
      <c r="E48" s="30"/>
      <c r="F48" s="50"/>
      <c r="G48" s="26"/>
      <c r="H48" s="61"/>
      <c r="I48" s="61"/>
      <c r="J48" s="51"/>
      <c r="K48" s="51"/>
      <c r="L48" s="63"/>
      <c r="M48" s="84"/>
      <c r="N48" s="84"/>
      <c r="O48" s="84"/>
      <c r="P48" s="77"/>
    </row>
    <row r="49" spans="1:16" ht="15" customHeight="1" x14ac:dyDescent="0.25">
      <c r="A49" s="129"/>
      <c r="B49" s="131"/>
      <c r="C49" s="143"/>
      <c r="D49" s="27" t="s">
        <v>49</v>
      </c>
      <c r="E49" s="30" t="s">
        <v>135</v>
      </c>
      <c r="F49" s="50"/>
      <c r="G49" s="26"/>
      <c r="H49" s="61"/>
      <c r="I49" s="61"/>
      <c r="J49" s="51"/>
      <c r="K49" s="51"/>
      <c r="L49" s="63"/>
      <c r="M49" s="84"/>
      <c r="N49" s="84"/>
      <c r="O49" s="84"/>
      <c r="P49" s="77"/>
    </row>
    <row r="50" spans="1:16" ht="15" customHeight="1" x14ac:dyDescent="0.25">
      <c r="A50" s="129"/>
      <c r="B50" s="131"/>
      <c r="C50" s="143"/>
      <c r="D50" s="27" t="s">
        <v>50</v>
      </c>
      <c r="E50" s="25"/>
      <c r="F50" s="50"/>
      <c r="G50" s="26"/>
      <c r="H50" s="51"/>
      <c r="I50" s="51"/>
      <c r="J50" s="51"/>
      <c r="K50" s="51"/>
      <c r="L50" s="64"/>
      <c r="M50" s="28"/>
      <c r="N50" s="28"/>
      <c r="O50" s="28"/>
      <c r="P50" s="77"/>
    </row>
    <row r="51" spans="1:16" ht="15" customHeight="1" x14ac:dyDescent="0.25">
      <c r="A51" s="129"/>
      <c r="B51" s="131"/>
      <c r="C51" s="143"/>
      <c r="D51" s="27" t="s">
        <v>51</v>
      </c>
      <c r="E51" s="25"/>
      <c r="F51" s="30"/>
      <c r="G51" s="26"/>
      <c r="H51" s="51"/>
      <c r="I51" s="51"/>
      <c r="J51" s="51"/>
      <c r="K51" s="51"/>
      <c r="L51" s="64"/>
      <c r="M51" s="28"/>
      <c r="N51" s="28"/>
      <c r="O51" s="28"/>
      <c r="P51" s="77"/>
    </row>
    <row r="52" spans="1:16" ht="15" customHeight="1" x14ac:dyDescent="0.25">
      <c r="A52" s="129"/>
      <c r="B52" s="131"/>
      <c r="C52" s="143"/>
      <c r="D52" s="27" t="s">
        <v>36</v>
      </c>
      <c r="E52" s="25" t="s">
        <v>136</v>
      </c>
      <c r="F52" s="50"/>
      <c r="G52" s="26"/>
      <c r="H52" s="51"/>
      <c r="I52" s="51"/>
      <c r="J52" s="51"/>
      <c r="K52" s="51"/>
      <c r="L52" s="64"/>
      <c r="M52" s="28"/>
      <c r="N52" s="28"/>
      <c r="O52" s="28"/>
      <c r="P52" s="77"/>
    </row>
    <row r="53" spans="1:16" ht="15" customHeight="1" x14ac:dyDescent="0.25">
      <c r="A53" s="129"/>
      <c r="B53" s="131"/>
      <c r="C53" s="143"/>
      <c r="D53" s="27" t="s">
        <v>52</v>
      </c>
      <c r="E53" s="25" t="s">
        <v>122</v>
      </c>
      <c r="F53" s="50"/>
      <c r="G53" s="26"/>
      <c r="H53" s="51"/>
      <c r="I53" s="51"/>
      <c r="J53" s="51"/>
      <c r="K53" s="51"/>
      <c r="L53" s="64"/>
      <c r="M53" s="28"/>
      <c r="N53" s="28"/>
      <c r="O53" s="28"/>
      <c r="P53" s="77"/>
    </row>
    <row r="54" spans="1:16" ht="15" customHeight="1" x14ac:dyDescent="0.25">
      <c r="A54" s="129"/>
      <c r="B54" s="131"/>
      <c r="C54" s="143"/>
      <c r="D54" s="27" t="s">
        <v>53</v>
      </c>
      <c r="E54" s="25"/>
      <c r="F54" s="50"/>
      <c r="G54" s="26"/>
      <c r="H54" s="61"/>
      <c r="I54" s="61"/>
      <c r="J54" s="51"/>
      <c r="K54" s="51"/>
      <c r="L54" s="63"/>
      <c r="M54" s="84"/>
      <c r="N54" s="84"/>
      <c r="O54" s="84"/>
      <c r="P54" s="77"/>
    </row>
    <row r="55" spans="1:16" ht="15" customHeight="1" thickBot="1" x14ac:dyDescent="0.3">
      <c r="A55" s="129"/>
      <c r="B55" s="131"/>
      <c r="C55" s="143"/>
      <c r="D55" s="40" t="s">
        <v>54</v>
      </c>
      <c r="E55" s="24" t="s">
        <v>123</v>
      </c>
      <c r="F55" s="50"/>
      <c r="G55" s="26"/>
      <c r="H55" s="61"/>
      <c r="I55" s="61"/>
      <c r="J55" s="51"/>
      <c r="K55" s="51"/>
      <c r="L55" s="63"/>
      <c r="M55" s="84"/>
      <c r="N55" s="84"/>
      <c r="O55" s="84"/>
      <c r="P55" s="77"/>
    </row>
    <row r="56" spans="1:16" ht="36.75" customHeight="1" x14ac:dyDescent="0.25">
      <c r="A56" s="129"/>
      <c r="B56" s="131"/>
      <c r="C56" s="144"/>
      <c r="D56" s="27" t="s">
        <v>181</v>
      </c>
      <c r="E56" s="110" t="s">
        <v>182</v>
      </c>
      <c r="F56" s="110"/>
      <c r="G56" s="26"/>
      <c r="H56" s="61"/>
      <c r="I56" s="61"/>
      <c r="J56" s="51"/>
      <c r="K56" s="51"/>
      <c r="L56" s="63"/>
      <c r="M56" s="84"/>
      <c r="N56" s="84"/>
      <c r="O56" s="84"/>
      <c r="P56" s="77"/>
    </row>
    <row r="57" spans="1:16" ht="15" customHeight="1" x14ac:dyDescent="0.25">
      <c r="A57" s="13"/>
      <c r="C57" s="26"/>
      <c r="D57" s="132" t="s">
        <v>112</v>
      </c>
      <c r="E57" s="25" t="s">
        <v>113</v>
      </c>
      <c r="F57" s="133"/>
      <c r="G57" s="26"/>
      <c r="H57" s="136" t="s">
        <v>143</v>
      </c>
      <c r="I57" s="137"/>
      <c r="J57" s="137"/>
      <c r="K57" s="29"/>
      <c r="L57" s="65"/>
      <c r="M57" s="65"/>
      <c r="N57" s="65"/>
      <c r="O57" s="65"/>
      <c r="P57" s="75"/>
    </row>
    <row r="58" spans="1:16" ht="15" customHeight="1" x14ac:dyDescent="0.25">
      <c r="A58" s="13"/>
      <c r="C58" s="26"/>
      <c r="D58" s="132"/>
      <c r="E58" s="25" t="s">
        <v>114</v>
      </c>
      <c r="F58" s="134"/>
      <c r="G58" s="26"/>
      <c r="H58" s="138"/>
      <c r="I58" s="139"/>
      <c r="J58" s="139"/>
      <c r="K58" s="29"/>
      <c r="L58" s="51"/>
      <c r="M58" s="51"/>
      <c r="N58" s="51"/>
      <c r="O58" s="51"/>
      <c r="P58" s="75"/>
    </row>
    <row r="59" spans="1:16" x14ac:dyDescent="0.25">
      <c r="A59" s="13"/>
      <c r="C59" s="26"/>
      <c r="D59" s="132"/>
      <c r="E59" s="25" t="s">
        <v>115</v>
      </c>
      <c r="F59" s="134"/>
      <c r="G59" s="26"/>
      <c r="H59" s="138"/>
      <c r="I59" s="139"/>
      <c r="J59" s="139"/>
      <c r="K59" s="29"/>
      <c r="L59" s="51"/>
      <c r="M59" s="51"/>
      <c r="N59" s="51"/>
      <c r="O59" s="51"/>
      <c r="P59" s="75"/>
    </row>
    <row r="60" spans="1:16" ht="15" customHeight="1" x14ac:dyDescent="0.25">
      <c r="A60" s="13"/>
      <c r="C60" s="26"/>
      <c r="D60" s="132"/>
      <c r="E60" s="25" t="s">
        <v>116</v>
      </c>
      <c r="F60" s="135"/>
      <c r="G60" s="26"/>
      <c r="H60" s="140"/>
      <c r="I60" s="141"/>
      <c r="J60" s="141"/>
      <c r="K60" s="54"/>
      <c r="L60" s="51"/>
      <c r="M60" s="51"/>
      <c r="N60" s="51"/>
      <c r="O60" s="51"/>
      <c r="P60" s="75"/>
    </row>
  </sheetData>
  <mergeCells count="27">
    <mergeCell ref="J3:K3"/>
    <mergeCell ref="A4:F4"/>
    <mergeCell ref="H4:P4"/>
    <mergeCell ref="A6:C6"/>
    <mergeCell ref="D6:F6"/>
    <mergeCell ref="H6:I6"/>
    <mergeCell ref="J6:K6"/>
    <mergeCell ref="L6:N6"/>
    <mergeCell ref="H29:J32"/>
    <mergeCell ref="A9:A10"/>
    <mergeCell ref="B9:B10"/>
    <mergeCell ref="C9:C10"/>
    <mergeCell ref="L9:L10"/>
    <mergeCell ref="D11:D14"/>
    <mergeCell ref="F11:F14"/>
    <mergeCell ref="H11:J14"/>
    <mergeCell ref="A17:A28"/>
    <mergeCell ref="B17:B28"/>
    <mergeCell ref="C17:C28"/>
    <mergeCell ref="D29:D32"/>
    <mergeCell ref="F29:F32"/>
    <mergeCell ref="A35:A56"/>
    <mergeCell ref="B35:B56"/>
    <mergeCell ref="D57:D60"/>
    <mergeCell ref="F57:F60"/>
    <mergeCell ref="H57:J60"/>
    <mergeCell ref="C35:C5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/>
  </sheetViews>
  <sheetFormatPr defaultColWidth="9.140625" defaultRowHeight="15" x14ac:dyDescent="0.25"/>
  <cols>
    <col min="1" max="1" width="10.85546875" customWidth="1"/>
    <col min="2" max="3" width="43.42578125" customWidth="1"/>
    <col min="4" max="4" width="39.28515625" customWidth="1"/>
    <col min="5" max="5" width="14.85546875" customWidth="1"/>
    <col min="6" max="6" width="58.7109375" customWidth="1"/>
  </cols>
  <sheetData>
    <row r="1" spans="1:6" ht="34.5" x14ac:dyDescent="0.25">
      <c r="A1" s="6" t="s">
        <v>164</v>
      </c>
      <c r="B1" s="4" t="s">
        <v>153</v>
      </c>
      <c r="C1" s="4"/>
      <c r="D1" s="4"/>
      <c r="E1" s="4"/>
      <c r="F1" s="4"/>
    </row>
    <row r="2" spans="1:6" s="13" customFormat="1" ht="34.5" x14ac:dyDescent="0.25">
      <c r="A2" s="43"/>
      <c r="B2" s="18"/>
      <c r="C2" s="18"/>
      <c r="D2" s="18"/>
      <c r="E2" s="18"/>
      <c r="F2" s="18"/>
    </row>
    <row r="3" spans="1:6" s="13" customFormat="1" ht="15" customHeight="1" x14ac:dyDescent="0.25">
      <c r="F3" s="66"/>
    </row>
    <row r="4" spans="1:6" ht="18" x14ac:dyDescent="0.25">
      <c r="A4" s="158" t="s">
        <v>137</v>
      </c>
      <c r="B4" s="159"/>
      <c r="C4" s="159"/>
      <c r="D4" s="159"/>
      <c r="E4" s="159"/>
      <c r="F4" s="160"/>
    </row>
    <row r="5" spans="1:6" ht="22.5" customHeight="1" x14ac:dyDescent="0.25">
      <c r="A5" s="161"/>
      <c r="B5" s="162"/>
      <c r="C5" s="162"/>
      <c r="D5" s="162"/>
      <c r="E5" s="162"/>
      <c r="F5" s="163"/>
    </row>
    <row r="6" spans="1:6" ht="22.5" customHeight="1" x14ac:dyDescent="0.25">
      <c r="B6" s="67"/>
      <c r="C6" s="67"/>
      <c r="D6" s="68"/>
      <c r="E6" s="69"/>
      <c r="F6" s="69"/>
    </row>
  </sheetData>
  <mergeCells count="2">
    <mergeCell ref="A4:F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"/>
  <sheetViews>
    <sheetView showGridLines="0" workbookViewId="0"/>
  </sheetViews>
  <sheetFormatPr defaultColWidth="9.140625" defaultRowHeight="15" x14ac:dyDescent="0.25"/>
  <cols>
    <col min="1" max="1" width="13.140625" style="13" customWidth="1"/>
    <col min="2" max="2" width="55.5703125" style="13" customWidth="1"/>
    <col min="3" max="3" width="46.140625" style="13" customWidth="1"/>
    <col min="4" max="4" width="40" style="13" customWidth="1"/>
    <col min="5" max="16384" width="9.140625" style="13"/>
  </cols>
  <sheetData>
    <row r="1" spans="1:25" ht="34.5" x14ac:dyDescent="0.25">
      <c r="A1" s="6" t="s">
        <v>164</v>
      </c>
      <c r="B1" s="4" t="s">
        <v>154</v>
      </c>
      <c r="C1" s="4"/>
      <c r="D1" s="4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4" spans="1:25" ht="18" x14ac:dyDescent="0.25">
      <c r="A4" s="164" t="s">
        <v>137</v>
      </c>
      <c r="B4" s="164"/>
      <c r="C4" s="164"/>
      <c r="D4" s="164"/>
    </row>
    <row r="5" spans="1:25" ht="22.5" customHeight="1" x14ac:dyDescent="0.25">
      <c r="A5" s="165"/>
      <c r="B5" s="165"/>
      <c r="C5" s="165"/>
      <c r="D5" s="165"/>
    </row>
    <row r="6" spans="1:25" x14ac:dyDescent="0.25">
      <c r="B6" s="70"/>
      <c r="C6" s="71"/>
      <c r="D6" s="66"/>
    </row>
  </sheetData>
  <mergeCells count="2">
    <mergeCell ref="A4:D4"/>
    <mergeCell ref="A5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8"/>
  <sheetViews>
    <sheetView zoomScale="85" zoomScaleNormal="85" workbookViewId="0">
      <selection activeCell="G14" sqref="G14"/>
    </sheetView>
  </sheetViews>
  <sheetFormatPr defaultColWidth="9.140625" defaultRowHeight="15" outlineLevelRow="1" x14ac:dyDescent="0.25"/>
  <cols>
    <col min="1" max="1" width="16.5703125" style="13" customWidth="1"/>
    <col min="2" max="3" width="16.28515625" style="13" customWidth="1"/>
    <col min="4" max="4" width="12.7109375" style="13" customWidth="1"/>
    <col min="5" max="5" width="15.140625" style="13" customWidth="1"/>
    <col min="6" max="6" width="21.85546875" style="13" customWidth="1"/>
    <col min="7" max="7" width="20.42578125" style="13" customWidth="1"/>
    <col min="8" max="8" width="12.85546875" style="13" customWidth="1"/>
    <col min="9" max="9" width="23.7109375" style="13" customWidth="1"/>
    <col min="10" max="16384" width="9.140625" style="13"/>
  </cols>
  <sheetData>
    <row r="1" spans="1:30" ht="34.5" x14ac:dyDescent="0.4">
      <c r="A1" s="6" t="s">
        <v>164</v>
      </c>
      <c r="B1" s="4" t="s">
        <v>33</v>
      </c>
      <c r="C1" s="4"/>
      <c r="D1" s="4"/>
      <c r="E1" s="4"/>
      <c r="F1" s="4"/>
      <c r="G1" s="4"/>
      <c r="H1" s="4"/>
      <c r="J1" s="5"/>
      <c r="K1" s="5"/>
      <c r="L1" s="5"/>
      <c r="M1" s="5"/>
      <c r="N1" s="5"/>
      <c r="O1" s="5"/>
      <c r="P1" s="5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4" spans="1:30" ht="18" customHeight="1" x14ac:dyDescent="0.25">
      <c r="A4" s="166" t="s">
        <v>0</v>
      </c>
      <c r="B4" s="155" t="s">
        <v>10</v>
      </c>
      <c r="C4" s="157"/>
      <c r="D4" s="156"/>
      <c r="E4" s="155" t="s">
        <v>9</v>
      </c>
      <c r="F4" s="157"/>
      <c r="G4" s="168" t="s">
        <v>67</v>
      </c>
      <c r="H4" s="168" t="s">
        <v>4</v>
      </c>
    </row>
    <row r="5" spans="1:30" ht="30" customHeight="1" x14ac:dyDescent="0.25">
      <c r="A5" s="167"/>
      <c r="B5" s="21" t="s">
        <v>3</v>
      </c>
      <c r="C5" s="21" t="s">
        <v>8</v>
      </c>
      <c r="D5" s="21" t="s">
        <v>13</v>
      </c>
      <c r="E5" s="21" t="s">
        <v>1</v>
      </c>
      <c r="F5" s="21" t="s">
        <v>2</v>
      </c>
      <c r="G5" s="167"/>
      <c r="H5" s="167"/>
    </row>
    <row r="6" spans="1:30" ht="16.5" customHeight="1" x14ac:dyDescent="0.25">
      <c r="A6" s="14"/>
      <c r="B6" s="15"/>
      <c r="C6" s="15"/>
      <c r="D6" s="15"/>
      <c r="E6" s="16"/>
      <c r="F6" s="16"/>
      <c r="G6" s="17"/>
      <c r="H6" s="17"/>
    </row>
    <row r="7" spans="1:30" x14ac:dyDescent="0.25">
      <c r="A7" s="31" t="s">
        <v>167</v>
      </c>
      <c r="B7" s="25">
        <f>SUM(B8:B10)</f>
        <v>2</v>
      </c>
      <c r="C7" s="32" t="s">
        <v>35</v>
      </c>
      <c r="D7" s="32" t="s">
        <v>35</v>
      </c>
      <c r="E7" s="30">
        <f>SUM(E8:E10)</f>
        <v>20</v>
      </c>
      <c r="F7" s="30">
        <f>SUM(F8:F10)</f>
        <v>24</v>
      </c>
      <c r="G7" s="33" t="s">
        <v>178</v>
      </c>
      <c r="H7" s="25">
        <v>1</v>
      </c>
    </row>
    <row r="8" spans="1:30" outlineLevel="1" x14ac:dyDescent="0.25">
      <c r="A8" s="25" t="s">
        <v>170</v>
      </c>
      <c r="B8" s="25">
        <v>1</v>
      </c>
      <c r="C8" s="10" t="s">
        <v>168</v>
      </c>
      <c r="D8" s="10">
        <v>838</v>
      </c>
      <c r="E8" s="10">
        <v>8</v>
      </c>
      <c r="F8" s="25">
        <v>10</v>
      </c>
      <c r="G8" s="33" t="s">
        <v>178</v>
      </c>
      <c r="H8" s="25">
        <v>1</v>
      </c>
    </row>
    <row r="9" spans="1:30" outlineLevel="1" x14ac:dyDescent="0.25">
      <c r="A9" s="26"/>
      <c r="B9" s="25">
        <v>1</v>
      </c>
      <c r="C9" s="10" t="s">
        <v>169</v>
      </c>
      <c r="D9" s="10">
        <v>839</v>
      </c>
      <c r="E9" s="10">
        <v>12</v>
      </c>
      <c r="F9" s="25">
        <v>14</v>
      </c>
      <c r="G9" s="33" t="s">
        <v>178</v>
      </c>
      <c r="H9" s="25">
        <v>1</v>
      </c>
    </row>
    <row r="10" spans="1:30" outlineLevel="1" x14ac:dyDescent="0.25">
      <c r="A10" s="26"/>
      <c r="B10" s="25"/>
      <c r="C10" s="10"/>
      <c r="D10" s="10"/>
      <c r="E10" s="10"/>
      <c r="F10" s="25"/>
      <c r="G10" s="33"/>
      <c r="H10" s="25"/>
    </row>
    <row r="11" spans="1:30" x14ac:dyDescent="0.25">
      <c r="A11" s="26"/>
      <c r="B11" s="26"/>
      <c r="C11" s="26"/>
      <c r="D11" s="26"/>
      <c r="E11" s="26"/>
      <c r="F11" s="26"/>
      <c r="G11" s="26"/>
      <c r="H11" s="26"/>
    </row>
    <row r="12" spans="1:30" x14ac:dyDescent="0.25">
      <c r="A12" s="31" t="s">
        <v>171</v>
      </c>
      <c r="B12" s="25">
        <f>SUM(B13:B17)</f>
        <v>4</v>
      </c>
      <c r="C12" s="32" t="s">
        <v>35</v>
      </c>
      <c r="D12" s="32" t="s">
        <v>35</v>
      </c>
      <c r="E12" s="30">
        <f>SUM(E13:E17)</f>
        <v>33</v>
      </c>
      <c r="F12" s="30">
        <f>SUM(F13:F17)</f>
        <v>36</v>
      </c>
      <c r="G12" s="33" t="s">
        <v>177</v>
      </c>
      <c r="H12" s="25">
        <v>1</v>
      </c>
    </row>
    <row r="13" spans="1:30" outlineLevel="1" x14ac:dyDescent="0.25">
      <c r="A13" s="25" t="s">
        <v>172</v>
      </c>
      <c r="B13" s="25">
        <v>1</v>
      </c>
      <c r="C13" s="10" t="s">
        <v>173</v>
      </c>
      <c r="D13" s="10">
        <v>800</v>
      </c>
      <c r="E13" s="10">
        <v>11</v>
      </c>
      <c r="F13" s="25">
        <v>14</v>
      </c>
      <c r="G13" s="33" t="s">
        <v>177</v>
      </c>
      <c r="H13" s="25">
        <v>1</v>
      </c>
    </row>
    <row r="14" spans="1:30" outlineLevel="1" x14ac:dyDescent="0.25">
      <c r="A14" s="26"/>
      <c r="B14" s="25">
        <v>1</v>
      </c>
      <c r="C14" s="10" t="s">
        <v>174</v>
      </c>
      <c r="D14" s="10">
        <v>820</v>
      </c>
      <c r="E14" s="10">
        <v>8</v>
      </c>
      <c r="F14" s="25">
        <v>10</v>
      </c>
      <c r="G14" s="33" t="s">
        <v>177</v>
      </c>
      <c r="H14" s="25">
        <v>1</v>
      </c>
    </row>
    <row r="15" spans="1:30" outlineLevel="1" x14ac:dyDescent="0.25">
      <c r="A15" s="26"/>
      <c r="B15" s="25">
        <v>1</v>
      </c>
      <c r="C15" s="10" t="s">
        <v>175</v>
      </c>
      <c r="D15" s="10">
        <v>810</v>
      </c>
      <c r="E15" s="10">
        <v>10</v>
      </c>
      <c r="F15" s="25">
        <v>12</v>
      </c>
      <c r="G15" s="33" t="s">
        <v>177</v>
      </c>
      <c r="H15" s="25">
        <v>1</v>
      </c>
    </row>
    <row r="16" spans="1:30" outlineLevel="1" x14ac:dyDescent="0.25">
      <c r="A16" s="26"/>
      <c r="B16" s="25">
        <v>1</v>
      </c>
      <c r="C16" s="10" t="s">
        <v>176</v>
      </c>
      <c r="D16" s="10">
        <v>832</v>
      </c>
      <c r="E16" s="10">
        <v>4</v>
      </c>
      <c r="F16" s="25">
        <v>0</v>
      </c>
      <c r="G16" s="33" t="s">
        <v>177</v>
      </c>
      <c r="H16" s="25">
        <v>1</v>
      </c>
    </row>
    <row r="17" spans="1:8" outlineLevel="1" x14ac:dyDescent="0.25">
      <c r="A17" s="26"/>
      <c r="B17" s="25"/>
      <c r="C17" s="10"/>
      <c r="D17" s="10"/>
      <c r="E17" s="10"/>
      <c r="F17" s="25"/>
      <c r="G17" s="33"/>
      <c r="H17" s="25"/>
    </row>
    <row r="18" spans="1:8" x14ac:dyDescent="0.25">
      <c r="A18" s="26"/>
      <c r="B18" s="26"/>
      <c r="C18" s="26"/>
      <c r="D18" s="26"/>
      <c r="E18" s="26"/>
      <c r="F18" s="26"/>
      <c r="G18" s="26"/>
      <c r="H18" s="26"/>
    </row>
  </sheetData>
  <mergeCells count="5">
    <mergeCell ref="A4:A5"/>
    <mergeCell ref="B4:D4"/>
    <mergeCell ref="E4:F4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17"/>
  <sheetViews>
    <sheetView zoomScale="85" zoomScaleNormal="85" workbookViewId="0">
      <selection activeCell="C23" sqref="C23"/>
    </sheetView>
  </sheetViews>
  <sheetFormatPr defaultColWidth="9.140625" defaultRowHeight="15" outlineLevelRow="1" x14ac:dyDescent="0.25"/>
  <cols>
    <col min="1" max="1" width="21" style="13" customWidth="1"/>
    <col min="2" max="2" width="16.28515625" style="13" customWidth="1"/>
    <col min="3" max="3" width="26.140625" style="13" bestFit="1" customWidth="1"/>
    <col min="4" max="5" width="13" style="13" customWidth="1"/>
    <col min="6" max="6" width="15.140625" style="13" customWidth="1"/>
    <col min="7" max="7" width="12.140625" style="13" bestFit="1" customWidth="1"/>
    <col min="8" max="8" width="17.85546875" style="13" customWidth="1"/>
    <col min="9" max="9" width="17.28515625" style="13" bestFit="1" customWidth="1"/>
    <col min="10" max="10" width="14.7109375" style="13" bestFit="1" customWidth="1"/>
    <col min="11" max="11" width="17.85546875" style="13" customWidth="1"/>
    <col min="12" max="12" width="20.42578125" style="13" customWidth="1"/>
    <col min="13" max="13" width="14.7109375" style="13" customWidth="1"/>
    <col min="14" max="16384" width="9.140625" style="13"/>
  </cols>
  <sheetData>
    <row r="1" spans="1:48" ht="34.5" x14ac:dyDescent="0.4">
      <c r="A1" s="6" t="s">
        <v>164</v>
      </c>
      <c r="B1" s="4" t="s">
        <v>55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5"/>
      <c r="Z1" s="5"/>
      <c r="AA1" s="5"/>
      <c r="AB1" s="5"/>
      <c r="AC1" s="5"/>
      <c r="AD1" s="5"/>
      <c r="AE1" s="5"/>
      <c r="AF1" s="5"/>
      <c r="AG1" s="5"/>
      <c r="AH1" s="5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4" spans="1:48" ht="18" customHeight="1" x14ac:dyDescent="0.25">
      <c r="A4" s="166" t="s">
        <v>0</v>
      </c>
      <c r="B4" s="154" t="s">
        <v>10</v>
      </c>
      <c r="C4" s="154"/>
      <c r="D4" s="154"/>
      <c r="E4" s="154" t="s">
        <v>9</v>
      </c>
      <c r="F4" s="154"/>
      <c r="G4" s="154"/>
      <c r="H4" s="154"/>
      <c r="I4" s="154"/>
      <c r="J4" s="154"/>
      <c r="K4" s="154"/>
      <c r="L4" s="169" t="s">
        <v>67</v>
      </c>
      <c r="M4" s="169" t="s">
        <v>4</v>
      </c>
    </row>
    <row r="5" spans="1:48" ht="30" customHeight="1" x14ac:dyDescent="0.25">
      <c r="A5" s="171"/>
      <c r="B5" s="170" t="s">
        <v>3</v>
      </c>
      <c r="C5" s="170" t="s">
        <v>8</v>
      </c>
      <c r="D5" s="170" t="s">
        <v>13</v>
      </c>
      <c r="E5" s="172" t="s">
        <v>1</v>
      </c>
      <c r="F5" s="172" t="s">
        <v>147</v>
      </c>
      <c r="G5" s="170" t="s">
        <v>36</v>
      </c>
      <c r="H5" s="170" t="s">
        <v>37</v>
      </c>
      <c r="I5" s="170" t="s">
        <v>39</v>
      </c>
      <c r="J5" s="170" t="s">
        <v>40</v>
      </c>
      <c r="K5" s="170" t="s">
        <v>41</v>
      </c>
      <c r="L5" s="169"/>
      <c r="M5" s="169"/>
    </row>
    <row r="6" spans="1:48" ht="15" customHeight="1" x14ac:dyDescent="0.25">
      <c r="A6" s="167"/>
      <c r="B6" s="170"/>
      <c r="C6" s="170"/>
      <c r="D6" s="170"/>
      <c r="E6" s="173"/>
      <c r="F6" s="173"/>
      <c r="G6" s="170"/>
      <c r="H6" s="170"/>
      <c r="I6" s="170"/>
      <c r="J6" s="170"/>
      <c r="K6" s="170"/>
      <c r="L6" s="169"/>
      <c r="M6" s="169"/>
    </row>
    <row r="7" spans="1:48" x14ac:dyDescent="0.25">
      <c r="A7" s="14"/>
      <c r="B7" s="15"/>
      <c r="C7" s="15"/>
      <c r="D7" s="15"/>
      <c r="E7" s="15"/>
      <c r="F7" s="16"/>
      <c r="G7" s="16"/>
      <c r="H7" s="16"/>
      <c r="I7" s="16"/>
      <c r="J7" s="16"/>
      <c r="K7" s="16"/>
      <c r="L7" s="17"/>
      <c r="M7" s="17"/>
    </row>
    <row r="8" spans="1:48" s="26" customFormat="1" ht="14.25" customHeight="1" x14ac:dyDescent="0.25">
      <c r="A8" s="31" t="s">
        <v>167</v>
      </c>
      <c r="B8" s="25">
        <f>SUM(B9:B12)</f>
        <v>4</v>
      </c>
      <c r="C8" s="32" t="s">
        <v>35</v>
      </c>
      <c r="D8" s="32" t="s">
        <v>35</v>
      </c>
      <c r="E8" s="25">
        <f t="shared" ref="E8:K8" si="0">SUM(E9:E12)</f>
        <v>23</v>
      </c>
      <c r="F8" s="25">
        <f t="shared" si="0"/>
        <v>37</v>
      </c>
      <c r="G8" s="30">
        <f t="shared" si="0"/>
        <v>4</v>
      </c>
      <c r="H8" s="30">
        <f t="shared" si="0"/>
        <v>4</v>
      </c>
      <c r="I8" s="30">
        <f t="shared" si="0"/>
        <v>4</v>
      </c>
      <c r="J8" s="30">
        <f t="shared" si="0"/>
        <v>4</v>
      </c>
      <c r="K8" s="30">
        <f t="shared" si="0"/>
        <v>4</v>
      </c>
      <c r="L8" s="33" t="s">
        <v>178</v>
      </c>
      <c r="M8" s="32" t="s">
        <v>35</v>
      </c>
    </row>
    <row r="9" spans="1:48" s="26" customFormat="1" ht="14.25" outlineLevel="1" x14ac:dyDescent="0.2">
      <c r="A9" s="25" t="s">
        <v>170</v>
      </c>
      <c r="B9" s="25">
        <v>1</v>
      </c>
      <c r="C9" s="25" t="s">
        <v>179</v>
      </c>
      <c r="D9" s="25">
        <v>870</v>
      </c>
      <c r="E9" s="25">
        <v>9</v>
      </c>
      <c r="F9" s="25">
        <v>13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33" t="s">
        <v>178</v>
      </c>
      <c r="M9" s="24">
        <v>14</v>
      </c>
    </row>
    <row r="10" spans="1:48" s="26" customFormat="1" ht="14.25" outlineLevel="1" x14ac:dyDescent="0.2">
      <c r="B10" s="25">
        <v>1</v>
      </c>
      <c r="C10" s="25" t="s">
        <v>169</v>
      </c>
      <c r="D10" s="25">
        <v>839</v>
      </c>
      <c r="E10" s="25">
        <v>8</v>
      </c>
      <c r="F10" s="25">
        <v>12</v>
      </c>
      <c r="G10" s="25">
        <v>1</v>
      </c>
      <c r="H10" s="25">
        <v>1</v>
      </c>
      <c r="I10" s="25">
        <v>1</v>
      </c>
      <c r="J10" s="25">
        <v>1</v>
      </c>
      <c r="K10" s="25">
        <v>1</v>
      </c>
      <c r="L10" s="33" t="s">
        <v>178</v>
      </c>
      <c r="M10" s="24">
        <v>14</v>
      </c>
    </row>
    <row r="11" spans="1:48" s="26" customFormat="1" ht="14.25" outlineLevel="1" x14ac:dyDescent="0.2">
      <c r="B11" s="25">
        <v>1</v>
      </c>
      <c r="C11" s="25" t="s">
        <v>173</v>
      </c>
      <c r="D11" s="25">
        <v>800</v>
      </c>
      <c r="E11" s="25">
        <v>3</v>
      </c>
      <c r="F11" s="25">
        <v>6</v>
      </c>
      <c r="G11" s="25">
        <v>1</v>
      </c>
      <c r="H11" s="25">
        <v>1</v>
      </c>
      <c r="I11" s="25">
        <v>1</v>
      </c>
      <c r="J11" s="25">
        <v>1</v>
      </c>
      <c r="K11" s="25">
        <v>1</v>
      </c>
      <c r="L11" s="33" t="s">
        <v>178</v>
      </c>
      <c r="M11" s="24">
        <v>14</v>
      </c>
    </row>
    <row r="12" spans="1:48" s="26" customFormat="1" ht="14.25" outlineLevel="1" x14ac:dyDescent="0.2">
      <c r="B12" s="25">
        <v>1</v>
      </c>
      <c r="C12" s="25" t="s">
        <v>180</v>
      </c>
      <c r="D12" s="25">
        <v>830</v>
      </c>
      <c r="E12" s="25">
        <v>3</v>
      </c>
      <c r="F12" s="25">
        <v>6</v>
      </c>
      <c r="G12" s="25">
        <v>1</v>
      </c>
      <c r="H12" s="25">
        <v>1</v>
      </c>
      <c r="I12" s="25">
        <v>1</v>
      </c>
      <c r="J12" s="25">
        <v>1</v>
      </c>
      <c r="K12" s="25">
        <v>1</v>
      </c>
      <c r="L12" s="33" t="s">
        <v>178</v>
      </c>
      <c r="M12" s="24">
        <v>14</v>
      </c>
    </row>
    <row r="13" spans="1:48" s="26" customFormat="1" ht="14.25" x14ac:dyDescent="0.2"/>
    <row r="14" spans="1:48" s="26" customFormat="1" ht="14.25" customHeight="1" x14ac:dyDescent="0.25">
      <c r="A14" s="31" t="s">
        <v>171</v>
      </c>
      <c r="B14" s="25">
        <f>SUM(B15:B17)</f>
        <v>3</v>
      </c>
      <c r="C14" s="32" t="s">
        <v>35</v>
      </c>
      <c r="D14" s="32" t="s">
        <v>35</v>
      </c>
      <c r="E14" s="25">
        <f t="shared" ref="E14:K14" si="1">SUM(E15:E17)</f>
        <v>23</v>
      </c>
      <c r="F14" s="25">
        <f t="shared" si="1"/>
        <v>35</v>
      </c>
      <c r="G14" s="30">
        <f t="shared" si="1"/>
        <v>3</v>
      </c>
      <c r="H14" s="30">
        <f t="shared" si="1"/>
        <v>3</v>
      </c>
      <c r="I14" s="30">
        <f t="shared" si="1"/>
        <v>3</v>
      </c>
      <c r="J14" s="30">
        <f t="shared" si="1"/>
        <v>3</v>
      </c>
      <c r="K14" s="30">
        <f t="shared" si="1"/>
        <v>3</v>
      </c>
      <c r="L14" s="33" t="s">
        <v>177</v>
      </c>
      <c r="M14" s="32" t="s">
        <v>35</v>
      </c>
    </row>
    <row r="15" spans="1:48" s="26" customFormat="1" ht="14.25" outlineLevel="1" x14ac:dyDescent="0.2">
      <c r="A15" s="25" t="s">
        <v>172</v>
      </c>
      <c r="B15" s="25">
        <v>1</v>
      </c>
      <c r="C15" s="25" t="s">
        <v>169</v>
      </c>
      <c r="D15" s="25">
        <v>839</v>
      </c>
      <c r="E15" s="25">
        <v>4</v>
      </c>
      <c r="F15" s="25">
        <v>7</v>
      </c>
      <c r="G15" s="25">
        <v>1</v>
      </c>
      <c r="H15" s="25">
        <v>1</v>
      </c>
      <c r="I15" s="25">
        <v>1</v>
      </c>
      <c r="J15" s="25">
        <v>1</v>
      </c>
      <c r="K15" s="25">
        <v>1</v>
      </c>
      <c r="L15" s="33" t="s">
        <v>177</v>
      </c>
      <c r="M15" s="24">
        <v>14</v>
      </c>
    </row>
    <row r="16" spans="1:48" s="26" customFormat="1" ht="14.25" outlineLevel="1" x14ac:dyDescent="0.2">
      <c r="B16" s="25">
        <v>1</v>
      </c>
      <c r="C16" s="25" t="s">
        <v>173</v>
      </c>
      <c r="D16" s="25">
        <v>800</v>
      </c>
      <c r="E16" s="25">
        <v>10</v>
      </c>
      <c r="F16" s="25">
        <v>14</v>
      </c>
      <c r="G16" s="25">
        <v>1</v>
      </c>
      <c r="H16" s="25">
        <v>1</v>
      </c>
      <c r="I16" s="25">
        <v>1</v>
      </c>
      <c r="J16" s="25">
        <v>1</v>
      </c>
      <c r="K16" s="25">
        <v>1</v>
      </c>
      <c r="L16" s="33" t="s">
        <v>177</v>
      </c>
      <c r="M16" s="24">
        <v>14</v>
      </c>
    </row>
    <row r="17" spans="2:13" s="26" customFormat="1" ht="14.25" outlineLevel="1" x14ac:dyDescent="0.2">
      <c r="B17" s="25">
        <v>1</v>
      </c>
      <c r="C17" s="25" t="s">
        <v>180</v>
      </c>
      <c r="D17" s="25">
        <v>830</v>
      </c>
      <c r="E17" s="25">
        <v>9</v>
      </c>
      <c r="F17" s="25">
        <v>14</v>
      </c>
      <c r="G17" s="25">
        <v>1</v>
      </c>
      <c r="H17" s="25">
        <v>1</v>
      </c>
      <c r="I17" s="25">
        <v>1</v>
      </c>
      <c r="J17" s="25">
        <v>1</v>
      </c>
      <c r="K17" s="25">
        <v>1</v>
      </c>
      <c r="L17" s="33" t="s">
        <v>177</v>
      </c>
      <c r="M17" s="24">
        <v>14</v>
      </c>
    </row>
  </sheetData>
  <mergeCells count="15">
    <mergeCell ref="G5:G6"/>
    <mergeCell ref="H5:H6"/>
    <mergeCell ref="A4:A6"/>
    <mergeCell ref="B4:D4"/>
    <mergeCell ref="E4:K4"/>
    <mergeCell ref="B5:B6"/>
    <mergeCell ref="C5:C6"/>
    <mergeCell ref="D5:D6"/>
    <mergeCell ref="F5:F6"/>
    <mergeCell ref="E5:E6"/>
    <mergeCell ref="L4:L6"/>
    <mergeCell ref="M4:M6"/>
    <mergeCell ref="I5:I6"/>
    <mergeCell ref="J5:J6"/>
    <mergeCell ref="K5:K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70"/>
  <sheetViews>
    <sheetView topLeftCell="A4" zoomScale="85" zoomScaleNormal="85" workbookViewId="0">
      <selection activeCell="C34" sqref="C34:I34"/>
    </sheetView>
  </sheetViews>
  <sheetFormatPr defaultColWidth="9.140625" defaultRowHeight="15" x14ac:dyDescent="0.25"/>
  <cols>
    <col min="1" max="1" width="32.7109375" style="13" bestFit="1" customWidth="1"/>
    <col min="2" max="2" width="21.7109375" style="13" customWidth="1"/>
    <col min="3" max="3" width="41" style="22" customWidth="1"/>
    <col min="4" max="4" width="18.42578125" style="13" customWidth="1"/>
    <col min="5" max="5" width="17.85546875" style="13" bestFit="1" customWidth="1"/>
    <col min="6" max="7" width="8.85546875" style="13" customWidth="1"/>
    <col min="8" max="9" width="9.140625" style="13"/>
    <col min="10" max="10" width="9.140625" style="13" customWidth="1"/>
    <col min="11" max="22" width="9.140625" style="13"/>
    <col min="23" max="23" width="16.85546875" style="13" customWidth="1"/>
    <col min="24" max="16384" width="9.140625" style="13"/>
  </cols>
  <sheetData>
    <row r="1" spans="1:21" ht="34.5" x14ac:dyDescent="0.25">
      <c r="A1" s="189" t="s">
        <v>164</v>
      </c>
      <c r="B1" s="189"/>
      <c r="C1" s="4" t="s">
        <v>70</v>
      </c>
      <c r="D1" s="4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4" spans="1:21" ht="30" x14ac:dyDescent="0.25">
      <c r="A4" s="125" t="s">
        <v>68</v>
      </c>
      <c r="B4" s="125"/>
      <c r="C4" s="125"/>
      <c r="D4" s="125"/>
      <c r="E4" s="125"/>
      <c r="F4" s="125"/>
      <c r="G4" s="125"/>
      <c r="H4" s="125"/>
      <c r="I4" s="125"/>
    </row>
    <row r="6" spans="1:21" ht="30" customHeight="1" x14ac:dyDescent="0.25">
      <c r="F6" s="155" t="s">
        <v>65</v>
      </c>
      <c r="G6" s="157"/>
      <c r="H6" s="157"/>
      <c r="I6" s="156"/>
    </row>
    <row r="7" spans="1:21" s="19" customFormat="1" ht="49.5" customHeight="1" x14ac:dyDescent="0.25">
      <c r="A7" s="190" t="s">
        <v>69</v>
      </c>
      <c r="B7" s="191"/>
      <c r="C7" s="172" t="s">
        <v>63</v>
      </c>
      <c r="D7" s="172" t="s">
        <v>64</v>
      </c>
      <c r="E7" s="172" t="s">
        <v>66</v>
      </c>
      <c r="F7" s="172" t="s">
        <v>161</v>
      </c>
      <c r="G7" s="172" t="s">
        <v>148</v>
      </c>
      <c r="H7" s="172" t="s">
        <v>144</v>
      </c>
      <c r="I7" s="172" t="s">
        <v>145</v>
      </c>
      <c r="J7" s="85" t="s">
        <v>146</v>
      </c>
    </row>
    <row r="8" spans="1:21" s="19" customFormat="1" ht="19.5" customHeight="1" thickBot="1" x14ac:dyDescent="0.3">
      <c r="A8" s="192"/>
      <c r="B8" s="193"/>
      <c r="C8" s="194"/>
      <c r="D8" s="194"/>
      <c r="E8" s="194"/>
      <c r="F8" s="194"/>
      <c r="G8" s="194"/>
      <c r="H8" s="194"/>
      <c r="I8" s="194"/>
      <c r="J8" s="15"/>
    </row>
    <row r="9" spans="1:21" ht="18.75" customHeight="1" x14ac:dyDescent="0.25">
      <c r="A9" s="174" t="s">
        <v>162</v>
      </c>
      <c r="B9" s="175"/>
      <c r="C9" s="37" t="s">
        <v>56</v>
      </c>
      <c r="D9" s="38">
        <v>74</v>
      </c>
      <c r="E9" s="104">
        <v>30.5</v>
      </c>
      <c r="F9" s="86">
        <v>0</v>
      </c>
      <c r="G9" s="86">
        <v>0</v>
      </c>
      <c r="H9" s="86">
        <v>31</v>
      </c>
      <c r="I9" s="87">
        <v>0</v>
      </c>
    </row>
    <row r="10" spans="1:21" ht="18.75" customHeight="1" x14ac:dyDescent="0.25">
      <c r="A10" s="176"/>
      <c r="B10" s="177"/>
      <c r="C10" s="88" t="s">
        <v>147</v>
      </c>
      <c r="D10" s="82">
        <v>74</v>
      </c>
      <c r="E10" s="105">
        <v>33.5</v>
      </c>
      <c r="F10" s="89">
        <v>0</v>
      </c>
      <c r="G10" s="89">
        <v>0</v>
      </c>
      <c r="H10" s="89">
        <v>34</v>
      </c>
      <c r="I10" s="90">
        <v>0</v>
      </c>
    </row>
    <row r="11" spans="1:21" ht="18" customHeight="1" x14ac:dyDescent="0.25">
      <c r="A11" s="176"/>
      <c r="B11" s="177"/>
      <c r="C11" s="27" t="s">
        <v>43</v>
      </c>
      <c r="D11" s="34">
        <v>62</v>
      </c>
      <c r="E11" s="106">
        <v>2</v>
      </c>
      <c r="F11" s="91">
        <v>2</v>
      </c>
      <c r="G11" s="91">
        <v>2</v>
      </c>
      <c r="H11" s="91">
        <v>2</v>
      </c>
      <c r="I11" s="92">
        <v>0</v>
      </c>
    </row>
    <row r="12" spans="1:21" ht="18" customHeight="1" x14ac:dyDescent="0.25">
      <c r="A12" s="176"/>
      <c r="B12" s="177"/>
      <c r="C12" s="27" t="s">
        <v>44</v>
      </c>
      <c r="D12" s="34">
        <v>74</v>
      </c>
      <c r="E12" s="106">
        <v>0</v>
      </c>
      <c r="F12" s="91">
        <v>0</v>
      </c>
      <c r="G12" s="91">
        <v>0</v>
      </c>
      <c r="H12" s="91">
        <v>0</v>
      </c>
      <c r="I12" s="92">
        <v>0</v>
      </c>
    </row>
    <row r="13" spans="1:21" ht="18" customHeight="1" x14ac:dyDescent="0.25">
      <c r="A13" s="176"/>
      <c r="B13" s="177"/>
      <c r="C13" s="27" t="s">
        <v>58</v>
      </c>
      <c r="D13" s="34">
        <v>74</v>
      </c>
      <c r="E13" s="106">
        <v>0.5</v>
      </c>
      <c r="F13" s="91">
        <v>1</v>
      </c>
      <c r="G13" s="91">
        <v>1</v>
      </c>
      <c r="H13" s="91">
        <v>1</v>
      </c>
      <c r="I13" s="92">
        <v>1</v>
      </c>
    </row>
    <row r="14" spans="1:21" ht="18" customHeight="1" x14ac:dyDescent="0.25">
      <c r="A14" s="176"/>
      <c r="B14" s="177"/>
      <c r="C14" s="27" t="s">
        <v>46</v>
      </c>
      <c r="D14" s="34">
        <v>62</v>
      </c>
      <c r="E14" s="106">
        <v>30</v>
      </c>
      <c r="F14" s="93">
        <v>30</v>
      </c>
      <c r="G14" s="93">
        <v>30</v>
      </c>
      <c r="H14" s="93">
        <v>30</v>
      </c>
      <c r="I14" s="94">
        <v>0</v>
      </c>
    </row>
    <row r="15" spans="1:21" ht="18" customHeight="1" x14ac:dyDescent="0.25">
      <c r="A15" s="176"/>
      <c r="B15" s="177"/>
      <c r="C15" s="27" t="s">
        <v>151</v>
      </c>
      <c r="D15" s="34">
        <v>62</v>
      </c>
      <c r="E15" s="106">
        <v>2</v>
      </c>
      <c r="F15" s="93">
        <v>2</v>
      </c>
      <c r="G15" s="93">
        <v>2</v>
      </c>
      <c r="H15" s="93">
        <v>2</v>
      </c>
      <c r="I15" s="94">
        <v>0</v>
      </c>
    </row>
    <row r="16" spans="1:21" ht="18" customHeight="1" thickBot="1" x14ac:dyDescent="0.3">
      <c r="A16" s="176"/>
      <c r="B16" s="177"/>
      <c r="C16" s="27" t="s">
        <v>59</v>
      </c>
      <c r="D16" s="34">
        <v>62</v>
      </c>
      <c r="E16" s="106">
        <v>5</v>
      </c>
      <c r="F16" s="91">
        <v>5</v>
      </c>
      <c r="G16" s="91">
        <v>5</v>
      </c>
      <c r="H16" s="91">
        <v>5</v>
      </c>
      <c r="I16" s="92">
        <v>0</v>
      </c>
    </row>
    <row r="17" spans="1:19" ht="28.5" customHeight="1" x14ac:dyDescent="0.25">
      <c r="A17" s="176"/>
      <c r="B17" s="177"/>
      <c r="C17" s="101" t="s">
        <v>165</v>
      </c>
      <c r="D17" s="34">
        <v>62</v>
      </c>
      <c r="E17" s="106">
        <v>11</v>
      </c>
      <c r="F17" s="102">
        <v>11</v>
      </c>
      <c r="G17" s="102">
        <v>11</v>
      </c>
      <c r="H17" s="102">
        <v>11</v>
      </c>
      <c r="I17" s="103">
        <v>0</v>
      </c>
      <c r="K17" s="180" t="s">
        <v>159</v>
      </c>
      <c r="L17" s="181"/>
      <c r="M17" s="181"/>
      <c r="N17" s="181"/>
      <c r="O17" s="181"/>
      <c r="P17" s="181"/>
      <c r="Q17" s="181"/>
      <c r="R17" s="182"/>
    </row>
    <row r="18" spans="1:19" ht="28.5" x14ac:dyDescent="0.25">
      <c r="A18" s="176"/>
      <c r="B18" s="177"/>
      <c r="C18" s="101" t="s">
        <v>166</v>
      </c>
      <c r="D18" s="34">
        <v>62</v>
      </c>
      <c r="E18" s="106">
        <v>7</v>
      </c>
      <c r="F18" s="102">
        <v>7</v>
      </c>
      <c r="G18" s="102">
        <v>7</v>
      </c>
      <c r="H18" s="102">
        <v>7</v>
      </c>
      <c r="I18" s="103">
        <v>0</v>
      </c>
      <c r="K18" s="183"/>
      <c r="L18" s="184"/>
      <c r="M18" s="184"/>
      <c r="N18" s="184"/>
      <c r="O18" s="184"/>
      <c r="P18" s="184"/>
      <c r="Q18" s="184"/>
      <c r="R18" s="185"/>
    </row>
    <row r="19" spans="1:19" ht="18" customHeight="1" x14ac:dyDescent="0.25">
      <c r="A19" s="176"/>
      <c r="B19" s="177"/>
      <c r="C19" s="27" t="s">
        <v>62</v>
      </c>
      <c r="D19" s="34">
        <v>62</v>
      </c>
      <c r="E19" s="106">
        <v>10</v>
      </c>
      <c r="F19" s="93">
        <v>10</v>
      </c>
      <c r="G19" s="93">
        <v>10</v>
      </c>
      <c r="H19" s="93">
        <v>10</v>
      </c>
      <c r="I19" s="94">
        <v>0</v>
      </c>
      <c r="K19" s="183"/>
      <c r="L19" s="184"/>
      <c r="M19" s="184"/>
      <c r="N19" s="184"/>
      <c r="O19" s="184"/>
      <c r="P19" s="184"/>
      <c r="Q19" s="184"/>
      <c r="R19" s="185"/>
    </row>
    <row r="20" spans="1:19" ht="18" customHeight="1" x14ac:dyDescent="0.25">
      <c r="A20" s="176"/>
      <c r="B20" s="177"/>
      <c r="C20" s="27" t="s">
        <v>38</v>
      </c>
      <c r="D20" s="34">
        <v>62</v>
      </c>
      <c r="E20" s="106">
        <v>6</v>
      </c>
      <c r="F20" s="93">
        <v>6</v>
      </c>
      <c r="G20" s="93">
        <v>6</v>
      </c>
      <c r="H20" s="93">
        <v>6</v>
      </c>
      <c r="I20" s="94">
        <v>0</v>
      </c>
      <c r="K20" s="183"/>
      <c r="L20" s="184"/>
      <c r="M20" s="184"/>
      <c r="N20" s="184"/>
      <c r="O20" s="184"/>
      <c r="P20" s="184"/>
      <c r="Q20" s="184"/>
      <c r="R20" s="185"/>
    </row>
    <row r="21" spans="1:19" ht="18" customHeight="1" x14ac:dyDescent="0.25">
      <c r="A21" s="176"/>
      <c r="B21" s="177"/>
      <c r="C21" s="27" t="s">
        <v>47</v>
      </c>
      <c r="D21" s="34">
        <v>74</v>
      </c>
      <c r="E21" s="106">
        <v>0</v>
      </c>
      <c r="F21" s="93">
        <v>0</v>
      </c>
      <c r="G21" s="93">
        <v>0</v>
      </c>
      <c r="H21" s="93">
        <v>0</v>
      </c>
      <c r="I21" s="94">
        <v>0</v>
      </c>
      <c r="K21" s="183"/>
      <c r="L21" s="184"/>
      <c r="M21" s="184"/>
      <c r="N21" s="184"/>
      <c r="O21" s="184"/>
      <c r="P21" s="184"/>
      <c r="Q21" s="184"/>
      <c r="R21" s="185"/>
    </row>
    <row r="22" spans="1:19" ht="18" customHeight="1" x14ac:dyDescent="0.25">
      <c r="A22" s="176"/>
      <c r="B22" s="177"/>
      <c r="C22" s="27" t="s">
        <v>48</v>
      </c>
      <c r="D22" s="34">
        <v>74</v>
      </c>
      <c r="E22" s="106">
        <v>0</v>
      </c>
      <c r="F22" s="93">
        <v>0</v>
      </c>
      <c r="G22" s="93">
        <v>0</v>
      </c>
      <c r="H22" s="93">
        <v>0</v>
      </c>
      <c r="I22" s="94">
        <v>0</v>
      </c>
      <c r="K22" s="183"/>
      <c r="L22" s="184"/>
      <c r="M22" s="184"/>
      <c r="N22" s="184"/>
      <c r="O22" s="184"/>
      <c r="P22" s="184"/>
      <c r="Q22" s="184"/>
      <c r="R22" s="185"/>
    </row>
    <row r="23" spans="1:19" ht="18" customHeight="1" x14ac:dyDescent="0.25">
      <c r="A23" s="176"/>
      <c r="B23" s="177"/>
      <c r="C23" s="27" t="s">
        <v>49</v>
      </c>
      <c r="D23" s="34">
        <v>74</v>
      </c>
      <c r="E23" s="106">
        <v>0</v>
      </c>
      <c r="F23" s="93">
        <v>0</v>
      </c>
      <c r="G23" s="93">
        <v>0</v>
      </c>
      <c r="H23" s="93">
        <v>0</v>
      </c>
      <c r="I23" s="94">
        <v>0</v>
      </c>
      <c r="K23" s="183"/>
      <c r="L23" s="184"/>
      <c r="M23" s="184"/>
      <c r="N23" s="184"/>
      <c r="O23" s="184"/>
      <c r="P23" s="184"/>
      <c r="Q23" s="184"/>
      <c r="R23" s="185"/>
      <c r="S23" s="81"/>
    </row>
    <row r="24" spans="1:19" ht="18" customHeight="1" x14ac:dyDescent="0.25">
      <c r="A24" s="176"/>
      <c r="B24" s="177"/>
      <c r="C24" s="27" t="s">
        <v>50</v>
      </c>
      <c r="D24" s="34">
        <v>62</v>
      </c>
      <c r="E24" s="106">
        <v>0</v>
      </c>
      <c r="F24" s="93">
        <v>0</v>
      </c>
      <c r="G24" s="93">
        <v>0</v>
      </c>
      <c r="H24" s="93">
        <v>0</v>
      </c>
      <c r="I24" s="94">
        <v>0</v>
      </c>
      <c r="K24" s="183"/>
      <c r="L24" s="184"/>
      <c r="M24" s="184"/>
      <c r="N24" s="184"/>
      <c r="O24" s="184"/>
      <c r="P24" s="184"/>
      <c r="Q24" s="184"/>
      <c r="R24" s="185"/>
      <c r="S24" s="81"/>
    </row>
    <row r="25" spans="1:19" ht="18" customHeight="1" thickBot="1" x14ac:dyDescent="0.3">
      <c r="A25" s="176"/>
      <c r="B25" s="177"/>
      <c r="C25" s="27" t="s">
        <v>51</v>
      </c>
      <c r="D25" s="34">
        <v>62</v>
      </c>
      <c r="E25" s="106">
        <v>0.5</v>
      </c>
      <c r="F25" s="93">
        <v>1</v>
      </c>
      <c r="G25" s="93">
        <v>1</v>
      </c>
      <c r="H25" s="93">
        <v>1</v>
      </c>
      <c r="I25" s="94">
        <v>0</v>
      </c>
      <c r="K25" s="186"/>
      <c r="L25" s="187"/>
      <c r="M25" s="187"/>
      <c r="N25" s="187"/>
      <c r="O25" s="187"/>
      <c r="P25" s="187"/>
      <c r="Q25" s="187"/>
      <c r="R25" s="188"/>
    </row>
    <row r="26" spans="1:19" ht="18" customHeight="1" x14ac:dyDescent="0.25">
      <c r="A26" s="176"/>
      <c r="B26" s="177"/>
      <c r="C26" s="27" t="s">
        <v>36</v>
      </c>
      <c r="D26" s="34">
        <v>74</v>
      </c>
      <c r="E26" s="106">
        <v>0</v>
      </c>
      <c r="F26" s="93">
        <v>0</v>
      </c>
      <c r="G26" s="93">
        <v>0</v>
      </c>
      <c r="H26" s="93">
        <v>0</v>
      </c>
      <c r="I26" s="94">
        <v>0</v>
      </c>
    </row>
    <row r="27" spans="1:19" ht="18" customHeight="1" x14ac:dyDescent="0.25">
      <c r="A27" s="176"/>
      <c r="B27" s="177"/>
      <c r="C27" s="27" t="s">
        <v>52</v>
      </c>
      <c r="D27" s="34">
        <v>74</v>
      </c>
      <c r="E27" s="106">
        <v>0</v>
      </c>
      <c r="F27" s="93">
        <v>0</v>
      </c>
      <c r="G27" s="93">
        <v>0</v>
      </c>
      <c r="H27" s="93">
        <v>0</v>
      </c>
      <c r="I27" s="94">
        <v>0</v>
      </c>
    </row>
    <row r="28" spans="1:19" ht="18" customHeight="1" x14ac:dyDescent="0.25">
      <c r="A28" s="176"/>
      <c r="B28" s="177"/>
      <c r="C28" s="27" t="s">
        <v>53</v>
      </c>
      <c r="D28" s="34">
        <v>74</v>
      </c>
      <c r="E28" s="106">
        <v>1</v>
      </c>
      <c r="F28" s="93">
        <v>1</v>
      </c>
      <c r="G28" s="93">
        <v>1</v>
      </c>
      <c r="H28" s="93">
        <v>1</v>
      </c>
      <c r="I28" s="94">
        <v>1</v>
      </c>
    </row>
    <row r="29" spans="1:19" ht="18" customHeight="1" thickBot="1" x14ac:dyDescent="0.3">
      <c r="A29" s="178"/>
      <c r="B29" s="179"/>
      <c r="C29" s="40"/>
      <c r="D29" s="39"/>
      <c r="E29" s="107"/>
      <c r="F29" s="95"/>
      <c r="G29" s="95"/>
      <c r="H29" s="95"/>
      <c r="I29" s="96"/>
    </row>
    <row r="30" spans="1:19" ht="15.75" hidden="1" customHeight="1" x14ac:dyDescent="0.25">
      <c r="C30" s="35"/>
      <c r="D30" s="26"/>
      <c r="E30" s="108"/>
      <c r="F30" s="23" t="e">
        <f>SUM(#REF!*#REF!)*#REF!</f>
        <v>#REF!</v>
      </c>
      <c r="G30" s="23"/>
      <c r="H30" s="23" t="e">
        <f>SUM(#REF!*#REF!)*#REF!</f>
        <v>#REF!</v>
      </c>
      <c r="I30" s="23" t="e">
        <f>SUM(#REF!*#REF!)*#REF!</f>
        <v>#REF!</v>
      </c>
    </row>
    <row r="31" spans="1:19" ht="15" customHeight="1" x14ac:dyDescent="0.25">
      <c r="A31" s="174" t="s">
        <v>163</v>
      </c>
      <c r="B31" s="175"/>
      <c r="C31" s="88" t="s">
        <v>152</v>
      </c>
      <c r="D31" s="82">
        <v>62</v>
      </c>
      <c r="E31" s="105">
        <v>10</v>
      </c>
      <c r="F31" s="89">
        <v>10</v>
      </c>
      <c r="G31" s="89">
        <v>10</v>
      </c>
      <c r="H31" s="89">
        <v>10</v>
      </c>
      <c r="I31" s="90">
        <v>0</v>
      </c>
    </row>
    <row r="32" spans="1:19" ht="15" customHeight="1" x14ac:dyDescent="0.25">
      <c r="A32" s="176"/>
      <c r="B32" s="177"/>
      <c r="C32" s="27" t="s">
        <v>45</v>
      </c>
      <c r="D32" s="34">
        <v>74</v>
      </c>
      <c r="E32" s="106">
        <v>12</v>
      </c>
      <c r="F32" s="91">
        <v>12</v>
      </c>
      <c r="G32" s="91">
        <v>12</v>
      </c>
      <c r="H32" s="91">
        <v>12</v>
      </c>
      <c r="I32" s="92">
        <v>12</v>
      </c>
    </row>
    <row r="33" spans="1:9" ht="15" customHeight="1" x14ac:dyDescent="0.25">
      <c r="A33" s="176"/>
      <c r="B33" s="177"/>
      <c r="C33" s="97" t="s">
        <v>54</v>
      </c>
      <c r="D33" s="98">
        <v>74</v>
      </c>
      <c r="E33" s="109">
        <v>1</v>
      </c>
      <c r="F33" s="99">
        <v>1</v>
      </c>
      <c r="G33" s="99">
        <v>1</v>
      </c>
      <c r="H33" s="99">
        <v>1</v>
      </c>
      <c r="I33" s="100">
        <v>1</v>
      </c>
    </row>
    <row r="34" spans="1:9" ht="15.75" customHeight="1" thickBot="1" x14ac:dyDescent="0.3">
      <c r="A34" s="178"/>
      <c r="B34" s="179"/>
      <c r="C34" s="111" t="s">
        <v>183</v>
      </c>
      <c r="D34" s="112">
        <v>35</v>
      </c>
      <c r="E34" s="112" t="s">
        <v>184</v>
      </c>
      <c r="F34" s="112">
        <v>0</v>
      </c>
      <c r="G34" s="112" t="s">
        <v>184</v>
      </c>
      <c r="H34" s="112" t="s">
        <v>184</v>
      </c>
      <c r="I34" s="113">
        <v>0</v>
      </c>
    </row>
    <row r="35" spans="1:9" x14ac:dyDescent="0.25">
      <c r="A35" s="22"/>
      <c r="C35" s="13"/>
    </row>
    <row r="36" spans="1:9" x14ac:dyDescent="0.25">
      <c r="A36" s="22"/>
      <c r="C36" s="13"/>
    </row>
    <row r="37" spans="1:9" x14ac:dyDescent="0.25">
      <c r="A37" s="22"/>
      <c r="C37" s="13"/>
    </row>
    <row r="38" spans="1:9" x14ac:dyDescent="0.25">
      <c r="A38" s="22"/>
      <c r="C38" s="13"/>
    </row>
    <row r="39" spans="1:9" x14ac:dyDescent="0.25">
      <c r="A39" s="22"/>
      <c r="C39" s="13"/>
    </row>
    <row r="40" spans="1:9" x14ac:dyDescent="0.25">
      <c r="A40" s="22"/>
      <c r="C40" s="13"/>
    </row>
    <row r="41" spans="1:9" x14ac:dyDescent="0.25">
      <c r="A41" s="22"/>
      <c r="C41" s="13"/>
    </row>
    <row r="42" spans="1:9" x14ac:dyDescent="0.25">
      <c r="A42" s="22"/>
      <c r="C42" s="13"/>
    </row>
    <row r="43" spans="1:9" x14ac:dyDescent="0.25">
      <c r="A43" s="22"/>
      <c r="C43" s="13"/>
    </row>
    <row r="44" spans="1:9" x14ac:dyDescent="0.25">
      <c r="A44" s="22"/>
      <c r="C44" s="13"/>
    </row>
    <row r="45" spans="1:9" x14ac:dyDescent="0.25">
      <c r="A45" s="22"/>
      <c r="C45" s="13"/>
    </row>
    <row r="46" spans="1:9" x14ac:dyDescent="0.25">
      <c r="A46" s="22"/>
      <c r="C46" s="13"/>
    </row>
    <row r="47" spans="1:9" x14ac:dyDescent="0.25">
      <c r="A47" s="22"/>
      <c r="C47" s="13"/>
    </row>
    <row r="69" spans="1:3" x14ac:dyDescent="0.25">
      <c r="A69" s="22"/>
      <c r="C69" s="13"/>
    </row>
    <row r="70" spans="1:3" x14ac:dyDescent="0.25">
      <c r="A70" s="22"/>
      <c r="C70" s="13"/>
    </row>
  </sheetData>
  <mergeCells count="14">
    <mergeCell ref="A9:B29"/>
    <mergeCell ref="K17:R25"/>
    <mergeCell ref="A31:B34"/>
    <mergeCell ref="A1:B1"/>
    <mergeCell ref="A4:I4"/>
    <mergeCell ref="A7:B8"/>
    <mergeCell ref="E7:E8"/>
    <mergeCell ref="D7:D8"/>
    <mergeCell ref="C7:C8"/>
    <mergeCell ref="F6:I6"/>
    <mergeCell ref="I7:I8"/>
    <mergeCell ref="H7:H8"/>
    <mergeCell ref="G7:G8"/>
    <mergeCell ref="F7:F8"/>
  </mergeCells>
  <pageMargins left="0.7" right="0.7" top="0.75" bottom="0.75" header="0.3" footer="0.3"/>
  <pageSetup paperSize="9" scale="33" orientation="landscape" r:id="rId1"/>
  <drawing r:id="rId2"/>
</worksheet>
</file>

<file path=customXML/_rels/item2.xml.rels>&#65279;<?xml version="1.0" encoding="utf-8"?><Relationships xmlns="http://schemas.openxmlformats.org/package/2006/relationships"><Relationship Type="http://schemas.openxmlformats.org/officeDocument/2006/relationships/customXmlProps" Target="/customXML/itemProps2.xml" Id="Rd3c4172d526e4b2384ade4b889302c76" /></Relationships>
</file>

<file path=customXML/item2.xml><?xml version="1.0" encoding="utf-8"?>
<metadata xmlns="http://www.objective.com/ecm/document/metadata/0B3863E18DF240919C16D6794A52FDA5" version="1.0.0">
  <systemFields>
    <field name="Objective-Id">
      <value order="0">A7824694</value>
    </field>
    <field name="Objective-Title">
      <value order="0">Request for Tender - SRC006427 - Annexure D - Pricing Schedule Template - Northern Territory</value>
    </field>
    <field name="Objective-Description">
      <value order="0"/>
    </field>
    <field name="Objective-CreationStamp">
      <value order="0">2026-06-05T05:50:20Z</value>
    </field>
    <field name="Objective-IsApproved">
      <value order="0">false</value>
    </field>
    <field name="Objective-IsPublished">
      <value order="0">true</value>
    </field>
    <field name="Objective-DatePublished">
      <value order="0">2026-06-05T05:50:22Z</value>
    </field>
    <field name="Objective-ModificationStamp">
      <value order="0">2026-06-10T00:40:03Z</value>
    </field>
    <field name="Objective-Owner">
      <value order="0">Michael Pal</value>
    </field>
    <field name="Objective-Path">
      <value order="0">Objective Global Folder:AEC File Plan:Deputy Electoral Commissioner:Service Delivery Group:Event Workforce, Property and Supply Chain Branch: Event Property and Supply Chain:Supply Chain:07. Furniture:SRC006247 - Provision of furniture, warehousing and other equipment for Electoral Events:01. SRC006247 - For Clearance - Provision of furniture, warehousing and other equipment for events:Stage 1 Review:Annexures</value>
    </field>
    <field name="Objective-Parent">
      <value order="0">Annexures</value>
    </field>
    <field name="Objective-State">
      <value order="0">Published</value>
    </field>
    <field name="Objective-VersionId">
      <value order="0">vA10201999</value>
    </field>
    <field name="Objective-Version">
      <value order="0">1.0</value>
    </field>
    <field name="Objective-VersionNumber">
      <value order="0">1</value>
    </field>
    <field name="Objective-VersionComment">
      <value order="0"/>
    </field>
    <field name="Objective-FileNumber">
      <value order="0">2026/3743</value>
    </field>
    <field name="Objective-Classification">
      <value order="0">OFFICIAL</value>
    </field>
    <field name="Objective-Caveats">
      <value order="0"/>
    </field>
  </systemFields>
  <catalogues>
    <catalogue name="Document Type Catalogue" type="type" ori="id:cA91">
      <field name="Objective-Next Review Date">
        <value order="0"/>
      </field>
      <field name="Objective-Document approver">
        <value order="0"/>
      </field>
      <field name="Objective-Approver role">
        <value order="0"/>
      </field>
      <field name="Objective-Date approved">
        <value order="0"/>
      </field>
      <field name="Objective-Version approved">
        <value order="0"/>
      </field>
      <field name="Objective-Approval history">
        <value order="0"/>
      </field>
    </catalogue>
  </catalogues>
</metadata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0B3863E18DF240919C16D6794A52FD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 Group 1 </vt:lpstr>
      <vt:lpstr>Contents</vt:lpstr>
      <vt:lpstr>1. Pricing Schedule</vt:lpstr>
      <vt:lpstr>2. Volume Discounts</vt:lpstr>
      <vt:lpstr>3. Additional Services</vt:lpstr>
      <vt:lpstr>4. Static Polling Places</vt:lpstr>
      <vt:lpstr>5. Pre-Polling Voting Centre</vt:lpstr>
      <vt:lpstr>6. Out-Posted Centre </vt:lpstr>
    </vt:vector>
  </TitlesOfParts>
  <Company>Australian Electoral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Carvalho</dc:creator>
  <cp:lastModifiedBy>Michael Pal</cp:lastModifiedBy>
  <cp:lastPrinted>2021-06-14T06:00:59Z</cp:lastPrinted>
  <dcterms:created xsi:type="dcterms:W3CDTF">2020-11-13T02:58:37Z</dcterms:created>
  <dcterms:modified xsi:type="dcterms:W3CDTF">2026-06-05T05:44:35Z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A7824694</vt:lpwstr>
  </property>
  <property fmtid="{D5CDD505-2E9C-101B-9397-08002B2CF9AE}" pid="4" name="Objective-Title">
    <vt:lpwstr>Request for Tender - SRC006427 - Annexure D - Pricing Schedule Template - Northern Territory</vt:lpwstr>
  </property>
  <property fmtid="{D5CDD505-2E9C-101B-9397-08002B2CF9AE}" pid="5" name="Objective-Description">
    <vt:lpwstr/>
  </property>
  <property fmtid="{D5CDD505-2E9C-101B-9397-08002B2CF9AE}" pid="6" name="Objective-CreationStamp">
    <vt:filetime>2026-06-05T05:50:20Z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2026-06-05T05:50:22Z</vt:filetime>
  </property>
  <property fmtid="{D5CDD505-2E9C-101B-9397-08002B2CF9AE}" pid="10" name="Objective-ModificationStamp">
    <vt:filetime>2026-06-10T00:40:03Z</vt:filetime>
  </property>
  <property fmtid="{D5CDD505-2E9C-101B-9397-08002B2CF9AE}" pid="11" name="Objective-Owner">
    <vt:lpwstr>Michael Pal</vt:lpwstr>
  </property>
  <property fmtid="{D5CDD505-2E9C-101B-9397-08002B2CF9AE}" pid="12" name="Objective-Path">
    <vt:lpwstr>Objective Global Folder:AEC File Plan:Deputy Electoral Commissioner:Service Delivery Group:Event Workforce, Property and Supply Chain Branch: Event Property and Supply Chain:Supply Chain:07. Furniture:SRC006247 - Provision of furniture, warehousing and other equipment for Electoral Events:01. SRC006247 - For Clearance - Provision of furniture, warehousing and other equipment for events:Stage 1 Review:Annexures</vt:lpwstr>
  </property>
  <property fmtid="{D5CDD505-2E9C-101B-9397-08002B2CF9AE}" pid="13" name="Objective-Parent">
    <vt:lpwstr>Annexures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vA10201999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/>
  </property>
  <property fmtid="{D5CDD505-2E9C-101B-9397-08002B2CF9AE}" pid="19" name="Objective-FileNumber">
    <vt:lpwstr>2026/3743</vt:lpwstr>
  </property>
  <property fmtid="{D5CDD505-2E9C-101B-9397-08002B2CF9AE}" pid="20" name="Objective-Classification">
    <vt:lpwstr>OFFICIAL</vt:lpwstr>
  </property>
  <property fmtid="{D5CDD505-2E9C-101B-9397-08002B2CF9AE}" pid="21" name="Objective-Caveats">
    <vt:lpwstr/>
  </property>
  <property fmtid="{D5CDD505-2E9C-101B-9397-08002B2CF9AE}" pid="22" name="Objective-Comment">
    <vt:lpwstr/>
  </property>
  <property fmtid="{D5CDD505-2E9C-101B-9397-08002B2CF9AE}" pid="23" name="MSIP_Label_cbfd5943-f87e-40ae-9ab7-ca0a2fbb12c2_Enabled">
    <vt:lpwstr>true</vt:lpwstr>
  </property>
  <property fmtid="{D5CDD505-2E9C-101B-9397-08002B2CF9AE}" pid="24" name="MSIP_Label_cbfd5943-f87e-40ae-9ab7-ca0a2fbb12c2_SetDate">
    <vt:lpwstr>2026-03-03T23:57:45Z</vt:lpwstr>
  </property>
  <property fmtid="{D5CDD505-2E9C-101B-9397-08002B2CF9AE}" pid="25" name="MSIP_Label_cbfd5943-f87e-40ae-9ab7-ca0a2fbb12c2_Method">
    <vt:lpwstr>Privileged</vt:lpwstr>
  </property>
  <property fmtid="{D5CDD505-2E9C-101B-9397-08002B2CF9AE}" pid="26" name="MSIP_Label_cbfd5943-f87e-40ae-9ab7-ca0a2fbb12c2_Name">
    <vt:lpwstr>OFFICIAL</vt:lpwstr>
  </property>
  <property fmtid="{D5CDD505-2E9C-101B-9397-08002B2CF9AE}" pid="27" name="MSIP_Label_cbfd5943-f87e-40ae-9ab7-ca0a2fbb12c2_SiteId">
    <vt:lpwstr>c1eefc4f-a78a-4616-a218-48ba01757af3</vt:lpwstr>
  </property>
  <property fmtid="{D5CDD505-2E9C-101B-9397-08002B2CF9AE}" pid="28" name="MSIP_Label_cbfd5943-f87e-40ae-9ab7-ca0a2fbb12c2_ActionId">
    <vt:lpwstr>a8d5e407-f36d-46a8-a163-17c2b18239ff</vt:lpwstr>
  </property>
  <property fmtid="{D5CDD505-2E9C-101B-9397-08002B2CF9AE}" pid="29" name="MSIP_Label_cbfd5943-f87e-40ae-9ab7-ca0a2fbb12c2_ContentBits">
    <vt:lpwstr>0</vt:lpwstr>
  </property>
  <property fmtid="{D5CDD505-2E9C-101B-9397-08002B2CF9AE}" pid="30" name="MSIP_Label_cbfd5943-f87e-40ae-9ab7-ca0a2fbb12c2_Tag">
    <vt:lpwstr>10, 0, 1, 1</vt:lpwstr>
  </property>
  <property fmtid="{D5CDD505-2E9C-101B-9397-08002B2CF9AE}" pid="31" name="Objective-Next Review Date">
    <vt:lpwstr/>
  </property>
  <property fmtid="{D5CDD505-2E9C-101B-9397-08002B2CF9AE}" pid="32" name="Objective-Document approver">
    <vt:lpwstr/>
  </property>
  <property fmtid="{D5CDD505-2E9C-101B-9397-08002B2CF9AE}" pid="33" name="Objective-Approver role">
    <vt:lpwstr/>
  </property>
  <property fmtid="{D5CDD505-2E9C-101B-9397-08002B2CF9AE}" pid="34" name="Objective-Date approved">
    <vt:lpwstr/>
  </property>
  <property fmtid="{D5CDD505-2E9C-101B-9397-08002B2CF9AE}" pid="35" name="Objective-Version approved">
    <vt:lpwstr/>
  </property>
  <property fmtid="{D5CDD505-2E9C-101B-9397-08002B2CF9AE}" pid="36" name="Objective-Approval history">
    <vt:lpwstr/>
  </property>
</Properties>
</file>