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icnprod01.sharepoint.com/sites/CHCH-OPO-CPM/Shared Documents/PMSB Kone SRC Refurb 25007/02 PROJECT-TWO/02.C71 CONTRACTS→HWC/02.C71.04 ATM Preparation/"/>
    </mc:Choice>
  </mc:AlternateContent>
  <xr:revisionPtr revIDLastSave="118" documentId="8_{EE77C2B9-CC7C-4139-9768-E56CDDEA3D87}" xr6:coauthVersionLast="47" xr6:coauthVersionMax="47" xr10:uidLastSave="{D2755363-5061-419B-94A8-197F0E1DFF8F}"/>
  <bookViews>
    <workbookView xWindow="7730" yWindow="200" windowWidth="28800" windowHeight="15370" tabRatio="767" firstSheet="1" activeTab="1" xr2:uid="{40AF2835-1188-42C5-B11B-9133459099FB}"/>
  </bookViews>
  <sheets>
    <sheet name="Summary" sheetId="22" r:id="rId1"/>
    <sheet name="Work Rates" sheetId="24" r:id="rId2"/>
    <sheet name="H1, H2, H7, H8" sheetId="1" r:id="rId3"/>
    <sheet name="H3" sheetId="3" r:id="rId4"/>
    <sheet name="H4, H14, H15, H36, H37, H38,H39" sheetId="4" r:id="rId5"/>
    <sheet name="H5" sheetId="5" r:id="rId6"/>
    <sheet name="H6" sheetId="6" r:id="rId7"/>
    <sheet name="H9, H11" sheetId="7" r:id="rId8"/>
    <sheet name="H10, H12" sheetId="8" r:id="rId9"/>
    <sheet name="H13, H16, H35" sheetId="9" r:id="rId10"/>
    <sheet name="H18, H23, H31" sheetId="10" r:id="rId11"/>
    <sheet name="H19, H30" sheetId="11" r:id="rId12"/>
    <sheet name="H20, H27" sheetId="12" r:id="rId13"/>
    <sheet name="H21, H34, H26" sheetId="13" r:id="rId14"/>
    <sheet name="H22, H33" sheetId="14" r:id="rId15"/>
    <sheet name="H24, H17" sheetId="15" r:id="rId16"/>
    <sheet name="H25, H29" sheetId="16" r:id="rId17"/>
    <sheet name="Preamble" sheetId="23" r:id="rId18"/>
    <sheet name="H28, H32" sheetId="17"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2" l="1"/>
  <c r="C65" i="22"/>
  <c r="C56" i="22"/>
  <c r="C55" i="22"/>
  <c r="C54" i="22"/>
  <c r="C53" i="22"/>
  <c r="C52" i="22"/>
  <c r="C51" i="22"/>
  <c r="C48" i="22"/>
  <c r="C47" i="22"/>
  <c r="C46" i="22"/>
  <c r="C45" i="22"/>
  <c r="C44" i="22"/>
  <c r="C43" i="22"/>
  <c r="C40" i="22"/>
  <c r="C39" i="22"/>
  <c r="C38" i="22"/>
  <c r="C37" i="22"/>
  <c r="C36" i="22"/>
  <c r="C35" i="22"/>
  <c r="C32" i="22"/>
  <c r="C31" i="22"/>
  <c r="C30" i="22"/>
  <c r="C29" i="22"/>
  <c r="C26" i="22"/>
  <c r="C25" i="22"/>
  <c r="C24" i="22"/>
  <c r="C23" i="22"/>
  <c r="C22" i="22"/>
  <c r="C21" i="22"/>
  <c r="C18" i="22"/>
  <c r="C17" i="22"/>
  <c r="C16" i="22"/>
  <c r="C15" i="22"/>
  <c r="C14" i="22"/>
  <c r="C13" i="22"/>
  <c r="C10" i="22"/>
  <c r="C9" i="22"/>
  <c r="C8" i="22"/>
  <c r="C7" i="22"/>
  <c r="F157" i="3"/>
  <c r="F210" i="3"/>
  <c r="F211" i="3" s="1"/>
  <c r="F194" i="3"/>
  <c r="F195" i="3" s="1"/>
  <c r="F181" i="3"/>
  <c r="F182" i="3" s="1"/>
  <c r="F169" i="3"/>
  <c r="F167" i="3"/>
  <c r="F166" i="3"/>
  <c r="F155" i="3"/>
  <c r="F154" i="3"/>
  <c r="F153" i="3"/>
  <c r="F152" i="3"/>
  <c r="F151" i="3"/>
  <c r="F150" i="3"/>
  <c r="F149" i="3"/>
  <c r="F148" i="3"/>
  <c r="F147" i="3"/>
  <c r="F146" i="3"/>
  <c r="F145" i="3"/>
  <c r="F144" i="3"/>
  <c r="F143" i="3"/>
  <c r="F142" i="3"/>
  <c r="F140" i="3"/>
  <c r="F139" i="3"/>
  <c r="F138" i="3"/>
  <c r="F137" i="3"/>
  <c r="F136" i="3"/>
  <c r="F134" i="3"/>
  <c r="F133" i="3"/>
  <c r="F132" i="3"/>
  <c r="F129" i="3"/>
  <c r="F124" i="3"/>
  <c r="F123" i="3"/>
  <c r="F121" i="3"/>
  <c r="F115" i="3"/>
  <c r="F114" i="3"/>
  <c r="F112" i="3"/>
  <c r="F111" i="3"/>
  <c r="F109" i="3"/>
  <c r="F107" i="3"/>
  <c r="F105" i="3"/>
  <c r="F104" i="3"/>
  <c r="F102" i="3"/>
  <c r="F100" i="3"/>
  <c r="F89" i="3"/>
  <c r="F88" i="3"/>
  <c r="F87" i="3"/>
  <c r="F79" i="3"/>
  <c r="F80" i="3" s="1"/>
  <c r="F72" i="3"/>
  <c r="F71" i="3"/>
  <c r="F69" i="3"/>
  <c r="F68" i="3"/>
  <c r="F59" i="3"/>
  <c r="F57" i="3"/>
  <c r="F55" i="3"/>
  <c r="F54" i="3"/>
  <c r="F53" i="3"/>
  <c r="F51" i="3"/>
  <c r="F38" i="3"/>
  <c r="F37" i="3"/>
  <c r="F36" i="3"/>
  <c r="F35" i="3"/>
  <c r="F33" i="3"/>
  <c r="F32" i="3"/>
  <c r="F31" i="3"/>
  <c r="F30" i="3"/>
  <c r="F29" i="3"/>
  <c r="F28" i="3"/>
  <c r="F27" i="3"/>
  <c r="F26" i="3"/>
  <c r="F25" i="3"/>
  <c r="F24" i="3"/>
  <c r="F23" i="3"/>
  <c r="F22" i="3"/>
  <c r="F21" i="3"/>
  <c r="F20" i="3"/>
  <c r="F18" i="3"/>
  <c r="F16" i="3"/>
  <c r="F15" i="3"/>
  <c r="F115" i="4"/>
  <c r="F114" i="4"/>
  <c r="F116" i="4" s="1"/>
  <c r="F59" i="4"/>
  <c r="F57" i="4"/>
  <c r="F211" i="4"/>
  <c r="F212" i="4" s="1"/>
  <c r="F195" i="4"/>
  <c r="F196" i="4" s="1"/>
  <c r="F182" i="4"/>
  <c r="F183" i="4" s="1"/>
  <c r="F170" i="4"/>
  <c r="F168" i="4"/>
  <c r="F167" i="4"/>
  <c r="F158" i="4"/>
  <c r="F156" i="4"/>
  <c r="F155" i="4"/>
  <c r="F154" i="4"/>
  <c r="F153" i="4"/>
  <c r="F152" i="4"/>
  <c r="F151" i="4"/>
  <c r="F150" i="4"/>
  <c r="F149" i="4"/>
  <c r="F148" i="4"/>
  <c r="F147" i="4"/>
  <c r="F146" i="4"/>
  <c r="F145" i="4"/>
  <c r="F144" i="4"/>
  <c r="F143" i="4"/>
  <c r="F142" i="4"/>
  <c r="F140" i="4"/>
  <c r="F139" i="4"/>
  <c r="F138" i="4"/>
  <c r="F137" i="4"/>
  <c r="F136" i="4"/>
  <c r="F134" i="4"/>
  <c r="F133" i="4"/>
  <c r="F132" i="4"/>
  <c r="F129" i="4"/>
  <c r="F124" i="4"/>
  <c r="F123" i="4"/>
  <c r="F121" i="4"/>
  <c r="F112" i="4"/>
  <c r="F111" i="4"/>
  <c r="F109" i="4"/>
  <c r="F107" i="4"/>
  <c r="F105" i="4"/>
  <c r="F104" i="4"/>
  <c r="F102" i="4"/>
  <c r="F100" i="4"/>
  <c r="F89" i="4"/>
  <c r="F88" i="4"/>
  <c r="F87" i="4"/>
  <c r="F79" i="4"/>
  <c r="F80" i="4" s="1"/>
  <c r="F72" i="4"/>
  <c r="F71" i="4"/>
  <c r="F69" i="4"/>
  <c r="F68" i="4"/>
  <c r="F73" i="4" s="1"/>
  <c r="F55" i="4"/>
  <c r="F54" i="4"/>
  <c r="F53" i="4"/>
  <c r="F51" i="4"/>
  <c r="F38" i="4"/>
  <c r="F37" i="4"/>
  <c r="F36" i="4"/>
  <c r="F35" i="4"/>
  <c r="F33" i="4"/>
  <c r="F32" i="4"/>
  <c r="F31" i="4"/>
  <c r="F30" i="4"/>
  <c r="F29" i="4"/>
  <c r="F28" i="4"/>
  <c r="F27" i="4"/>
  <c r="F26" i="4"/>
  <c r="F25" i="4"/>
  <c r="F24" i="4"/>
  <c r="F23" i="4"/>
  <c r="F22" i="4"/>
  <c r="F21" i="4"/>
  <c r="F20" i="4"/>
  <c r="F18" i="4"/>
  <c r="F16" i="4"/>
  <c r="F15" i="4"/>
  <c r="F209" i="5"/>
  <c r="F210" i="5" s="1"/>
  <c r="F193" i="5"/>
  <c r="F194" i="5" s="1"/>
  <c r="F180" i="5"/>
  <c r="F181" i="5" s="1"/>
  <c r="F168" i="5"/>
  <c r="F166" i="5"/>
  <c r="F165" i="5"/>
  <c r="F157" i="5"/>
  <c r="F155" i="5"/>
  <c r="F154" i="5"/>
  <c r="F153" i="5"/>
  <c r="F152" i="5"/>
  <c r="F151" i="5"/>
  <c r="F150" i="5"/>
  <c r="F149" i="5"/>
  <c r="F148" i="5"/>
  <c r="F147" i="5"/>
  <c r="F146" i="5"/>
  <c r="F145" i="5"/>
  <c r="F144" i="5"/>
  <c r="F143" i="5"/>
  <c r="F142" i="5"/>
  <c r="F140" i="5"/>
  <c r="F139" i="5"/>
  <c r="F138" i="5"/>
  <c r="F137" i="5"/>
  <c r="F136" i="5"/>
  <c r="F134" i="5"/>
  <c r="F133" i="5"/>
  <c r="F132" i="5"/>
  <c r="F129" i="5"/>
  <c r="F124" i="5"/>
  <c r="F123" i="5"/>
  <c r="F121" i="5"/>
  <c r="F115" i="5"/>
  <c r="F114" i="5"/>
  <c r="F112" i="5"/>
  <c r="F111" i="5"/>
  <c r="F109" i="5"/>
  <c r="F107" i="5"/>
  <c r="F105" i="5"/>
  <c r="F104" i="5"/>
  <c r="F102" i="5"/>
  <c r="F100" i="5"/>
  <c r="F89" i="5"/>
  <c r="F88" i="5"/>
  <c r="F87" i="5"/>
  <c r="F90" i="5" s="1"/>
  <c r="F79" i="5"/>
  <c r="F80" i="5" s="1"/>
  <c r="F72" i="5"/>
  <c r="F71" i="5"/>
  <c r="F69" i="5"/>
  <c r="F68" i="5"/>
  <c r="F59" i="5"/>
  <c r="F57" i="5"/>
  <c r="F55" i="5"/>
  <c r="F54" i="5"/>
  <c r="F53" i="5"/>
  <c r="F51" i="5"/>
  <c r="F38" i="5"/>
  <c r="F37" i="5"/>
  <c r="F36" i="5"/>
  <c r="F35" i="5"/>
  <c r="F33" i="5"/>
  <c r="F32" i="5"/>
  <c r="F31" i="5"/>
  <c r="F30" i="5"/>
  <c r="F29" i="5"/>
  <c r="F28" i="5"/>
  <c r="F27" i="5"/>
  <c r="F26" i="5"/>
  <c r="F25" i="5"/>
  <c r="F24" i="5"/>
  <c r="F23" i="5"/>
  <c r="F22" i="5"/>
  <c r="F21" i="5"/>
  <c r="F20" i="5"/>
  <c r="F18" i="5"/>
  <c r="F16" i="5"/>
  <c r="F15" i="5"/>
  <c r="F158" i="6"/>
  <c r="F156" i="6"/>
  <c r="F210" i="6"/>
  <c r="F211" i="6" s="1"/>
  <c r="F194" i="6"/>
  <c r="F195" i="6" s="1"/>
  <c r="F181" i="6"/>
  <c r="F182" i="6" s="1"/>
  <c r="F169" i="6"/>
  <c r="F167" i="6"/>
  <c r="F166" i="6"/>
  <c r="F155" i="6"/>
  <c r="F154" i="6"/>
  <c r="F153" i="6"/>
  <c r="F152" i="6"/>
  <c r="F151" i="6"/>
  <c r="F150" i="6"/>
  <c r="F149" i="6"/>
  <c r="F148" i="6"/>
  <c r="F147" i="6"/>
  <c r="F146" i="6"/>
  <c r="F145" i="6"/>
  <c r="F144" i="6"/>
  <c r="F143" i="6"/>
  <c r="F142" i="6"/>
  <c r="F140" i="6"/>
  <c r="F139" i="6"/>
  <c r="F138" i="6"/>
  <c r="F137" i="6"/>
  <c r="F136" i="6"/>
  <c r="F134" i="6"/>
  <c r="F133" i="6"/>
  <c r="F132" i="6"/>
  <c r="F129" i="6"/>
  <c r="F124" i="6"/>
  <c r="F123" i="6"/>
  <c r="F121" i="6"/>
  <c r="F115" i="6"/>
  <c r="F114" i="6"/>
  <c r="F112" i="6"/>
  <c r="F111" i="6"/>
  <c r="F109" i="6"/>
  <c r="F107" i="6"/>
  <c r="F105" i="6"/>
  <c r="F104" i="6"/>
  <c r="F102" i="6"/>
  <c r="F100" i="6"/>
  <c r="F89" i="6"/>
  <c r="F88" i="6"/>
  <c r="F87" i="6"/>
  <c r="F79" i="6"/>
  <c r="F80" i="6" s="1"/>
  <c r="F72" i="6"/>
  <c r="F71" i="6"/>
  <c r="F69" i="6"/>
  <c r="F68" i="6"/>
  <c r="F59" i="6"/>
  <c r="F57" i="6"/>
  <c r="F55" i="6"/>
  <c r="F54" i="6"/>
  <c r="F53" i="6"/>
  <c r="F51" i="6"/>
  <c r="F38" i="6"/>
  <c r="F37" i="6"/>
  <c r="F36" i="6"/>
  <c r="F35" i="6"/>
  <c r="F33" i="6"/>
  <c r="F32" i="6"/>
  <c r="F31" i="6"/>
  <c r="F30" i="6"/>
  <c r="F29" i="6"/>
  <c r="F28" i="6"/>
  <c r="F27" i="6"/>
  <c r="F26" i="6"/>
  <c r="F25" i="6"/>
  <c r="F24" i="6"/>
  <c r="F23" i="6"/>
  <c r="F22" i="6"/>
  <c r="F21" i="6"/>
  <c r="F20" i="6"/>
  <c r="F18" i="6"/>
  <c r="F16" i="6"/>
  <c r="F15" i="6"/>
  <c r="F211" i="7"/>
  <c r="F212" i="7" s="1"/>
  <c r="F195" i="7"/>
  <c r="F196" i="7" s="1"/>
  <c r="F182" i="7"/>
  <c r="F183" i="7" s="1"/>
  <c r="F170" i="7"/>
  <c r="F168" i="7"/>
  <c r="F167" i="7"/>
  <c r="F158" i="7"/>
  <c r="F156" i="7"/>
  <c r="F155" i="7"/>
  <c r="F154" i="7"/>
  <c r="F153" i="7"/>
  <c r="F152" i="7"/>
  <c r="F151" i="7"/>
  <c r="F150" i="7"/>
  <c r="F149" i="7"/>
  <c r="F148" i="7"/>
  <c r="F147" i="7"/>
  <c r="F146" i="7"/>
  <c r="F145" i="7"/>
  <c r="F144" i="7"/>
  <c r="F143" i="7"/>
  <c r="F142" i="7"/>
  <c r="F140" i="7"/>
  <c r="F139" i="7"/>
  <c r="F138" i="7"/>
  <c r="F137" i="7"/>
  <c r="F136" i="7"/>
  <c r="F134" i="7"/>
  <c r="F133" i="7"/>
  <c r="F132" i="7"/>
  <c r="F129" i="7"/>
  <c r="F124" i="7"/>
  <c r="F123" i="7"/>
  <c r="F121" i="7"/>
  <c r="F117" i="7"/>
  <c r="F116" i="7"/>
  <c r="F115" i="7"/>
  <c r="F113" i="7"/>
  <c r="F118" i="7" s="1"/>
  <c r="F112" i="7"/>
  <c r="F111" i="7"/>
  <c r="F109" i="7"/>
  <c r="F107" i="7"/>
  <c r="F105" i="7"/>
  <c r="F104" i="7"/>
  <c r="F102" i="7"/>
  <c r="F100" i="7"/>
  <c r="F89" i="7"/>
  <c r="F88" i="7"/>
  <c r="F87" i="7"/>
  <c r="F79" i="7"/>
  <c r="F80" i="7" s="1"/>
  <c r="F72" i="7"/>
  <c r="F71" i="7"/>
  <c r="F69" i="7"/>
  <c r="F68" i="7"/>
  <c r="F60" i="7"/>
  <c r="F58" i="7"/>
  <c r="F56" i="7"/>
  <c r="F55" i="7"/>
  <c r="F54" i="7"/>
  <c r="F53" i="7"/>
  <c r="F51" i="7"/>
  <c r="F38" i="7"/>
  <c r="F37" i="7"/>
  <c r="F36" i="7"/>
  <c r="F35" i="7"/>
  <c r="F33" i="7"/>
  <c r="F32" i="7"/>
  <c r="F31" i="7"/>
  <c r="F30" i="7"/>
  <c r="F29" i="7"/>
  <c r="F28" i="7"/>
  <c r="F27" i="7"/>
  <c r="F26" i="7"/>
  <c r="F25" i="7"/>
  <c r="F24" i="7"/>
  <c r="F23" i="7"/>
  <c r="F22" i="7"/>
  <c r="F21" i="7"/>
  <c r="F20" i="7"/>
  <c r="F18" i="7"/>
  <c r="F16" i="7"/>
  <c r="F15" i="7"/>
  <c r="F210" i="8"/>
  <c r="F211" i="8" s="1"/>
  <c r="F194" i="8"/>
  <c r="F195" i="8" s="1"/>
  <c r="F181" i="8"/>
  <c r="F182" i="8" s="1"/>
  <c r="F169" i="8"/>
  <c r="F167" i="8"/>
  <c r="F166" i="8"/>
  <c r="F157" i="8"/>
  <c r="F155" i="8"/>
  <c r="F154" i="8"/>
  <c r="F153" i="8"/>
  <c r="F152" i="8"/>
  <c r="F151" i="8"/>
  <c r="F150" i="8"/>
  <c r="F149" i="8"/>
  <c r="F148" i="8"/>
  <c r="F147" i="8"/>
  <c r="F146" i="8"/>
  <c r="F145" i="8"/>
  <c r="F144" i="8"/>
  <c r="F143" i="8"/>
  <c r="F142" i="8"/>
  <c r="F140" i="8"/>
  <c r="F139" i="8"/>
  <c r="F138" i="8"/>
  <c r="F137" i="8"/>
  <c r="F136" i="8"/>
  <c r="F134" i="8"/>
  <c r="F133" i="8"/>
  <c r="F132" i="8"/>
  <c r="F129" i="8"/>
  <c r="F124" i="8"/>
  <c r="F123" i="8"/>
  <c r="F121" i="8"/>
  <c r="F115" i="8"/>
  <c r="F114" i="8"/>
  <c r="F112" i="8"/>
  <c r="F111" i="8"/>
  <c r="F109" i="8"/>
  <c r="F107" i="8"/>
  <c r="F105" i="8"/>
  <c r="F104" i="8"/>
  <c r="F102" i="8"/>
  <c r="F100" i="8"/>
  <c r="F89" i="8"/>
  <c r="F88" i="8"/>
  <c r="F87" i="8"/>
  <c r="F79" i="8"/>
  <c r="F80" i="8" s="1"/>
  <c r="F72" i="8"/>
  <c r="F71" i="8"/>
  <c r="F69" i="8"/>
  <c r="F68" i="8"/>
  <c r="F59" i="8"/>
  <c r="F57" i="8"/>
  <c r="F55" i="8"/>
  <c r="F54" i="8"/>
  <c r="F53" i="8"/>
  <c r="F51" i="8"/>
  <c r="F38" i="8"/>
  <c r="F37" i="8"/>
  <c r="F36" i="8"/>
  <c r="F35" i="8"/>
  <c r="F33" i="8"/>
  <c r="F32" i="8"/>
  <c r="F31" i="8"/>
  <c r="F30" i="8"/>
  <c r="F29" i="8"/>
  <c r="F28" i="8"/>
  <c r="F27" i="8"/>
  <c r="F26" i="8"/>
  <c r="F25" i="8"/>
  <c r="F24" i="8"/>
  <c r="F23" i="8"/>
  <c r="F22" i="8"/>
  <c r="F21" i="8"/>
  <c r="F20" i="8"/>
  <c r="F18" i="8"/>
  <c r="F16" i="8"/>
  <c r="F15" i="8"/>
  <c r="F212" i="9"/>
  <c r="F213" i="9" s="1"/>
  <c r="F197" i="9"/>
  <c r="F183" i="9"/>
  <c r="F184" i="9" s="1"/>
  <c r="F168" i="9"/>
  <c r="F171" i="9"/>
  <c r="F169" i="9"/>
  <c r="F172" i="9" s="1"/>
  <c r="F157" i="9"/>
  <c r="F159" i="9"/>
  <c r="F155" i="9"/>
  <c r="F156" i="9"/>
  <c r="F153" i="9"/>
  <c r="F154" i="9"/>
  <c r="F138" i="9"/>
  <c r="F134" i="9"/>
  <c r="F126" i="9"/>
  <c r="F125" i="9"/>
  <c r="F123" i="9"/>
  <c r="F152" i="9"/>
  <c r="F151" i="9"/>
  <c r="F150" i="9"/>
  <c r="F149" i="9"/>
  <c r="F148" i="9"/>
  <c r="F147" i="9"/>
  <c r="F146" i="9"/>
  <c r="F145" i="9"/>
  <c r="F144" i="9"/>
  <c r="F142" i="9"/>
  <c r="F141" i="9"/>
  <c r="F140" i="9"/>
  <c r="F139" i="9"/>
  <c r="F136" i="9"/>
  <c r="F135" i="9"/>
  <c r="F131" i="9"/>
  <c r="F117" i="9"/>
  <c r="F116" i="9"/>
  <c r="F114" i="9"/>
  <c r="F113" i="9"/>
  <c r="F118" i="9" s="1"/>
  <c r="F112" i="9"/>
  <c r="F110" i="9"/>
  <c r="F108" i="9"/>
  <c r="F106" i="9"/>
  <c r="F105" i="9"/>
  <c r="F103" i="9"/>
  <c r="F101" i="9"/>
  <c r="F90" i="9"/>
  <c r="F89" i="9"/>
  <c r="F88" i="9"/>
  <c r="F91" i="9" s="1"/>
  <c r="F80" i="9"/>
  <c r="F81" i="9" s="1"/>
  <c r="F73" i="9"/>
  <c r="F72" i="9"/>
  <c r="F70" i="9"/>
  <c r="F69" i="9"/>
  <c r="F60" i="9"/>
  <c r="F58" i="9"/>
  <c r="F56" i="9"/>
  <c r="F55" i="9"/>
  <c r="F54" i="9"/>
  <c r="F53" i="9"/>
  <c r="F51" i="9"/>
  <c r="F38" i="9"/>
  <c r="F37" i="9"/>
  <c r="F36" i="9"/>
  <c r="F35" i="9"/>
  <c r="F33" i="9"/>
  <c r="F32" i="9"/>
  <c r="F31" i="9"/>
  <c r="F30" i="9"/>
  <c r="F29" i="9"/>
  <c r="F28" i="9"/>
  <c r="F27" i="9"/>
  <c r="F26" i="9"/>
  <c r="F25" i="9"/>
  <c r="F24" i="9"/>
  <c r="F23" i="9"/>
  <c r="F22" i="9"/>
  <c r="F21" i="9"/>
  <c r="F20" i="9"/>
  <c r="F18" i="9"/>
  <c r="F16" i="9"/>
  <c r="F15" i="9"/>
  <c r="F207" i="10"/>
  <c r="F208" i="10" s="1"/>
  <c r="F191" i="10"/>
  <c r="F192" i="10" s="1"/>
  <c r="F178" i="10"/>
  <c r="F179" i="10" s="1"/>
  <c r="F166" i="10"/>
  <c r="F164" i="10"/>
  <c r="F163" i="10"/>
  <c r="F154" i="10"/>
  <c r="F152" i="10"/>
  <c r="F151" i="10"/>
  <c r="F150" i="10"/>
  <c r="F149" i="10"/>
  <c r="F148" i="10"/>
  <c r="F147" i="10"/>
  <c r="F146" i="10"/>
  <c r="F145" i="10"/>
  <c r="F144" i="10"/>
  <c r="F143" i="10"/>
  <c r="F142" i="10"/>
  <c r="F141" i="10"/>
  <c r="F140" i="10"/>
  <c r="F139" i="10"/>
  <c r="F137" i="10"/>
  <c r="F136" i="10"/>
  <c r="F135" i="10"/>
  <c r="F134" i="10"/>
  <c r="F133" i="10"/>
  <c r="F131" i="10"/>
  <c r="F129" i="10"/>
  <c r="F126" i="10"/>
  <c r="F124" i="10"/>
  <c r="F118" i="10"/>
  <c r="F117" i="10"/>
  <c r="F116" i="10"/>
  <c r="F114" i="10"/>
  <c r="F119" i="10" s="1"/>
  <c r="F113" i="10"/>
  <c r="F112" i="10"/>
  <c r="F110" i="10"/>
  <c r="F108" i="10"/>
  <c r="F106" i="10"/>
  <c r="F105" i="10"/>
  <c r="F103" i="10"/>
  <c r="F101" i="10"/>
  <c r="F90" i="10"/>
  <c r="F89" i="10"/>
  <c r="F88" i="10"/>
  <c r="F80" i="10"/>
  <c r="F81" i="10" s="1"/>
  <c r="F73" i="10"/>
  <c r="F72" i="10"/>
  <c r="F70" i="10"/>
  <c r="F69" i="10"/>
  <c r="F60" i="10"/>
  <c r="F58" i="10"/>
  <c r="F56" i="10"/>
  <c r="F55" i="10"/>
  <c r="F54" i="10"/>
  <c r="F53" i="10"/>
  <c r="F51" i="10"/>
  <c r="F38" i="10"/>
  <c r="F37" i="10"/>
  <c r="F36" i="10"/>
  <c r="F35" i="10"/>
  <c r="F33" i="10"/>
  <c r="F32" i="10"/>
  <c r="F31" i="10"/>
  <c r="F30" i="10"/>
  <c r="F29" i="10"/>
  <c r="F28" i="10"/>
  <c r="F27" i="10"/>
  <c r="F26" i="10"/>
  <c r="F25" i="10"/>
  <c r="F24" i="10"/>
  <c r="F23" i="10"/>
  <c r="F22" i="10"/>
  <c r="F21" i="10"/>
  <c r="F20" i="10"/>
  <c r="F18" i="10"/>
  <c r="F16" i="10"/>
  <c r="F15" i="10"/>
  <c r="F207" i="11"/>
  <c r="F208" i="11" s="1"/>
  <c r="F191" i="11"/>
  <c r="F192" i="11" s="1"/>
  <c r="F178" i="11"/>
  <c r="F179" i="11" s="1"/>
  <c r="F166" i="11"/>
  <c r="F164" i="11"/>
  <c r="F163" i="11"/>
  <c r="F154" i="11"/>
  <c r="F152" i="11"/>
  <c r="F151" i="11"/>
  <c r="F150" i="11"/>
  <c r="F149" i="11"/>
  <c r="F148" i="11"/>
  <c r="F147" i="11"/>
  <c r="F146" i="11"/>
  <c r="F145" i="11"/>
  <c r="F144" i="11"/>
  <c r="F143" i="11"/>
  <c r="F142" i="11"/>
  <c r="F141" i="11"/>
  <c r="F140" i="11"/>
  <c r="F139" i="11"/>
  <c r="F137" i="11"/>
  <c r="F136" i="11"/>
  <c r="F135" i="11"/>
  <c r="F134" i="11"/>
  <c r="F133" i="11"/>
  <c r="F131" i="11"/>
  <c r="F129" i="11"/>
  <c r="F126" i="11"/>
  <c r="F124" i="11"/>
  <c r="F118" i="11"/>
  <c r="F117" i="11"/>
  <c r="F116" i="11"/>
  <c r="F114" i="11"/>
  <c r="F113" i="11"/>
  <c r="F112" i="11"/>
  <c r="F110" i="11"/>
  <c r="F108" i="11"/>
  <c r="F106" i="11"/>
  <c r="F105" i="11"/>
  <c r="F103" i="11"/>
  <c r="F101" i="11"/>
  <c r="F90" i="11"/>
  <c r="F89" i="11"/>
  <c r="F88" i="11"/>
  <c r="F91" i="11" s="1"/>
  <c r="F80" i="11"/>
  <c r="F81" i="11" s="1"/>
  <c r="F73" i="11"/>
  <c r="F72" i="11"/>
  <c r="F70" i="11"/>
  <c r="F69" i="11"/>
  <c r="F60" i="11"/>
  <c r="F58" i="11"/>
  <c r="F56" i="11"/>
  <c r="F55" i="11"/>
  <c r="F54" i="11"/>
  <c r="F53" i="11"/>
  <c r="F51" i="11"/>
  <c r="F38" i="11"/>
  <c r="F37" i="11"/>
  <c r="F36" i="11"/>
  <c r="F35" i="11"/>
  <c r="F33" i="11"/>
  <c r="F32" i="11"/>
  <c r="F31" i="11"/>
  <c r="F30" i="11"/>
  <c r="F29" i="11"/>
  <c r="F28" i="11"/>
  <c r="F27" i="11"/>
  <c r="F26" i="11"/>
  <c r="F25" i="11"/>
  <c r="F24" i="11"/>
  <c r="F23" i="11"/>
  <c r="F22" i="11"/>
  <c r="F21" i="11"/>
  <c r="F20" i="11"/>
  <c r="F18" i="11"/>
  <c r="F16" i="11"/>
  <c r="F15" i="11"/>
  <c r="F207" i="12"/>
  <c r="F208" i="12" s="1"/>
  <c r="F191" i="12"/>
  <c r="F192" i="12" s="1"/>
  <c r="F178" i="12"/>
  <c r="F179" i="12" s="1"/>
  <c r="F166" i="12"/>
  <c r="F164" i="12"/>
  <c r="F163" i="12"/>
  <c r="F167" i="12" s="1"/>
  <c r="F154" i="12"/>
  <c r="F152" i="12"/>
  <c r="F151" i="12"/>
  <c r="F150" i="12"/>
  <c r="F149" i="12"/>
  <c r="F148" i="12"/>
  <c r="F147" i="12"/>
  <c r="F146" i="12"/>
  <c r="F145" i="12"/>
  <c r="F144" i="12"/>
  <c r="F143" i="12"/>
  <c r="F142" i="12"/>
  <c r="F141" i="12"/>
  <c r="F140" i="12"/>
  <c r="F139" i="12"/>
  <c r="F137" i="12"/>
  <c r="F136" i="12"/>
  <c r="F135" i="12"/>
  <c r="F134" i="12"/>
  <c r="F133" i="12"/>
  <c r="F131" i="12"/>
  <c r="F129" i="12"/>
  <c r="F126" i="12"/>
  <c r="F124" i="12"/>
  <c r="F118" i="12"/>
  <c r="F117" i="12"/>
  <c r="F116" i="12"/>
  <c r="F114" i="12"/>
  <c r="F113" i="12"/>
  <c r="F112" i="12"/>
  <c r="F110" i="12"/>
  <c r="F108" i="12"/>
  <c r="F106" i="12"/>
  <c r="F105" i="12"/>
  <c r="F103" i="12"/>
  <c r="F101" i="12"/>
  <c r="F90" i="12"/>
  <c r="F89" i="12"/>
  <c r="F88" i="12"/>
  <c r="F80" i="12"/>
  <c r="F81" i="12" s="1"/>
  <c r="F73" i="12"/>
  <c r="F72" i="12"/>
  <c r="F70" i="12"/>
  <c r="F69" i="12"/>
  <c r="F60" i="12"/>
  <c r="F58" i="12"/>
  <c r="F56" i="12"/>
  <c r="F55" i="12"/>
  <c r="F54" i="12"/>
  <c r="F53" i="12"/>
  <c r="F51" i="12"/>
  <c r="F38" i="12"/>
  <c r="F37" i="12"/>
  <c r="F36" i="12"/>
  <c r="F35" i="12"/>
  <c r="F33" i="12"/>
  <c r="F32" i="12"/>
  <c r="F31" i="12"/>
  <c r="F30" i="12"/>
  <c r="F29" i="12"/>
  <c r="F28" i="12"/>
  <c r="F27" i="12"/>
  <c r="F26" i="12"/>
  <c r="F25" i="12"/>
  <c r="F24" i="12"/>
  <c r="F23" i="12"/>
  <c r="F22" i="12"/>
  <c r="F21" i="12"/>
  <c r="F20" i="12"/>
  <c r="F18" i="12"/>
  <c r="F16" i="12"/>
  <c r="F15" i="12"/>
  <c r="F207" i="13"/>
  <c r="F208" i="13" s="1"/>
  <c r="F191" i="13"/>
  <c r="F192" i="13" s="1"/>
  <c r="F178" i="13"/>
  <c r="F179" i="13" s="1"/>
  <c r="F166" i="13"/>
  <c r="F164" i="13"/>
  <c r="F163" i="13"/>
  <c r="F154" i="13"/>
  <c r="F152" i="13"/>
  <c r="F151" i="13"/>
  <c r="F150" i="13"/>
  <c r="F149" i="13"/>
  <c r="F148" i="13"/>
  <c r="F147" i="13"/>
  <c r="F146" i="13"/>
  <c r="F145" i="13"/>
  <c r="F144" i="13"/>
  <c r="F143" i="13"/>
  <c r="F142" i="13"/>
  <c r="F141" i="13"/>
  <c r="F140" i="13"/>
  <c r="F139" i="13"/>
  <c r="F137" i="13"/>
  <c r="F136" i="13"/>
  <c r="F135" i="13"/>
  <c r="F134" i="13"/>
  <c r="F133" i="13"/>
  <c r="F131" i="13"/>
  <c r="F129" i="13"/>
  <c r="F126" i="13"/>
  <c r="F124" i="13"/>
  <c r="F118" i="13"/>
  <c r="F117" i="13"/>
  <c r="F116" i="13"/>
  <c r="F114" i="13"/>
  <c r="F113" i="13"/>
  <c r="F112" i="13"/>
  <c r="F110" i="13"/>
  <c r="F108" i="13"/>
  <c r="F106" i="13"/>
  <c r="F105" i="13"/>
  <c r="F103" i="13"/>
  <c r="F101" i="13"/>
  <c r="F90" i="13"/>
  <c r="F89" i="13"/>
  <c r="F88" i="13"/>
  <c r="F80" i="13"/>
  <c r="F81" i="13" s="1"/>
  <c r="F73" i="13"/>
  <c r="F72" i="13"/>
  <c r="F70" i="13"/>
  <c r="F69" i="13"/>
  <c r="F74" i="13" s="1"/>
  <c r="F60" i="13"/>
  <c r="F58" i="13"/>
  <c r="F56" i="13"/>
  <c r="F55" i="13"/>
  <c r="F54" i="13"/>
  <c r="F53" i="13"/>
  <c r="F51" i="13"/>
  <c r="F38" i="13"/>
  <c r="F37" i="13"/>
  <c r="F36" i="13"/>
  <c r="F35" i="13"/>
  <c r="F33" i="13"/>
  <c r="F32" i="13"/>
  <c r="F31" i="13"/>
  <c r="F30" i="13"/>
  <c r="F29" i="13"/>
  <c r="F28" i="13"/>
  <c r="F27" i="13"/>
  <c r="F26" i="13"/>
  <c r="F25" i="13"/>
  <c r="F24" i="13"/>
  <c r="F23" i="13"/>
  <c r="F22" i="13"/>
  <c r="F21" i="13"/>
  <c r="F20" i="13"/>
  <c r="F18" i="13"/>
  <c r="F16" i="13"/>
  <c r="F15" i="13"/>
  <c r="C28" i="22" l="1"/>
  <c r="C50" i="22"/>
  <c r="C42" i="22"/>
  <c r="C12" i="22"/>
  <c r="C20" i="22"/>
  <c r="C34" i="22"/>
  <c r="F61" i="13"/>
  <c r="F167" i="13"/>
  <c r="F74" i="12"/>
  <c r="F91" i="10"/>
  <c r="F74" i="9"/>
  <c r="F73" i="8"/>
  <c r="F116" i="8"/>
  <c r="F60" i="8"/>
  <c r="F116" i="6"/>
  <c r="F60" i="5"/>
  <c r="F169" i="5"/>
  <c r="F60" i="4"/>
  <c r="F60" i="3"/>
  <c r="F170" i="3"/>
  <c r="F91" i="12"/>
  <c r="F61" i="11"/>
  <c r="F61" i="10"/>
  <c r="F160" i="9"/>
  <c r="F61" i="9"/>
  <c r="F170" i="8"/>
  <c r="F158" i="8"/>
  <c r="F39" i="7"/>
  <c r="F61" i="7"/>
  <c r="F90" i="7"/>
  <c r="F159" i="7"/>
  <c r="F159" i="6"/>
  <c r="F170" i="6"/>
  <c r="F73" i="6"/>
  <c r="F158" i="5"/>
  <c r="F116" i="5"/>
  <c r="F159" i="4"/>
  <c r="F171" i="4"/>
  <c r="F73" i="3"/>
  <c r="F90" i="3"/>
  <c r="F39" i="3"/>
  <c r="F116" i="3"/>
  <c r="F158" i="3"/>
  <c r="F212" i="3" s="1"/>
  <c r="F90" i="4"/>
  <c r="F39" i="4"/>
  <c r="F73" i="5"/>
  <c r="F39" i="5"/>
  <c r="F39" i="6"/>
  <c r="F60" i="6"/>
  <c r="F90" i="6"/>
  <c r="F171" i="7"/>
  <c r="F73" i="7"/>
  <c r="F90" i="8"/>
  <c r="F39" i="8"/>
  <c r="F39" i="9"/>
  <c r="F74" i="10"/>
  <c r="F155" i="10"/>
  <c r="F39" i="10"/>
  <c r="F167" i="10"/>
  <c r="F39" i="11"/>
  <c r="F74" i="11"/>
  <c r="F155" i="11"/>
  <c r="F119" i="11"/>
  <c r="F167" i="11"/>
  <c r="F39" i="12"/>
  <c r="F119" i="12"/>
  <c r="F155" i="12"/>
  <c r="F61" i="12"/>
  <c r="F119" i="13"/>
  <c r="F155" i="13"/>
  <c r="F39" i="13"/>
  <c r="F91" i="13"/>
  <c r="F15" i="14"/>
  <c r="F207" i="14"/>
  <c r="F208" i="14" s="1"/>
  <c r="F191" i="14"/>
  <c r="F192" i="14" s="1"/>
  <c r="F178" i="14"/>
  <c r="F179" i="14" s="1"/>
  <c r="F166" i="14"/>
  <c r="F164" i="14"/>
  <c r="F163" i="14"/>
  <c r="F154" i="14"/>
  <c r="F152" i="14"/>
  <c r="F151" i="14"/>
  <c r="F150" i="14"/>
  <c r="F149" i="14"/>
  <c r="F148" i="14"/>
  <c r="F147" i="14"/>
  <c r="F146" i="14"/>
  <c r="F145" i="14"/>
  <c r="F144" i="14"/>
  <c r="F143" i="14"/>
  <c r="F142" i="14"/>
  <c r="F141" i="14"/>
  <c r="F140" i="14"/>
  <c r="F139" i="14"/>
  <c r="F137" i="14"/>
  <c r="F136" i="14"/>
  <c r="F135" i="14"/>
  <c r="F134" i="14"/>
  <c r="F133" i="14"/>
  <c r="F131" i="14"/>
  <c r="F129" i="14"/>
  <c r="F126" i="14"/>
  <c r="F124" i="14"/>
  <c r="F118" i="14"/>
  <c r="F117" i="14"/>
  <c r="F116" i="14"/>
  <c r="F114" i="14"/>
  <c r="F113" i="14"/>
  <c r="F112" i="14"/>
  <c r="F110" i="14"/>
  <c r="F108" i="14"/>
  <c r="F106" i="14"/>
  <c r="F105" i="14"/>
  <c r="F103" i="14"/>
  <c r="F101" i="14"/>
  <c r="F90" i="14"/>
  <c r="F89" i="14"/>
  <c r="F88" i="14"/>
  <c r="F91" i="14" s="1"/>
  <c r="F80" i="14"/>
  <c r="F81" i="14" s="1"/>
  <c r="F73" i="14"/>
  <c r="F72" i="14"/>
  <c r="F70" i="14"/>
  <c r="F69" i="14"/>
  <c r="F60" i="14"/>
  <c r="F58" i="14"/>
  <c r="F56" i="14"/>
  <c r="F55" i="14"/>
  <c r="F54" i="14"/>
  <c r="F53" i="14"/>
  <c r="F51" i="14"/>
  <c r="F38" i="14"/>
  <c r="F37" i="14"/>
  <c r="F36" i="14"/>
  <c r="F35" i="14"/>
  <c r="F33" i="14"/>
  <c r="F32" i="14"/>
  <c r="F31" i="14"/>
  <c r="F30" i="14"/>
  <c r="F29" i="14"/>
  <c r="F28" i="14"/>
  <c r="F27" i="14"/>
  <c r="F26" i="14"/>
  <c r="F25" i="14"/>
  <c r="F24" i="14"/>
  <c r="F23" i="14"/>
  <c r="F22" i="14"/>
  <c r="F21" i="14"/>
  <c r="F20" i="14"/>
  <c r="F18" i="14"/>
  <c r="F16" i="14"/>
  <c r="F207" i="15"/>
  <c r="F208" i="15" s="1"/>
  <c r="F191" i="15"/>
  <c r="F192" i="15" s="1"/>
  <c r="F178" i="15"/>
  <c r="F179" i="15" s="1"/>
  <c r="F166" i="15"/>
  <c r="F164" i="15"/>
  <c r="F163" i="15"/>
  <c r="F154" i="15"/>
  <c r="F152" i="15"/>
  <c r="F151" i="15"/>
  <c r="F150" i="15"/>
  <c r="F149" i="15"/>
  <c r="F148" i="15"/>
  <c r="F147" i="15"/>
  <c r="F146" i="15"/>
  <c r="F145" i="15"/>
  <c r="F144" i="15"/>
  <c r="F143" i="15"/>
  <c r="F142" i="15"/>
  <c r="F141" i="15"/>
  <c r="F140" i="15"/>
  <c r="F139" i="15"/>
  <c r="F137" i="15"/>
  <c r="F136" i="15"/>
  <c r="F135" i="15"/>
  <c r="F134" i="15"/>
  <c r="F133" i="15"/>
  <c r="F131" i="15"/>
  <c r="F129" i="15"/>
  <c r="F126" i="15"/>
  <c r="F124" i="15"/>
  <c r="F118" i="15"/>
  <c r="F117" i="15"/>
  <c r="F116" i="15"/>
  <c r="F114" i="15"/>
  <c r="F119" i="15" s="1"/>
  <c r="F113" i="15"/>
  <c r="F112" i="15"/>
  <c r="F110" i="15"/>
  <c r="F108" i="15"/>
  <c r="F106" i="15"/>
  <c r="F105" i="15"/>
  <c r="F103" i="15"/>
  <c r="F101" i="15"/>
  <c r="F90" i="15"/>
  <c r="F89" i="15"/>
  <c r="F88" i="15"/>
  <c r="F80" i="15"/>
  <c r="F81" i="15" s="1"/>
  <c r="F73" i="15"/>
  <c r="F72" i="15"/>
  <c r="F70" i="15"/>
  <c r="F69" i="15"/>
  <c r="F74" i="15" s="1"/>
  <c r="F60" i="15"/>
  <c r="F58" i="15"/>
  <c r="F56" i="15"/>
  <c r="F55" i="15"/>
  <c r="F61" i="15" s="1"/>
  <c r="F54" i="15"/>
  <c r="F53" i="15"/>
  <c r="F51" i="15"/>
  <c r="F38" i="15"/>
  <c r="F37" i="15"/>
  <c r="F36" i="15"/>
  <c r="F35" i="15"/>
  <c r="F33" i="15"/>
  <c r="F32" i="15"/>
  <c r="F31" i="15"/>
  <c r="F30" i="15"/>
  <c r="F29" i="15"/>
  <c r="F28" i="15"/>
  <c r="F27" i="15"/>
  <c r="F26" i="15"/>
  <c r="F25" i="15"/>
  <c r="F24" i="15"/>
  <c r="F23" i="15"/>
  <c r="F22" i="15"/>
  <c r="F21" i="15"/>
  <c r="F20" i="15"/>
  <c r="F18" i="15"/>
  <c r="F16" i="15"/>
  <c r="F15" i="15"/>
  <c r="F207" i="16"/>
  <c r="F208" i="16" s="1"/>
  <c r="F191" i="16"/>
  <c r="F192" i="16" s="1"/>
  <c r="F178" i="16"/>
  <c r="F179" i="16" s="1"/>
  <c r="F166" i="16"/>
  <c r="F164" i="16"/>
  <c r="F163" i="16"/>
  <c r="F154" i="16"/>
  <c r="F152" i="16"/>
  <c r="F151" i="16"/>
  <c r="F150" i="16"/>
  <c r="F149" i="16"/>
  <c r="F148" i="16"/>
  <c r="F147" i="16"/>
  <c r="F146" i="16"/>
  <c r="F145" i="16"/>
  <c r="F144" i="16"/>
  <c r="F143" i="16"/>
  <c r="F142" i="16"/>
  <c r="F141" i="16"/>
  <c r="F140" i="16"/>
  <c r="F139" i="16"/>
  <c r="F137" i="16"/>
  <c r="F136" i="16"/>
  <c r="F135" i="16"/>
  <c r="F134" i="16"/>
  <c r="F133" i="16"/>
  <c r="F131" i="16"/>
  <c r="F129" i="16"/>
  <c r="F126" i="16"/>
  <c r="F124" i="16"/>
  <c r="F114" i="16"/>
  <c r="F113" i="16"/>
  <c r="F112" i="16"/>
  <c r="F110" i="16"/>
  <c r="F108" i="16"/>
  <c r="F106" i="16"/>
  <c r="F105" i="16"/>
  <c r="F103" i="16"/>
  <c r="F101" i="16"/>
  <c r="F118" i="16"/>
  <c r="F117" i="16"/>
  <c r="F116" i="16"/>
  <c r="F88" i="16"/>
  <c r="F90" i="16"/>
  <c r="F89" i="16"/>
  <c r="F80" i="16"/>
  <c r="F81" i="16" s="1"/>
  <c r="F73" i="16"/>
  <c r="F72" i="16"/>
  <c r="F70" i="16"/>
  <c r="F69" i="16"/>
  <c r="F60" i="16"/>
  <c r="F58" i="16"/>
  <c r="F56" i="16"/>
  <c r="F55" i="16"/>
  <c r="F54" i="16"/>
  <c r="F53" i="16"/>
  <c r="F51" i="16"/>
  <c r="F38" i="16"/>
  <c r="F37" i="16"/>
  <c r="F36" i="16"/>
  <c r="F35" i="16"/>
  <c r="F33" i="16"/>
  <c r="F32" i="16"/>
  <c r="F31" i="16"/>
  <c r="F30" i="16"/>
  <c r="F29" i="16"/>
  <c r="F28" i="16"/>
  <c r="F27" i="16"/>
  <c r="F26" i="16"/>
  <c r="F25" i="16"/>
  <c r="F24" i="16"/>
  <c r="F23" i="16"/>
  <c r="F22" i="16"/>
  <c r="F21" i="16"/>
  <c r="F20" i="16"/>
  <c r="F18" i="16"/>
  <c r="F16" i="16"/>
  <c r="F15" i="16"/>
  <c r="F207" i="17"/>
  <c r="F208" i="17" s="1"/>
  <c r="F191" i="17"/>
  <c r="F192" i="17" s="1"/>
  <c r="F178" i="17"/>
  <c r="F179" i="17" s="1"/>
  <c r="F166" i="17"/>
  <c r="F164" i="17"/>
  <c r="F163" i="17"/>
  <c r="F150" i="17"/>
  <c r="F154" i="17"/>
  <c r="F152" i="17"/>
  <c r="F151" i="17"/>
  <c r="F149" i="17"/>
  <c r="F148" i="17"/>
  <c r="F147" i="17"/>
  <c r="F146" i="17"/>
  <c r="F145" i="17"/>
  <c r="F144" i="17"/>
  <c r="F143" i="17"/>
  <c r="F142" i="17"/>
  <c r="F141" i="17"/>
  <c r="F140" i="17"/>
  <c r="F139" i="17"/>
  <c r="F137" i="17"/>
  <c r="F136" i="17"/>
  <c r="F135" i="17"/>
  <c r="F134" i="17"/>
  <c r="F133" i="17"/>
  <c r="F131" i="17"/>
  <c r="F129" i="17"/>
  <c r="F126" i="17"/>
  <c r="F124" i="17"/>
  <c r="F112" i="17"/>
  <c r="F113" i="17"/>
  <c r="F114" i="17"/>
  <c r="F103" i="17"/>
  <c r="F105" i="17"/>
  <c r="F106" i="17"/>
  <c r="F108" i="17"/>
  <c r="F110" i="17"/>
  <c r="F101" i="17"/>
  <c r="F116" i="17"/>
  <c r="F118" i="17"/>
  <c r="F117" i="17"/>
  <c r="F209" i="1"/>
  <c r="F210" i="1" s="1"/>
  <c r="F88" i="17"/>
  <c r="F89" i="17"/>
  <c r="F90" i="17"/>
  <c r="F80" i="17"/>
  <c r="F81" i="17" s="1"/>
  <c r="F193" i="1"/>
  <c r="F194" i="1" s="1"/>
  <c r="F70" i="17"/>
  <c r="F72" i="17"/>
  <c r="F73" i="17"/>
  <c r="F69" i="17"/>
  <c r="F180" i="1"/>
  <c r="F181" i="1" s="1"/>
  <c r="F53" i="17"/>
  <c r="F54" i="17"/>
  <c r="F55" i="17"/>
  <c r="F56" i="17"/>
  <c r="F58" i="17"/>
  <c r="F51" i="17"/>
  <c r="F60" i="17"/>
  <c r="F168" i="1"/>
  <c r="F165" i="1"/>
  <c r="F166" i="1"/>
  <c r="F157" i="1"/>
  <c r="F142" i="1"/>
  <c r="F143" i="1"/>
  <c r="F144" i="1"/>
  <c r="F145" i="1"/>
  <c r="F146" i="1"/>
  <c r="F147" i="1"/>
  <c r="F148" i="1"/>
  <c r="F149" i="1"/>
  <c r="F150" i="1"/>
  <c r="F151" i="1"/>
  <c r="F152" i="1"/>
  <c r="F153" i="1"/>
  <c r="F154" i="1"/>
  <c r="F155" i="1"/>
  <c r="F136" i="1"/>
  <c r="F137" i="1"/>
  <c r="F138" i="1"/>
  <c r="F139" i="1"/>
  <c r="F140" i="1"/>
  <c r="F132" i="1"/>
  <c r="F133" i="1"/>
  <c r="F134" i="1"/>
  <c r="F129" i="1"/>
  <c r="F124" i="1"/>
  <c r="F123" i="1"/>
  <c r="F16" i="17"/>
  <c r="F18" i="17"/>
  <c r="F20" i="17"/>
  <c r="F21" i="17"/>
  <c r="F22" i="17"/>
  <c r="F23" i="17"/>
  <c r="F24" i="17"/>
  <c r="F25" i="17"/>
  <c r="F26" i="17"/>
  <c r="F27" i="17"/>
  <c r="F28" i="17"/>
  <c r="F29" i="17"/>
  <c r="F30" i="17"/>
  <c r="F31" i="17"/>
  <c r="F32" i="17"/>
  <c r="F33" i="17"/>
  <c r="F35" i="17"/>
  <c r="F36" i="17"/>
  <c r="F37" i="17"/>
  <c r="F38" i="17"/>
  <c r="F121" i="1"/>
  <c r="F15" i="17"/>
  <c r="F114" i="1"/>
  <c r="F115" i="1"/>
  <c r="F112" i="1"/>
  <c r="F111" i="1"/>
  <c r="F109" i="1"/>
  <c r="F107" i="1"/>
  <c r="F105" i="1"/>
  <c r="F104" i="1"/>
  <c r="F102" i="1"/>
  <c r="F100" i="1"/>
  <c r="F87" i="1"/>
  <c r="F88" i="1"/>
  <c r="F89" i="1"/>
  <c r="F79" i="1"/>
  <c r="F80" i="1" s="1"/>
  <c r="F72" i="1"/>
  <c r="F71" i="1"/>
  <c r="F69" i="1"/>
  <c r="F68" i="1"/>
  <c r="F59" i="1"/>
  <c r="F57" i="1"/>
  <c r="F54" i="1"/>
  <c r="F55" i="1"/>
  <c r="F53" i="1"/>
  <c r="F51" i="1"/>
  <c r="F20" i="1"/>
  <c r="F21" i="1"/>
  <c r="F22" i="1"/>
  <c r="F23" i="1"/>
  <c r="F24" i="1"/>
  <c r="F25" i="1"/>
  <c r="F26" i="1"/>
  <c r="F27" i="1"/>
  <c r="F28" i="1"/>
  <c r="F29" i="1"/>
  <c r="F30" i="1"/>
  <c r="F31" i="1"/>
  <c r="F32" i="1"/>
  <c r="F33" i="1"/>
  <c r="F34" i="1"/>
  <c r="F35" i="1"/>
  <c r="F36" i="1"/>
  <c r="F37" i="1"/>
  <c r="F38" i="1"/>
  <c r="F18" i="1"/>
  <c r="F16" i="1"/>
  <c r="F15" i="1"/>
  <c r="F39" i="17" l="1"/>
  <c r="F167" i="17"/>
  <c r="F167" i="16"/>
  <c r="F209" i="11"/>
  <c r="F209" i="10"/>
  <c r="F214" i="9"/>
  <c r="C6" i="22" s="1"/>
  <c r="F212" i="6"/>
  <c r="F213" i="4"/>
  <c r="F155" i="17"/>
  <c r="F61" i="17"/>
  <c r="F74" i="17"/>
  <c r="F155" i="16"/>
  <c r="F39" i="16"/>
  <c r="F74" i="16"/>
  <c r="F61" i="16"/>
  <c r="F39" i="14"/>
  <c r="F167" i="14"/>
  <c r="F74" i="14"/>
  <c r="F209" i="13"/>
  <c r="F209" i="12"/>
  <c r="F212" i="8"/>
  <c r="F213" i="7"/>
  <c r="F211" i="5"/>
  <c r="F39" i="1"/>
  <c r="F158" i="1"/>
  <c r="F73" i="1"/>
  <c r="F119" i="14"/>
  <c r="F155" i="14"/>
  <c r="F61" i="14"/>
  <c r="F167" i="15"/>
  <c r="F91" i="15"/>
  <c r="F155" i="15"/>
  <c r="F39" i="15"/>
  <c r="F119" i="16"/>
  <c r="F119" i="17"/>
  <c r="F60" i="1"/>
  <c r="F91" i="16"/>
  <c r="F91" i="17"/>
  <c r="F169" i="1"/>
  <c r="F116" i="1"/>
  <c r="F90" i="1"/>
  <c r="F209" i="16" l="1"/>
  <c r="F209" i="15"/>
  <c r="F211" i="1"/>
  <c r="F209" i="17"/>
  <c r="F209" i="14"/>
  <c r="C59" i="22"/>
  <c r="C67" i="22" s="1"/>
</calcChain>
</file>

<file path=xl/sharedStrings.xml><?xml version="1.0" encoding="utf-8"?>
<sst xmlns="http://schemas.openxmlformats.org/spreadsheetml/2006/main" count="6754" uniqueCount="1840">
  <si>
    <t>DFAT PNG Housing - Project 2 - PTE</t>
  </si>
  <si>
    <t>Code</t>
  </si>
  <si>
    <t>Description</t>
  </si>
  <si>
    <t>Unit</t>
  </si>
  <si>
    <t>Quantity</t>
  </si>
  <si>
    <t>Rate</t>
  </si>
  <si>
    <t>Amount</t>
  </si>
  <si>
    <t>PREAMBLE</t>
  </si>
  <si>
    <t>Tenderers must provide a full breakdown of the Contract Fixed Lump Sum as a fully costed Bill of Quantities (BOQ).
This breakdown is to be provided against the individual items included in a BOQ. This template is an example only and should be adapted to suit the Tenderers needs. This BOQ provides indicative line items and quantities only, Tenderers must undertake their own due diligence when providing their BOQ.
- The PDF version of the BOQ must be completed and returned as part of the Tender submission.
- The Excel spreadsheet is provided for information and pricing assistance only and does not form part of the Tender submission.</t>
  </si>
  <si>
    <t>Note</t>
  </si>
  <si>
    <t>DFAT PNG Housing - Project 2- PTE</t>
  </si>
  <si>
    <t>SUMMARY</t>
  </si>
  <si>
    <t>Total</t>
  </si>
  <si>
    <t>Stage 2</t>
  </si>
  <si>
    <t>H35</t>
  </si>
  <si>
    <t>H36</t>
  </si>
  <si>
    <t>H37</t>
  </si>
  <si>
    <t>H38</t>
  </si>
  <si>
    <t>H39</t>
  </si>
  <si>
    <t>Stage 3</t>
  </si>
  <si>
    <t>H29</t>
  </si>
  <si>
    <t>H30</t>
  </si>
  <si>
    <t>H31</t>
  </si>
  <si>
    <t>H32</t>
  </si>
  <si>
    <t>H33</t>
  </si>
  <si>
    <t>H34</t>
  </si>
  <si>
    <t>Stage 4</t>
  </si>
  <si>
    <t>H23</t>
  </si>
  <si>
    <t>H24</t>
  </si>
  <si>
    <t>H25</t>
  </si>
  <si>
    <t>H26</t>
  </si>
  <si>
    <t>H27</t>
  </si>
  <si>
    <t>H28</t>
  </si>
  <si>
    <t>Stage 5</t>
  </si>
  <si>
    <t>H13</t>
  </si>
  <si>
    <t>H14</t>
  </si>
  <si>
    <t>H15</t>
  </si>
  <si>
    <t>H16</t>
  </si>
  <si>
    <t>Stage 6</t>
  </si>
  <si>
    <t>H17</t>
  </si>
  <si>
    <t>H18</t>
  </si>
  <si>
    <t>H19</t>
  </si>
  <si>
    <t>H20</t>
  </si>
  <si>
    <t>H21</t>
  </si>
  <si>
    <t>H22</t>
  </si>
  <si>
    <t>Stage 7</t>
  </si>
  <si>
    <t>H1</t>
  </si>
  <si>
    <t>H2</t>
  </si>
  <si>
    <t>H3</t>
  </si>
  <si>
    <t>H4</t>
  </si>
  <si>
    <t>H5</t>
  </si>
  <si>
    <t>H6</t>
  </si>
  <si>
    <t>Stage 8</t>
  </si>
  <si>
    <t>H7</t>
  </si>
  <si>
    <t>H8</t>
  </si>
  <si>
    <t>H9</t>
  </si>
  <si>
    <t>H10</t>
  </si>
  <si>
    <t>H11</t>
  </si>
  <si>
    <t>H12</t>
  </si>
  <si>
    <t>TOTAL</t>
  </si>
  <si>
    <t>Provisional Sum Items</t>
  </si>
  <si>
    <t>New Doors &amp; Window (incl. prelims, margin, escalation &amp; contingency)</t>
  </si>
  <si>
    <t>Additional Fitments incl. Whitegoods (incl. prelims, margin, escalation &amp; contingency)</t>
  </si>
  <si>
    <t>UOM</t>
  </si>
  <si>
    <t>BUILDING TYPES</t>
  </si>
  <si>
    <t>1</t>
  </si>
  <si>
    <t>H1, H2, H7, H8</t>
  </si>
  <si>
    <t>4 BEDROOM APARTMENT</t>
  </si>
  <si>
    <t>1.1</t>
  </si>
  <si>
    <t>Demolition</t>
  </si>
  <si>
    <t>DEMOLITION</t>
  </si>
  <si>
    <t>Preamble</t>
  </si>
  <si>
    <t>Rate include disposal of demolition debris</t>
  </si>
  <si>
    <t>note</t>
  </si>
  <si>
    <t>Protection</t>
  </si>
  <si>
    <t>1.1.1</t>
  </si>
  <si>
    <t>Protection of the existing doors and architrave during construction</t>
  </si>
  <si>
    <t>no</t>
  </si>
  <si>
    <t>1.1.2</t>
  </si>
  <si>
    <t>Remove/store the reusable items</t>
  </si>
  <si>
    <t>Item</t>
  </si>
  <si>
    <t>Services Protection</t>
  </si>
  <si>
    <t>1.1.3</t>
  </si>
  <si>
    <t>Terminating redundant services and capping of existing services including light switches, GPO's Data outlets, TV outlets</t>
  </si>
  <si>
    <t>1.1.4</t>
  </si>
  <si>
    <t>Removal and disposal of existing joinery and accessories</t>
  </si>
  <si>
    <t>m</t>
  </si>
  <si>
    <t>1.1.5</t>
  </si>
  <si>
    <t>Removal and disposal of existing partition</t>
  </si>
  <si>
    <t>m2</t>
  </si>
  <si>
    <t>1.1.6</t>
  </si>
  <si>
    <t>Removal and disposal of plasterboard cladding in all existing wardrobes, and make good for new fibre cement sheet</t>
  </si>
  <si>
    <t>1.1.7</t>
  </si>
  <si>
    <t>Removal and disposal of existing wardrobe</t>
  </si>
  <si>
    <t>1.1.8</t>
  </si>
  <si>
    <t>Removal and disposal of existing door furniture</t>
  </si>
  <si>
    <t>1.1.9</t>
  </si>
  <si>
    <t>Removal and disposal of existing stair treads, handrail &amp; balustrade</t>
  </si>
  <si>
    <t>1.1.10</t>
  </si>
  <si>
    <t>Removal and disposal of existing floor finishes</t>
  </si>
  <si>
    <t>1.1.11</t>
  </si>
  <si>
    <t>Removal and disposal of existing shower base</t>
  </si>
  <si>
    <t>1.1.12</t>
  </si>
  <si>
    <t>Removal and disposal of bath &amp; toilet pan</t>
  </si>
  <si>
    <t>item</t>
  </si>
  <si>
    <t>1.1.13</t>
  </si>
  <si>
    <t>Removal and disposal of existing doors</t>
  </si>
  <si>
    <t>1.1.14</t>
  </si>
  <si>
    <t>Removal and disposal existing wall tiling</t>
  </si>
  <si>
    <t>1.1.15</t>
  </si>
  <si>
    <t>Removal and disposal internal distribution boards</t>
  </si>
  <si>
    <t>1.1.16</t>
  </si>
  <si>
    <t>Removal and disposal of existing curtain pelmets and making good area</t>
  </si>
  <si>
    <t>1.1.17</t>
  </si>
  <si>
    <t>Removal and disposal of all existing external perimeter windows and security grill including Making good of existing window flashing and DPC's</t>
  </si>
  <si>
    <t>Miscellaneous</t>
  </si>
  <si>
    <t>1.1.19</t>
  </si>
  <si>
    <t>Removal and disposal of existing general power, wiring, smoke alarms and any other unmeasured items</t>
  </si>
  <si>
    <t>1.1.20</t>
  </si>
  <si>
    <t>Removal and disposal of existing lights</t>
  </si>
  <si>
    <t>1.1.21</t>
  </si>
  <si>
    <t>Removal and disposal all existing ceiling fans, associated controls and make good ceiling</t>
  </si>
  <si>
    <t>1.1.22</t>
  </si>
  <si>
    <t>All emergency key fittings to be removed</t>
  </si>
  <si>
    <t>TOTAL Demolition</t>
  </si>
  <si>
    <t>1.2</t>
  </si>
  <si>
    <t>Wall Finishes/Painting</t>
  </si>
  <si>
    <t>WALL FINISHES/PAINTING</t>
  </si>
  <si>
    <t>Preambles</t>
  </si>
  <si>
    <t>All existing internal walls to be repainted or retiled as applicable, following completion of all patching and surface preparation works.</t>
  </si>
  <si>
    <t>Internal wall surfaces to be prepared to receive new finishes, including filling, sanding, and priming as required.</t>
  </si>
  <si>
    <t>Ceiling painting is excluded from this section and is addressed under Ceiling Finishes</t>
  </si>
  <si>
    <t>New skirting is assumed to be provided to all internal walls, except within wet areas where full-height or partial-height wall tiling is installed.</t>
  </si>
  <si>
    <t>Painting is assumed behind fixed and loose joinery unless noted otherwise.</t>
  </si>
  <si>
    <t>No painting or refinishing works are included to external facade</t>
  </si>
  <si>
    <t>Painting</t>
  </si>
  <si>
    <t>1.2.1</t>
  </si>
  <si>
    <t>Painting to wall in PA.01 with 3 coat (Dulux Wash&amp;Wear;+Plus, Semigloss/Stain), allow patch to the existing wall</t>
  </si>
  <si>
    <t>Tiling</t>
  </si>
  <si>
    <t>1.2.2</t>
  </si>
  <si>
    <t>TI.01 wall tiling to wet area - 300mm x 600mm Bright White Porcelain Tiles - Pressed Edge and patching to existing walls</t>
  </si>
  <si>
    <t>1.2.3</t>
  </si>
  <si>
    <t>TI.05 wall tilling to kitchen &amp; laundry - 296 x 297mm Kit Kat White Gloss Porcelain Tiles (Earp Bros or similar), patching to existing walls</t>
  </si>
  <si>
    <t>1.2.4</t>
  </si>
  <si>
    <t>Waterproof membrane to wet areas to Walls &amp; floor</t>
  </si>
  <si>
    <t>Skirting</t>
  </si>
  <si>
    <t>1.2.5</t>
  </si>
  <si>
    <t>100mm high laminated skirting, and paint in PA.02 (Dulux Wash&amp;Wear;+Plus Kitchen &amp; Bathroom, Whisper White, SW1C2)</t>
  </si>
  <si>
    <t>Doors</t>
  </si>
  <si>
    <t>1.2.6</t>
  </si>
  <si>
    <t>Paint to doors 2-sides in PA.02 (Dulux Wash&amp;Wear;+Plus Kitchen &amp; Bathroom, Whisper White, SW1C2)</t>
  </si>
  <si>
    <t>TOTAL Wall Finishes/Painting</t>
  </si>
  <si>
    <t>1.3</t>
  </si>
  <si>
    <t>Floor Finishes</t>
  </si>
  <si>
    <t>FLOOR FINISHES</t>
  </si>
  <si>
    <t>Floor tiling is assumed to extend beneath all new joinery units to allow for future removal or reconfiguration without requiring floor finishes to be replaced.</t>
  </si>
  <si>
    <t>Any new screed required to achieve levels and falls is deemed to be included within the floor tiling rate.</t>
  </si>
  <si>
    <t>1.3.1</t>
  </si>
  <si>
    <t>TI.03 -  300mm x 600mm x 9mm thick tiled flooring, supplied by EARP BROS, Moov Grey, with laticrete spectralock pro premium grout in sterling silver</t>
  </si>
  <si>
    <t>1.3.2</t>
  </si>
  <si>
    <t>TI.04 to wet area -  300mm x 600mm x 9mm thick tiled flooring, supplied by EARP BROS, Moov Grey, with laticrete spectralock pro premium grout in sterling silver</t>
  </si>
  <si>
    <t>Stair</t>
  </si>
  <si>
    <t>1.3.3</t>
  </si>
  <si>
    <t>Recessed stair nosing</t>
  </si>
  <si>
    <t>1.3.4</t>
  </si>
  <si>
    <t>Re-finish the existing timber stairs landing, treads and rises</t>
  </si>
  <si>
    <t>TOTAL Floor Finishes</t>
  </si>
  <si>
    <t>1.4</t>
  </si>
  <si>
    <t>Ceiling Finishes</t>
  </si>
  <si>
    <t>CEILING FINISHES</t>
  </si>
  <si>
    <t>Finishes</t>
  </si>
  <si>
    <t>1.4.1</t>
  </si>
  <si>
    <t>Paint to all existing plasterboard ceilings for new 3-coat paint system PA.03 (Dulux Wash&amp;Wear;+Plus Kitchen &amp; Bathroom, Flat white, low sheen), including cleaning. mould treatment and eradication, minor repairs, sanding and priming as required.</t>
  </si>
  <si>
    <t>TOTAL Ceiling Finishes</t>
  </si>
  <si>
    <t>1.5</t>
  </si>
  <si>
    <t>Door and Window</t>
  </si>
  <si>
    <t>DOOR AND WINDOWS</t>
  </si>
  <si>
    <t>Rates are deemed to include the supply and installation of all door hardware and all applied finishes.</t>
  </si>
  <si>
    <t>1.5.1</t>
  </si>
  <si>
    <t>Refurbishment of existing gate including all preparation, fixings, finishes, adjustments, and making good required to suit installation of new perforated metal screen (900mmW x 1250mmH)</t>
  </si>
  <si>
    <t>1.5.2</t>
  </si>
  <si>
    <t>Adding new door seals and replacing existing door hardwares as per the door schedule</t>
  </si>
  <si>
    <t>1.5.3</t>
  </si>
  <si>
    <t>Replacing the leaf finish of D04 to GL.01 new double glazing to match new double glazed windows</t>
  </si>
  <si>
    <t>TOTAL Door and Window</t>
  </si>
  <si>
    <t>1.6</t>
  </si>
  <si>
    <t>Joinery</t>
  </si>
  <si>
    <t>JOINERY</t>
  </si>
  <si>
    <t>Joinery unit rates are deemed to include the supply and installation of laminated benchtops and tiled splashbacks, complete, unless specifically noted otherwise in the documentation.</t>
  </si>
  <si>
    <t>Robe unit rates are deemed to include the supply and installation of sliding mirrored doors, complete with tracks, guides, and associated fittings.</t>
  </si>
  <si>
    <t>Joinery unit rates are deemed to include all hardware necessary for a complete and functional installation, including soft - close hinges, soft - close runners, fixings, and all incidental hardware.</t>
  </si>
  <si>
    <t>Joinery unit rates are deemed to include all costs associated with delivery to site, handling, positioning, installation, and making good directly affected surfaces.</t>
  </si>
  <si>
    <t>Kitchen</t>
  </si>
  <si>
    <t>1.6.1</t>
  </si>
  <si>
    <t>JO1a/b - comprising 880mm high under-bench cupboards and drawers, 800mm high overhead cupboards, pantry units and complete with 20mm stone benchtop including waterfall edge and tiled splashback</t>
  </si>
  <si>
    <t>Laundry</t>
  </si>
  <si>
    <t>1.6.2</t>
  </si>
  <si>
    <t>JO2a/b – comprising 880mm high under-bench cupboards and drawers, full-height broom cupboard, 20mm solid surface benchtop, tiled splashback and overhead cupboards to washing machine side only.</t>
  </si>
  <si>
    <t>Robes</t>
  </si>
  <si>
    <t>1.6.3</t>
  </si>
  <si>
    <t>JO5a – comprising full height built-in sliding door wardrobes to 2700 mm high with 4 panel door system, mirror behind, internal shelving and hanging rails.</t>
  </si>
  <si>
    <t>1.6.4</t>
  </si>
  <si>
    <t>JO5b – comprising full height built-in sliding door wardrobes to 2700 mm high with 2 panel door system, mirror behind, internal shelving and hanging rails.</t>
  </si>
  <si>
    <t>WIR</t>
  </si>
  <si>
    <t>1.6.5</t>
  </si>
  <si>
    <t>JO7a/b – comprising open walk-in robe joinery with full-height laminate carcass, adjustable shelving, drawer units and hanging rails.</t>
  </si>
  <si>
    <t>Linen</t>
  </si>
  <si>
    <t>1.6.6</t>
  </si>
  <si>
    <t>JO6 – comprising full-height sliding door linen cupboard to 2700mm high with 3 panel door system, hang rail and shelving.</t>
  </si>
  <si>
    <t>Mirror cabinet</t>
  </si>
  <si>
    <t>1.6.7</t>
  </si>
  <si>
    <t>FT-17 - Issy cloud double mirror with shaving cabinet</t>
  </si>
  <si>
    <t>1.6.8</t>
  </si>
  <si>
    <t>FT-18 - Issy Z1 custom recessed oval mirror with shaving cabinet</t>
  </si>
  <si>
    <t>Vanity Basin</t>
  </si>
  <si>
    <t>1.6.9</t>
  </si>
  <si>
    <t>SAN-07 - Posh Domaine vanity</t>
  </si>
  <si>
    <t>1.6.10</t>
  </si>
  <si>
    <t>SAN-03 - Posh Solus vanity unit</t>
  </si>
  <si>
    <t>TOTAL Joinery</t>
  </si>
  <si>
    <t>1.7</t>
  </si>
  <si>
    <t>Fitments incl. Sanitary Fixtures</t>
  </si>
  <si>
    <t>FITMENTS INCL SANITARY FIXTURES</t>
  </si>
  <si>
    <t>1.7.1</t>
  </si>
  <si>
    <t>FT-01 - Caroma Urbane II sink mixer</t>
  </si>
  <si>
    <t>1.7.2</t>
  </si>
  <si>
    <t>FT-02 - Hideaway waste bin</t>
  </si>
  <si>
    <t>Including in joinery</t>
  </si>
  <si>
    <t>1.7.3</t>
  </si>
  <si>
    <t>FT-04 - Kesebohmer magic corner</t>
  </si>
  <si>
    <t>1.7.4</t>
  </si>
  <si>
    <t>FT-22 - Kessebohmer cooking agent pull out</t>
  </si>
  <si>
    <t>1.7.5</t>
  </si>
  <si>
    <t>FT-24 - 9 compartment cutlery tray</t>
  </si>
  <si>
    <t>1.7.6</t>
  </si>
  <si>
    <t>FT-26 - Kessebohmer dispense junior III</t>
  </si>
  <si>
    <t>1.7.7</t>
  </si>
  <si>
    <t>FT-27 - Kessebohmer dispense pantry 300</t>
  </si>
  <si>
    <t>1.7.8</t>
  </si>
  <si>
    <t>FT-28 - Kessebohmer no.15 pull out - towel rail</t>
  </si>
  <si>
    <t>1.7.9</t>
  </si>
  <si>
    <t>SAN-01 - new kitchen sink</t>
  </si>
  <si>
    <t>1.7.10</t>
  </si>
  <si>
    <t>FT-05 - Oval wardrobe rail</t>
  </si>
  <si>
    <t>1.7.11</t>
  </si>
  <si>
    <t>FT-09 - Luna Basin/Bath Mixer</t>
  </si>
  <si>
    <t>1.7.12</t>
  </si>
  <si>
    <t>SAN-09 - Square 25L Laundry Sink 0th</t>
  </si>
  <si>
    <t>1.7.13</t>
  </si>
  <si>
    <t>FT-11 - Mizu Drift trapscrew grate</t>
  </si>
  <si>
    <t>WC(GF)</t>
  </si>
  <si>
    <t>1.7.14</t>
  </si>
  <si>
    <t>FT-07 - Caroma luna toilet roll holder</t>
  </si>
  <si>
    <t>1.7.15</t>
  </si>
  <si>
    <t>FT-08 - Luna basin mixer</t>
  </si>
  <si>
    <t>1.7.16</t>
  </si>
  <si>
    <t>FT-11 - Mizu Drift trapscrew grate square</t>
  </si>
  <si>
    <t>1.7.17</t>
  </si>
  <si>
    <t>FT-20 - Misu sooth towel ring</t>
  </si>
  <si>
    <t>1.7.18</t>
  </si>
  <si>
    <t>SAN-04 - Liano clean flush toilet suite</t>
  </si>
  <si>
    <t>Bath Room, ENS &amp; WC(1F)</t>
  </si>
  <si>
    <t>1.7.19</t>
  </si>
  <si>
    <t>FT-06 - Caroma Luna metal shelf</t>
  </si>
  <si>
    <t>1.7.20</t>
  </si>
  <si>
    <t>1.7.21</t>
  </si>
  <si>
    <t>1.7.22</t>
  </si>
  <si>
    <t>FT-09 - Luna basin/bath mixer</t>
  </si>
  <si>
    <t>1.7.23</t>
  </si>
  <si>
    <t>FT-10 - Luna bath/shower mixer</t>
  </si>
  <si>
    <t>1.7.24</t>
  </si>
  <si>
    <t>1.7.25</t>
  </si>
  <si>
    <t>FT-12 - Luna double towel rail</t>
  </si>
  <si>
    <t>1.7.26</t>
  </si>
  <si>
    <t>FT-13 - Luna hand towel rail</t>
  </si>
  <si>
    <t>1.7.27</t>
  </si>
  <si>
    <t>FT-14 - Luna robe hook</t>
  </si>
  <si>
    <t>1.7.28</t>
  </si>
  <si>
    <t>FT-15 - Creative glass - frameless front &amp; return with hinged door</t>
  </si>
  <si>
    <t>1.7.29</t>
  </si>
  <si>
    <t>1.7.30</t>
  </si>
  <si>
    <t>1.7.31</t>
  </si>
  <si>
    <t>SAN-05 - Luna island bath</t>
  </si>
  <si>
    <t>1.7.32</t>
  </si>
  <si>
    <t>SAN-06 - Luna SYS O/H shower on rail</t>
  </si>
  <si>
    <t>Balustrade &amp; Handrail</t>
  </si>
  <si>
    <t>1.7.33</t>
  </si>
  <si>
    <t>Solid FC-lined balustrade wall with timber framing, 125×25 mm timber top rail, wall finished to match adjacent surfaces, combined with 40 mm dia hardwood wall-mounted handrail fixed on heavy-duty metal brackets at max 900 mm centres</t>
  </si>
  <si>
    <t>TOTAL Fitments incl. Sanitary Fixtures</t>
  </si>
  <si>
    <t>1.8</t>
  </si>
  <si>
    <t>Film/ Signage</t>
  </si>
  <si>
    <t>All blinds shall be installed inside the window reveal</t>
  </si>
  <si>
    <t>Curtains shall provide a minimum 300 mm overlap to the window opening measured to width only</t>
  </si>
  <si>
    <t>Curtains and Blinds</t>
  </si>
  <si>
    <t>1.8.1</t>
  </si>
  <si>
    <t>FT.25 - manual double roller blind system with diffusing blind and blockout blind, operated by stainless steel chain, using Vertilux 5% transparent diffusing fabric and Hamilton room-darkening blockout fabric - 2100mm High</t>
  </si>
  <si>
    <t>1.8.2</t>
  </si>
  <si>
    <t>FT.29 - full height blockout curtains on internal S-fold track with 300 mm overlap to window openings, moisture-resistant fabric (colour TBC), together with manual double roller blinds inside providing diffusing and blockout layers</t>
  </si>
  <si>
    <t>Film</t>
  </si>
  <si>
    <t>1.8.3</t>
  </si>
  <si>
    <t>FM.01 - privacy film that 3M fasara frost finish SH2EMLA to be installed on all WC and bathroom windows for privacy</t>
  </si>
  <si>
    <t>TOTAL Film/ Signage</t>
  </si>
  <si>
    <t>1.9</t>
  </si>
  <si>
    <t>Mechanical service</t>
  </si>
  <si>
    <t>MECHANICAL SERVICES</t>
  </si>
  <si>
    <t>The Mechanical Services Works shall be carried out in accordance with the mechanical services drawings, schedules, details, and specifications forming part of the contract documents.</t>
  </si>
  <si>
    <t>The Contractor shall be deemed to have examined and allowed for the complete scope of the Mechanical Services Works, including all work shown, specified, noted, or reasonably inferred from the contract documents, whether or not individually or expressly detailed.</t>
  </si>
  <si>
    <t>The Works shall include all labour, materials, plant, equipment, coordination, testing, commissioning, certification, approvals, and incidental works necessary to deliver fully operational and compliant mechanical services.</t>
  </si>
  <si>
    <t>The Contractor shall allow for all coordination with other trades, builders’ work in connection with mechanical services, penetrations, supports, access requirements, and making good associated with the Works.</t>
  </si>
  <si>
    <t>Any departure from the documented scope or design intent shall be clearly identified at tender stage. Unidentified departures shall not constitute a variation.</t>
  </si>
  <si>
    <t>Mechanical services</t>
  </si>
  <si>
    <t>1.9.1</t>
  </si>
  <si>
    <t>Mechanical Services including split-system air conditioning, ventilation, pipework, cabling, ductwork, exhaust systems, documentation, testing, commissioning, and handover in accordance with project requirements.</t>
  </si>
  <si>
    <t>TOTAL Mechanical service</t>
  </si>
  <si>
    <t>1.10</t>
  </si>
  <si>
    <t>Hydraulic service</t>
  </si>
  <si>
    <t>HYDRAULIC SERVICES</t>
  </si>
  <si>
    <t>The Hydraulic Services Works shall be executed strictly in accordance with the hydraulic services drawings, schedules, details, legends, and specifications forming part of the contract documents, read in conjunction with all other contract documents.</t>
  </si>
  <si>
    <t>The Contractor shall be deemed to have fully examined the site, existing conditions, and all documentation and to have allowed for the complete, coordinated, and compliant execution of the Hydraulic Services Works, including all matters shown, specified, noted, or reasonably inferred, whether or not expressly detailed.</t>
  </si>
  <si>
    <t>The Works shall include the complete provision of all labour, materials, plant, equipment, testing, inspections, commissioning, certification, approvals, and making good necessary to deliver fully functional hydraulic services, including water services, sanitary plumbing, drainage, stormwater, hot water systems, valves, fixtures, fittings, accessories, and connections to existing services.</t>
  </si>
  <si>
    <t>The Contractor shall allow for all works associated with existing services, including investigation, CCTV inspection, testing, modification, alteration, temporary diversion, isolation, removal, and sealing of redundant services, without entitlement to additional payment, except where expressly directed as a variation under the contract.</t>
  </si>
  <si>
    <t>The Contractor shall allow for all coordination with other trades, authorities, and the builder, including builders’ work in connection with hydraulic services, penetrations, sleeves, fire‑rated and acoustic sealing, access panels, temporary services, staging requirements, and reinstatement of affected building elements.</t>
  </si>
  <si>
    <t>Any proposed exclusions, assumptions, qualifications, or departures from the documented scope or performance requirements shall be clearly identified in writing at tender stage. Any matter not so identified shall be deemed to be included and shall not constitute grounds for a variation.</t>
  </si>
  <si>
    <t>Hydraulic services</t>
  </si>
  <si>
    <t>1.10.1</t>
  </si>
  <si>
    <t>Hydraulic services including hot and cold water reticulation, sanitary drainage, fixtures, valves, fittings, testing, commissioning, documentation, and handover in accordance with project requirements.</t>
  </si>
  <si>
    <t>TOTAL Hydraulic service</t>
  </si>
  <si>
    <t>1.11</t>
  </si>
  <si>
    <t>Electric Light, Power &amp; Communications</t>
  </si>
  <si>
    <t>ELECTRICAL AND COMMUNICATION SERVICES</t>
  </si>
  <si>
    <t>The Electrical and Communications Services Works shall be executed strictly in accordance with the electrical and communications drawings, legends, schedules, notes, details, and specifications forming part of the contract documents, read in conjunction with all other contract documentation.</t>
  </si>
  <si>
    <t>The Contractor shall be deemed to have fully examined the existing electrical and communications installations, distribution boards, submains, cabling routes, and all documentation, and to have allowed for the complete, coordinated, integrated, compliant, and safe execution of the Electrical and Communications Services Works, including all matters shown, specified, noted, or reasonably inferred, whether or not individually or expressly detailed.</t>
  </si>
  <si>
    <t>The Works shall include, but not be limited to, the full provision of labour, materials, equipment, testing, commissioning, certification, approvals, and making good necessary to deliver fully operational systems, including:
- general and equipment power;
- lighting and lighting controls;
- ceiling fans, exhaust fan interlocks, and appliance connections;
- smoke detection and fire-related electrical services;
- electrical isolation, disconnection, demolition, and reconnection works;
- communications, data, TV, router outlets, conduits, and future-proofing pathways
- surge protection devices;
- upgrades and modifications within existing distribution boards.</t>
  </si>
  <si>
    <t>The Contractor shall allow for the investigation, assessment, isolation, disconnection, modification, retention, replacement, or removal of existing electrical and communications services as required to complete the Works, including rewiring to new RCD/RCBO protection and reconnection to existing distribution boards, without entitlement to additional payment except where expressly directed as a variation.</t>
  </si>
  <si>
    <t>The Contractor shall allow for all coordination with other trades and systems, including mechanical, hydraulic, fire, architectural, and structural works. No claim for additional payment or time shall arise due to coordination issues, access constraints, ceiling or wall congestion, or clashes that could reasonably have been foreseen.</t>
  </si>
  <si>
    <t>The location, heights, and routing of outlets, switches, luminaires, communications points, and equipment shown on the drawings are indicative. Final locations shall be coordinated on site to suit building elements, furniture, joinery, appliance layouts, and service clearances, while maintaining compliance with AS/NZS 3000, AS/CA S009, and other applicable standards.</t>
  </si>
  <si>
    <t>The Contractor shall allow for all penetrations, sleeves, fire-rated and acoustic sealing, access panels, builders’ work in connection with electrical and communications services, and reinstatement of affected surfaces necessary to deliver a complete installation.</t>
  </si>
  <si>
    <t>The Contractor shall be solely responsible for testing, commissioning, certification, inspection coordination, and provision of all compliance documentation, test reports, as‑built drawings, and operation and maintenance manuals for the Electrical and Communications Services.</t>
  </si>
  <si>
    <t>Any assumptions, exclusions, substitutions, qualifications, or departures from the documented scope, systems, performance requirements, or coordination obligations shall be clearly identified in writing at tender stage. Any matter not so identified shall be deemed included and shall not constitute grounds for a variation.</t>
  </si>
  <si>
    <t>Electrical and Communication services</t>
  </si>
  <si>
    <t>1.11.1</t>
  </si>
  <si>
    <t>Electrical &amp; Communications services including power, lighting, switching, ceiling fans, distribution boards, surge protection, data and TV outlets, cabling, testing, commissioning, documentation, and handover.</t>
  </si>
  <si>
    <t>TOTAL Electric Light, Power &amp; Communications</t>
  </si>
  <si>
    <t>TOTAL H1, H2, H7, H8</t>
  </si>
  <si>
    <t>2</t>
  </si>
  <si>
    <t>2.1</t>
  </si>
  <si>
    <t>2.1.1</t>
  </si>
  <si>
    <t>2.1.2</t>
  </si>
  <si>
    <t>2.1.3</t>
  </si>
  <si>
    <t>2.1.4</t>
  </si>
  <si>
    <t>2.1.5</t>
  </si>
  <si>
    <t>2.1.6</t>
  </si>
  <si>
    <t>2.1.7</t>
  </si>
  <si>
    <t>2.1.8</t>
  </si>
  <si>
    <t>2.1.9</t>
  </si>
  <si>
    <t>2.1.10</t>
  </si>
  <si>
    <t>2.1.11</t>
  </si>
  <si>
    <t>2.1.12</t>
  </si>
  <si>
    <t>2.1.13</t>
  </si>
  <si>
    <t>2.1.14</t>
  </si>
  <si>
    <t>2.1.15</t>
  </si>
  <si>
    <t>2.1.16</t>
  </si>
  <si>
    <t>2.1.17</t>
  </si>
  <si>
    <t>2.1.18</t>
  </si>
  <si>
    <t>2.1.19</t>
  </si>
  <si>
    <t>2.1.20</t>
  </si>
  <si>
    <t>2.1.21</t>
  </si>
  <si>
    <t>2.2</t>
  </si>
  <si>
    <t>2.2.1</t>
  </si>
  <si>
    <t>2.2.2</t>
  </si>
  <si>
    <t>2.2.3</t>
  </si>
  <si>
    <t>2.2.4</t>
  </si>
  <si>
    <t>2.2.5</t>
  </si>
  <si>
    <t>2.2.6</t>
  </si>
  <si>
    <t>2.3</t>
  </si>
  <si>
    <t>2.3.1</t>
  </si>
  <si>
    <t>2.3.2</t>
  </si>
  <si>
    <t>2.3.3</t>
  </si>
  <si>
    <t>2.3.4</t>
  </si>
  <si>
    <t>2.4</t>
  </si>
  <si>
    <t>2.4.1</t>
  </si>
  <si>
    <t>2.5</t>
  </si>
  <si>
    <t>2.5.1</t>
  </si>
  <si>
    <t>2.5.2</t>
  </si>
  <si>
    <t>2.5.3</t>
  </si>
  <si>
    <t>2.6</t>
  </si>
  <si>
    <t>2.6.1</t>
  </si>
  <si>
    <t>2.6.2</t>
  </si>
  <si>
    <t>2.6.3</t>
  </si>
  <si>
    <t>2.6.4</t>
  </si>
  <si>
    <t>2.6.5</t>
  </si>
  <si>
    <t>2.6.6</t>
  </si>
  <si>
    <t>2.6.7</t>
  </si>
  <si>
    <t>2.6.8</t>
  </si>
  <si>
    <t>2.6.9</t>
  </si>
  <si>
    <t>2.6.10</t>
  </si>
  <si>
    <t>2.7</t>
  </si>
  <si>
    <t>2.7.1</t>
  </si>
  <si>
    <t>2.7.2</t>
  </si>
  <si>
    <t>2.7.3</t>
  </si>
  <si>
    <t>2.7.4</t>
  </si>
  <si>
    <t>2.7.5</t>
  </si>
  <si>
    <t>2.7.6</t>
  </si>
  <si>
    <t>2.7.7</t>
  </si>
  <si>
    <t>2.7.8</t>
  </si>
  <si>
    <t>2.7.9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</si>
  <si>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</si>
  <si>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</si>
  <si>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</si>
  <si>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</si>
  <si>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</si>
  <si>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</si>
  <si>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</si>
  <si>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</si>
  <si>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</si>
  <si>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</si>
  <si>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</si>
  <si>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</si>
  <si>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</si>
  <si>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</si>
  <si>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</si>
  <si>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</si>
  <si>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</si>
  <si>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</si>
  <si>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</si>
  <si>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</si>
  <si>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</si>
  <si>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</si>
  <si>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</si>
  <si>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</si>
  <si>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2.8</t>
  </si>
  <si>
    <t>FILM/SIGNAGE</t>
  </si>
  <si>
    <t>2.8.1</t>
  </si>
  <si>
    <t>2.8.2</t>
  </si>
  <si>
    <t>2.8.3</t>
  </si>
  <si>
    <t>2.9</t>
  </si>
  <si>
    <t>2.9.1</t>
  </si>
  <si>
    <t>2.10</t>
  </si>
  <si>
    <t>2.10.1</t>
  </si>
  <si>
    <t>2.11</t>
  </si>
  <si>
    <t>TOTAL H3</t>
  </si>
  <si>
    <t>3</t>
  </si>
  <si>
    <t>H4, H14, H15, H36, H37, H38, H39</t>
  </si>
  <si>
    <t>3 BEDROOM APARTMENT</t>
  </si>
  <si>
    <t>3.1</t>
  </si>
  <si>
    <t>3.1.1</t>
  </si>
  <si>
    <t>3.1.2</t>
  </si>
  <si>
    <t>3.1.3</t>
  </si>
  <si>
    <t>3.1.4</t>
  </si>
  <si>
    <t>3.1.5</t>
  </si>
  <si>
    <t>3.1.6</t>
  </si>
  <si>
    <t>3.1.7</t>
  </si>
  <si>
    <t>3.1.8</t>
  </si>
  <si>
    <t>3.1.9</t>
  </si>
  <si>
    <t>3.1.10</t>
  </si>
  <si>
    <t>3.1.11</t>
  </si>
  <si>
    <t>3.1.12</t>
  </si>
  <si>
    <t>3.1.13</t>
  </si>
  <si>
    <t>3.1.14</t>
  </si>
  <si>
    <t>3.1.15</t>
  </si>
  <si>
    <t>3.1.16</t>
  </si>
  <si>
    <t>3.1.17</t>
  </si>
  <si>
    <t>3.1.18</t>
  </si>
  <si>
    <t>3.1.19</t>
  </si>
  <si>
    <t>3.1.20</t>
  </si>
  <si>
    <t>3.1.21</t>
  </si>
  <si>
    <t>3.2</t>
  </si>
  <si>
    <t>3.2.1</t>
  </si>
  <si>
    <t>3.2.2</t>
  </si>
  <si>
    <t>3.2.3</t>
  </si>
  <si>
    <t>3.2.4</t>
  </si>
  <si>
    <t>3.2.5</t>
  </si>
  <si>
    <t>3.2.6</t>
  </si>
  <si>
    <t>3.3</t>
  </si>
  <si>
    <t>3.3.1</t>
  </si>
  <si>
    <t>3.3.2</t>
  </si>
  <si>
    <t>3.3.3</t>
  </si>
  <si>
    <t>3.3.4</t>
  </si>
  <si>
    <t>3.4</t>
  </si>
  <si>
    <t>3.4.1</t>
  </si>
  <si>
    <t>3.5</t>
  </si>
  <si>
    <t>3.5.1</t>
  </si>
  <si>
    <t>3.5.2</t>
  </si>
  <si>
    <t>3.5.3</t>
  </si>
  <si>
    <t>3.6</t>
  </si>
  <si>
    <t>3.6.1</t>
  </si>
  <si>
    <t>3.6.2</t>
  </si>
  <si>
    <t>3.6.3</t>
  </si>
  <si>
    <t>3.6.4</t>
  </si>
  <si>
    <t>3.6.5</t>
  </si>
  <si>
    <t>3.6.6</t>
  </si>
  <si>
    <t>3.6.7</t>
  </si>
  <si>
    <t>3.6.8</t>
  </si>
  <si>
    <t>3.6.9</t>
  </si>
  <si>
    <t>3.6.10</t>
  </si>
  <si>
    <t>3.7</t>
  </si>
  <si>
    <t>3.7.1</t>
  </si>
  <si>
    <t>3.7.2</t>
  </si>
  <si>
    <t>3.7.3</t>
  </si>
  <si>
    <t>3.7.4</t>
  </si>
  <si>
    <t>3.7.5</t>
  </si>
  <si>
    <t>3.7.6</t>
  </si>
  <si>
    <t>3.7.7</t>
  </si>
  <si>
    <t>3.7.8</t>
  </si>
  <si>
    <t>3.7.9</t>
  </si>
  <si>
    <t>3.7.10</t>
  </si>
  <si>
    <t>3.7.11</t>
  </si>
  <si>
    <t>3.7.12</t>
  </si>
  <si>
    <t>3.7.13</t>
  </si>
  <si>
    <t>3.7.14</t>
  </si>
  <si>
    <t>3.7.15</t>
  </si>
  <si>
    <t>3.7.16</t>
  </si>
  <si>
    <t>3.7.17</t>
  </si>
  <si>
    <t>3.7.18</t>
  </si>
  <si>
    <t>3.7.19</t>
  </si>
  <si>
    <t>3.7.20</t>
  </si>
  <si>
    <t>3.7.21</t>
  </si>
  <si>
    <t>3.7.22</t>
  </si>
  <si>
    <t>3.7.23</t>
  </si>
  <si>
    <t>3.7.24</t>
  </si>
  <si>
    <t>3.7.25</t>
  </si>
  <si>
    <t>3.7.26</t>
  </si>
  <si>
    <t>3.7.27</t>
  </si>
  <si>
    <t>3.7.28</t>
  </si>
  <si>
    <t>3.7.29</t>
  </si>
  <si>
    <t>FT-19 - Frameless shower screen corner</t>
  </si>
  <si>
    <t>3.7.30</t>
  </si>
  <si>
    <t>3.7.31</t>
  </si>
  <si>
    <t>3.7.32</t>
  </si>
  <si>
    <t>3.7.33</t>
  </si>
  <si>
    <t>3.7.34</t>
  </si>
  <si>
    <t>3.8</t>
  </si>
  <si>
    <t>3.8.1</t>
  </si>
  <si>
    <t>FT.25 - manual double roller blind system with diffusing blind and blockout blind, operated by stainless steel chain, using Vertilux 5% transparent diffusing fabric and Hamilton room-darkening blockout fabric, sized to suit window openings</t>
  </si>
  <si>
    <t>3.8.2</t>
  </si>
  <si>
    <t>3.8.3</t>
  </si>
  <si>
    <t>3.9</t>
  </si>
  <si>
    <t>3.9.1</t>
  </si>
  <si>
    <t>3.10</t>
  </si>
  <si>
    <t>3.10.1</t>
  </si>
  <si>
    <t>3.11</t>
  </si>
  <si>
    <t>3.11.1</t>
  </si>
  <si>
    <t xml:space="preserve">each apartment TOTAL </t>
  </si>
  <si>
    <t>4</t>
  </si>
  <si>
    <t>4.1</t>
  </si>
  <si>
    <t>4.1.1</t>
  </si>
  <si>
    <t>4.1.2</t>
  </si>
  <si>
    <t>4.1.3</t>
  </si>
  <si>
    <t>4.1.4</t>
  </si>
  <si>
    <t>4.1.5</t>
  </si>
  <si>
    <t>4.1.6</t>
  </si>
  <si>
    <t>4.1.7</t>
  </si>
  <si>
    <t>4.1.8</t>
  </si>
  <si>
    <t>4.1.9</t>
  </si>
  <si>
    <t>4.1.10</t>
  </si>
  <si>
    <t>4.1.11</t>
  </si>
  <si>
    <t>4.1.12</t>
  </si>
  <si>
    <t>4.1.13</t>
  </si>
  <si>
    <t>4.1.14</t>
  </si>
  <si>
    <t>4.1.15</t>
  </si>
  <si>
    <t>4.1.16</t>
  </si>
  <si>
    <t>4.1.17</t>
  </si>
  <si>
    <t>4.1.18</t>
  </si>
  <si>
    <t>4.1.19</t>
  </si>
  <si>
    <t>4.1.20</t>
  </si>
  <si>
    <t>4.1.21</t>
  </si>
  <si>
    <t>4.2</t>
  </si>
  <si>
    <t>4.2.1</t>
  </si>
  <si>
    <t>4.2.2</t>
  </si>
  <si>
    <t>4.2.3</t>
  </si>
  <si>
    <t>4.2.4</t>
  </si>
  <si>
    <t>4.2.5</t>
  </si>
  <si>
    <t>4.2.6</t>
  </si>
  <si>
    <t>4.3</t>
  </si>
  <si>
    <t>4.3.1</t>
  </si>
  <si>
    <t>4.3.2</t>
  </si>
  <si>
    <t>4.3.3</t>
  </si>
  <si>
    <t>4.3.4</t>
  </si>
  <si>
    <t>4.4</t>
  </si>
  <si>
    <t>4.4.1</t>
  </si>
  <si>
    <t>4.5</t>
  </si>
  <si>
    <t>4.5.1</t>
  </si>
  <si>
    <t>4.5.2</t>
  </si>
  <si>
    <t>4.5.3</t>
  </si>
  <si>
    <t>4.6</t>
  </si>
  <si>
    <t>4.6.1</t>
  </si>
  <si>
    <t>4.6.2</t>
  </si>
  <si>
    <t>4.6.3</t>
  </si>
  <si>
    <t>4.6.4</t>
  </si>
  <si>
    <t>4.6.5</t>
  </si>
  <si>
    <t>4.6.6</t>
  </si>
  <si>
    <t>4.6.7</t>
  </si>
  <si>
    <t>4.6.8</t>
  </si>
  <si>
    <t>4.6.9</t>
  </si>
  <si>
    <t>4.6.10</t>
  </si>
  <si>
    <t>4.7</t>
  </si>
  <si>
    <t>4.7.1</t>
  </si>
  <si>
    <t>4.7.2</t>
  </si>
  <si>
    <t>4.7.3</t>
  </si>
  <si>
    <t>4.7.4</t>
  </si>
  <si>
    <t>4.7.5</t>
  </si>
  <si>
    <t>4.7.6</t>
  </si>
  <si>
    <t>4.7.7</t>
  </si>
  <si>
    <t>4.7.8</t>
  </si>
  <si>
    <t>4.7.9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</si>
  <si>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</si>
  <si>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</si>
  <si>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</si>
  <si>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</si>
  <si>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</si>
  <si>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</si>
  <si>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</si>
  <si>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</si>
  <si>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</si>
  <si>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</si>
  <si>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</si>
  <si>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</si>
  <si>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</si>
  <si>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</si>
  <si>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</si>
  <si>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</si>
  <si>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</si>
  <si>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</si>
  <si>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</si>
  <si>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</si>
  <si>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</si>
  <si>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</si>
  <si>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</si>
  <si>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</si>
  <si>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4.8</t>
  </si>
  <si>
    <t>4.8.1</t>
  </si>
  <si>
    <t>4.8.2</t>
  </si>
  <si>
    <t>4.8.3</t>
  </si>
  <si>
    <t>4.9</t>
  </si>
  <si>
    <t>4.9.1</t>
  </si>
  <si>
    <t>4.10</t>
  </si>
  <si>
    <t>4.10.1</t>
  </si>
  <si>
    <t>4.11</t>
  </si>
  <si>
    <t>4.11.1</t>
  </si>
  <si>
    <t>TOTAL H5</t>
  </si>
  <si>
    <t>5</t>
  </si>
  <si>
    <t>5.1</t>
  </si>
  <si>
    <t>5.1.1</t>
  </si>
  <si>
    <t>5.1.2</t>
  </si>
  <si>
    <t>5.1.3</t>
  </si>
  <si>
    <t>5.1.4</t>
  </si>
  <si>
    <t>5.1.5</t>
  </si>
  <si>
    <t>5.1.6</t>
  </si>
  <si>
    <t>5.1.7</t>
  </si>
  <si>
    <t>5.1.8</t>
  </si>
  <si>
    <t>5.1.9</t>
  </si>
  <si>
    <t>5.1.10</t>
  </si>
  <si>
    <t>5.1.11</t>
  </si>
  <si>
    <t>5.1.12</t>
  </si>
  <si>
    <t>5.1.13</t>
  </si>
  <si>
    <t>5.1.14</t>
  </si>
  <si>
    <t>5.1.15</t>
  </si>
  <si>
    <t>5.1.16</t>
  </si>
  <si>
    <t>5.1.17</t>
  </si>
  <si>
    <t>5.1.18</t>
  </si>
  <si>
    <t>5.1.19</t>
  </si>
  <si>
    <t>5.1.20</t>
  </si>
  <si>
    <t>5.1.21</t>
  </si>
  <si>
    <t>5.2</t>
  </si>
  <si>
    <t>5.2.1</t>
  </si>
  <si>
    <t>5.2.2</t>
  </si>
  <si>
    <t>5.2.3</t>
  </si>
  <si>
    <t>5.2.4</t>
  </si>
  <si>
    <t>5.2.5</t>
  </si>
  <si>
    <t>5.2.6</t>
  </si>
  <si>
    <t>5.3</t>
  </si>
  <si>
    <t>5.3.1</t>
  </si>
  <si>
    <t>5.3.2</t>
  </si>
  <si>
    <t>5.3.3</t>
  </si>
  <si>
    <t>5.3.4</t>
  </si>
  <si>
    <t>5.4</t>
  </si>
  <si>
    <t>5.4.1</t>
  </si>
  <si>
    <t>5.5</t>
  </si>
  <si>
    <t>5.5.1</t>
  </si>
  <si>
    <t>5.5.2</t>
  </si>
  <si>
    <t>5.5.3</t>
  </si>
  <si>
    <t>5.6</t>
  </si>
  <si>
    <t>5.6.1</t>
  </si>
  <si>
    <t>5.6.2</t>
  </si>
  <si>
    <t>5.6.3</t>
  </si>
  <si>
    <t>5.6.4</t>
  </si>
  <si>
    <t>5.6.5</t>
  </si>
  <si>
    <t>5.6.6</t>
  </si>
  <si>
    <t>5.6.7</t>
  </si>
  <si>
    <t>5.6.8</t>
  </si>
  <si>
    <t>5.6.9</t>
  </si>
  <si>
    <t>5.6.10</t>
  </si>
  <si>
    <t>5.7</t>
  </si>
  <si>
    <t>5.7.1</t>
  </si>
  <si>
    <t>5.7.2</t>
  </si>
  <si>
    <t>5.7.3</t>
  </si>
  <si>
    <t>5.7.4</t>
  </si>
  <si>
    <t>5.7.5</t>
  </si>
  <si>
    <t>5.7.6</t>
  </si>
  <si>
    <t>5.7.7</t>
  </si>
  <si>
    <t>5.7.8</t>
  </si>
  <si>
    <t>5.7.9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</si>
  <si>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</si>
  <si>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</si>
  <si>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</si>
  <si>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</si>
  <si>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</si>
  <si>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</si>
  <si>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</si>
  <si>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</si>
  <si>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</si>
  <si>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</si>
  <si>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</si>
  <si>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</si>
  <si>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</si>
  <si>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</si>
  <si>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</si>
  <si>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</si>
  <si>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</si>
  <si>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</si>
  <si>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</si>
  <si>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</si>
  <si>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</si>
  <si>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</si>
  <si>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</si>
  <si>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</si>
  <si>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</si>
  <si>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5.8</t>
  </si>
  <si>
    <t>5.8.1</t>
  </si>
  <si>
    <t>5.8.2</t>
  </si>
  <si>
    <t>5.8.3</t>
  </si>
  <si>
    <t>5.9</t>
  </si>
  <si>
    <t>5.9.1</t>
  </si>
  <si>
    <t>5.10</t>
  </si>
  <si>
    <t>5.10.1</t>
  </si>
  <si>
    <t>5.11</t>
  </si>
  <si>
    <t>5.11.1</t>
  </si>
  <si>
    <t>TOTAL H6</t>
  </si>
  <si>
    <t>6</t>
  </si>
  <si>
    <t>H9, H11</t>
  </si>
  <si>
    <t>6.1</t>
  </si>
  <si>
    <t>6.1.1</t>
  </si>
  <si>
    <t>6.1.2</t>
  </si>
  <si>
    <t>6.1.3</t>
  </si>
  <si>
    <t>6.1.4</t>
  </si>
  <si>
    <t>6.1.5</t>
  </si>
  <si>
    <t>6.1.6</t>
  </si>
  <si>
    <t>6.1.7</t>
  </si>
  <si>
    <t>6.1.8</t>
  </si>
  <si>
    <t>6.1.9</t>
  </si>
  <si>
    <t>6.1.10</t>
  </si>
  <si>
    <t>6.1.11</t>
  </si>
  <si>
    <t>6.1.12</t>
  </si>
  <si>
    <t>6.1.13</t>
  </si>
  <si>
    <t>6.1.14</t>
  </si>
  <si>
    <t>6.1.15</t>
  </si>
  <si>
    <t>6.1.16</t>
  </si>
  <si>
    <t>6.1.17</t>
  </si>
  <si>
    <t>6.1.18</t>
  </si>
  <si>
    <t>6.1.19</t>
  </si>
  <si>
    <t>6.1.20</t>
  </si>
  <si>
    <t>6.1.21</t>
  </si>
  <si>
    <t>6.2</t>
  </si>
  <si>
    <t>6.2.1</t>
  </si>
  <si>
    <t>6.2.2</t>
  </si>
  <si>
    <t>6.2.3</t>
  </si>
  <si>
    <t>6.2.4</t>
  </si>
  <si>
    <t>6.2.5</t>
  </si>
  <si>
    <t>6.2.6</t>
  </si>
  <si>
    <t>6.3</t>
  </si>
  <si>
    <t>General</t>
  </si>
  <si>
    <t>6.3.1</t>
  </si>
  <si>
    <t>6.3.2</t>
  </si>
  <si>
    <t>6.3.3</t>
  </si>
  <si>
    <t>6.3.4</t>
  </si>
  <si>
    <t>6.4</t>
  </si>
  <si>
    <t>6.4.1</t>
  </si>
  <si>
    <t>6.5</t>
  </si>
  <si>
    <t>6.5.1</t>
  </si>
  <si>
    <t>6.5.2</t>
  </si>
  <si>
    <t>6.5.3</t>
  </si>
  <si>
    <t>6.6</t>
  </si>
  <si>
    <t>6.6.1</t>
  </si>
  <si>
    <t>6.6.2</t>
  </si>
  <si>
    <t>6.6.3</t>
  </si>
  <si>
    <t>6.6.4</t>
  </si>
  <si>
    <t>6.6.5</t>
  </si>
  <si>
    <t>6.6.6</t>
  </si>
  <si>
    <t>6.6.7</t>
  </si>
  <si>
    <t>6.6.8</t>
  </si>
  <si>
    <t>6.6.9</t>
  </si>
  <si>
    <t>6.6.10</t>
  </si>
  <si>
    <t>6.7</t>
  </si>
  <si>
    <t>6.7.1</t>
  </si>
  <si>
    <t>6.7.2</t>
  </si>
  <si>
    <t>6.7.3</t>
  </si>
  <si>
    <t>6.7.4</t>
  </si>
  <si>
    <t>6.7.5</t>
  </si>
  <si>
    <t>6.7.6</t>
  </si>
  <si>
    <t>6.7.7</t>
  </si>
  <si>
    <t>6.7.8</t>
  </si>
  <si>
    <t>6.7.9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</si>
  <si>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</si>
  <si>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</si>
  <si>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</si>
  <si>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</si>
  <si>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</si>
  <si>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</si>
  <si>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</si>
  <si>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</si>
  <si>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</si>
  <si>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</si>
  <si>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</si>
  <si>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</si>
  <si>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</si>
  <si>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</si>
  <si>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</si>
  <si>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</si>
  <si>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</si>
  <si>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</si>
  <si>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</si>
  <si>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</si>
  <si>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</si>
  <si>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</si>
  <si>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</si>
  <si>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</si>
  <si>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</si>
  <si>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6.8</t>
  </si>
  <si>
    <t>6.8.1</t>
  </si>
  <si>
    <t>6.8.2</t>
  </si>
  <si>
    <t>6.8.3</t>
  </si>
  <si>
    <t>6.9</t>
  </si>
  <si>
    <t>6.9.1</t>
  </si>
  <si>
    <t>6.10</t>
  </si>
  <si>
    <t>6.10.1</t>
  </si>
  <si>
    <t>6.11</t>
  </si>
  <si>
    <t>6.11.1</t>
  </si>
  <si>
    <t>TOTAL H9, H11</t>
  </si>
  <si>
    <t>7</t>
  </si>
  <si>
    <t>H10, H12</t>
  </si>
  <si>
    <t>7.1</t>
  </si>
  <si>
    <t>7.1.1</t>
  </si>
  <si>
    <t>7.1.2</t>
  </si>
  <si>
    <t>7.1.3</t>
  </si>
  <si>
    <t>7.1.4</t>
  </si>
  <si>
    <t>7.1.5</t>
  </si>
  <si>
    <t>7.1.6</t>
  </si>
  <si>
    <t>7.1.7</t>
  </si>
  <si>
    <t>7.1.8</t>
  </si>
  <si>
    <t>7.1.9</t>
  </si>
  <si>
    <t>7.1.10</t>
  </si>
  <si>
    <t>7.1.11</t>
  </si>
  <si>
    <t>7.1.12</t>
  </si>
  <si>
    <t>7.1.13</t>
  </si>
  <si>
    <t>7.1.14</t>
  </si>
  <si>
    <t>7.1.15</t>
  </si>
  <si>
    <t>7.1.16</t>
  </si>
  <si>
    <t>7.1.17</t>
  </si>
  <si>
    <t>7.1.18</t>
  </si>
  <si>
    <t>7.1.19</t>
  </si>
  <si>
    <t>7.1.20</t>
  </si>
  <si>
    <t>7.1.21</t>
  </si>
  <si>
    <t>7.2</t>
  </si>
  <si>
    <t>7.2.1</t>
  </si>
  <si>
    <t>7.2.2</t>
  </si>
  <si>
    <t>7.2.3</t>
  </si>
  <si>
    <t>7.2.4</t>
  </si>
  <si>
    <t>7.2.5</t>
  </si>
  <si>
    <t>7.2.6</t>
  </si>
  <si>
    <t>7.3</t>
  </si>
  <si>
    <t>7.3.1</t>
  </si>
  <si>
    <t>7.3.2</t>
  </si>
  <si>
    <t>7.3.3</t>
  </si>
  <si>
    <t>7.3.4</t>
  </si>
  <si>
    <t>7.4</t>
  </si>
  <si>
    <t>7.4.1</t>
  </si>
  <si>
    <t>7.5</t>
  </si>
  <si>
    <t>7.5.1</t>
  </si>
  <si>
    <t>7.5.2</t>
  </si>
  <si>
    <t>7.5.3</t>
  </si>
  <si>
    <t>7.6</t>
  </si>
  <si>
    <t>7.6.1</t>
  </si>
  <si>
    <t>7.6.2</t>
  </si>
  <si>
    <t>7.6.3</t>
  </si>
  <si>
    <t>7.6.4</t>
  </si>
  <si>
    <t>7.6.5</t>
  </si>
  <si>
    <t>7.6.6</t>
  </si>
  <si>
    <t>7.6.7</t>
  </si>
  <si>
    <t>7.6.8</t>
  </si>
  <si>
    <t>7.6.9</t>
  </si>
  <si>
    <t>7.6.10</t>
  </si>
  <si>
    <t>7.7</t>
  </si>
  <si>
    <t>7.7.1</t>
  </si>
  <si>
    <t>7.7.2</t>
  </si>
  <si>
    <t>7.7.3</t>
  </si>
  <si>
    <t>7.7.4</t>
  </si>
  <si>
    <t>7.7.5</t>
  </si>
  <si>
    <t>7.7.6</t>
  </si>
  <si>
    <t>7.7.7</t>
  </si>
  <si>
    <t>7.7.8</t>
  </si>
  <si>
    <t>7.7.9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</si>
  <si>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</si>
  <si>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</si>
  <si>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</si>
  <si>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</si>
  <si>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</si>
  <si>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</si>
  <si>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</si>
  <si>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</si>
  <si>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</si>
  <si>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</si>
  <si>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</si>
  <si>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</si>
  <si>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</si>
  <si>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</si>
  <si>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</si>
  <si>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</si>
  <si>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</si>
  <si>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</si>
  <si>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</si>
  <si>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</si>
  <si>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</si>
  <si>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</si>
  <si>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</si>
  <si>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</si>
  <si>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7.8</t>
  </si>
  <si>
    <t>7.8.1</t>
  </si>
  <si>
    <t>7.8.2</t>
  </si>
  <si>
    <t>7.8.3</t>
  </si>
  <si>
    <t>7.9</t>
  </si>
  <si>
    <t>7.9.1</t>
  </si>
  <si>
    <t>7.10</t>
  </si>
  <si>
    <t>7.10.1</t>
  </si>
  <si>
    <t>7.11</t>
  </si>
  <si>
    <t>7.11.1</t>
  </si>
  <si>
    <t>TOTAL H10, H12</t>
  </si>
  <si>
    <t>8</t>
  </si>
  <si>
    <t>H13, H16, H35</t>
  </si>
  <si>
    <t>8.1</t>
  </si>
  <si>
    <t>8.1.1</t>
  </si>
  <si>
    <t>8.1.2</t>
  </si>
  <si>
    <t>8.1.3</t>
  </si>
  <si>
    <t>8.1.4</t>
  </si>
  <si>
    <t>8.1.5</t>
  </si>
  <si>
    <t>8.1.6</t>
  </si>
  <si>
    <t>8.1.7</t>
  </si>
  <si>
    <t>8.1.8</t>
  </si>
  <si>
    <t>8.1.9</t>
  </si>
  <si>
    <t>8.1.10</t>
  </si>
  <si>
    <t>8.1.11</t>
  </si>
  <si>
    <t>8.1.12</t>
  </si>
  <si>
    <t>8.1.13</t>
  </si>
  <si>
    <t>8.1.14</t>
  </si>
  <si>
    <t>8.1.15</t>
  </si>
  <si>
    <t>8.1.16</t>
  </si>
  <si>
    <t>8.1.17</t>
  </si>
  <si>
    <t>8.1.18</t>
  </si>
  <si>
    <t>8.1.19</t>
  </si>
  <si>
    <t>8.1.20</t>
  </si>
  <si>
    <t>8.1.21</t>
  </si>
  <si>
    <t>8.2</t>
  </si>
  <si>
    <t>8.2.1</t>
  </si>
  <si>
    <t>8.2.2</t>
  </si>
  <si>
    <t>8.2.3</t>
  </si>
  <si>
    <t>TI.02 feature wall tiling to wet area - 300mm x 600mm Stage Grey Matt Porcelain Tiles (National Tiles or similar) - Pressed Edge and patching to existing walls</t>
  </si>
  <si>
    <t>8.2.4</t>
  </si>
  <si>
    <t>8.2.5</t>
  </si>
  <si>
    <t>8.2.6</t>
  </si>
  <si>
    <t>8.2.7</t>
  </si>
  <si>
    <t>8.3</t>
  </si>
  <si>
    <t>8.3.1</t>
  </si>
  <si>
    <t>8.3.2</t>
  </si>
  <si>
    <t>8.3.3</t>
  </si>
  <si>
    <t>8.3.4</t>
  </si>
  <si>
    <t>8.4</t>
  </si>
  <si>
    <t>8.4.1</t>
  </si>
  <si>
    <t>8.5</t>
  </si>
  <si>
    <t>8.5.1</t>
  </si>
  <si>
    <t>8.5.2</t>
  </si>
  <si>
    <t>8.5.3</t>
  </si>
  <si>
    <t>8.6</t>
  </si>
  <si>
    <t>8.6.1</t>
  </si>
  <si>
    <t>8.6.2</t>
  </si>
  <si>
    <t>8.6.3</t>
  </si>
  <si>
    <t>8.6.4</t>
  </si>
  <si>
    <t>8.6.5</t>
  </si>
  <si>
    <t>8.6.6</t>
  </si>
  <si>
    <t>FT-16 - Issy cloud double mirror with shaving cabinet</t>
  </si>
  <si>
    <t>8.6.7</t>
  </si>
  <si>
    <t>8.6.8</t>
  </si>
  <si>
    <t>8.6.9</t>
  </si>
  <si>
    <t>8.6.10</t>
  </si>
  <si>
    <t>SAN-08 - Posh Domaine vanity</t>
  </si>
  <si>
    <t>8.6.11</t>
  </si>
  <si>
    <t>8.7</t>
  </si>
  <si>
    <t>8.7.1</t>
  </si>
  <si>
    <t>8.7.2</t>
  </si>
  <si>
    <t>8.7.3</t>
  </si>
  <si>
    <t>8.7.4</t>
  </si>
  <si>
    <t>8.7.5</t>
  </si>
  <si>
    <t>8.7.6</t>
  </si>
  <si>
    <t>8.7.7</t>
  </si>
  <si>
    <t>8.7.8</t>
  </si>
  <si>
    <t>8.7.9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</si>
  <si>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</si>
  <si>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</si>
  <si>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</si>
  <si>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</si>
  <si>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</si>
  <si>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</si>
  <si>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</si>
  <si>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</si>
  <si>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</si>
  <si>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</si>
  <si>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</si>
  <si>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</si>
  <si>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</si>
  <si>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</si>
  <si>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</si>
  <si>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</si>
  <si>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</si>
  <si>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</si>
  <si>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</si>
  <si>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</si>
  <si>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</si>
  <si>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</si>
  <si>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</si>
  <si>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</si>
  <si>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8.8</t>
  </si>
  <si>
    <t>8.8.1</t>
  </si>
  <si>
    <t>8.8.2</t>
  </si>
  <si>
    <t>8.8.3</t>
  </si>
  <si>
    <t>8.9</t>
  </si>
  <si>
    <t>8.9.1</t>
  </si>
  <si>
    <t>8.10</t>
  </si>
  <si>
    <t>8.10.1</t>
  </si>
  <si>
    <t>8.11</t>
  </si>
  <si>
    <t>8.11.1</t>
  </si>
  <si>
    <t>TOTAL H13, H16, H35</t>
  </si>
  <si>
    <t>9</t>
  </si>
  <si>
    <t>H18, H23, H31</t>
  </si>
  <si>
    <t>9.1</t>
  </si>
  <si>
    <t>9.1.1</t>
  </si>
  <si>
    <t>9.1.2</t>
  </si>
  <si>
    <t>9.1.3</t>
  </si>
  <si>
    <t>9.1.4</t>
  </si>
  <si>
    <t>9.1.5</t>
  </si>
  <si>
    <t>9.1.6</t>
  </si>
  <si>
    <t>9.1.7</t>
  </si>
  <si>
    <t>9.1.8</t>
  </si>
  <si>
    <t>9.1.9</t>
  </si>
  <si>
    <t>9.1.10</t>
  </si>
  <si>
    <t>9.1.11</t>
  </si>
  <si>
    <t>9.1.12</t>
  </si>
  <si>
    <t>9.1.13</t>
  </si>
  <si>
    <t>9.1.14</t>
  </si>
  <si>
    <t>9.1.15</t>
  </si>
  <si>
    <t>9.1.16</t>
  </si>
  <si>
    <t>9.1.17</t>
  </si>
  <si>
    <t>9.1.18</t>
  </si>
  <si>
    <t>9.1.19</t>
  </si>
  <si>
    <t>9.1.20</t>
  </si>
  <si>
    <t>9.1.21</t>
  </si>
  <si>
    <t>9.2</t>
  </si>
  <si>
    <t>9.2.1</t>
  </si>
  <si>
    <t>9.2.2</t>
  </si>
  <si>
    <t>9.2.3</t>
  </si>
  <si>
    <t>9.2.4</t>
  </si>
  <si>
    <t>9.2.5</t>
  </si>
  <si>
    <t>9.2.6</t>
  </si>
  <si>
    <t>Allowance for new 100mm high laminated skirting, and paint in PA.02 (Dulux Wash&amp;Wear;+Plus Kitchen &amp; Bathroom, Whisper White, SW1C2)</t>
  </si>
  <si>
    <t>9.2.7</t>
  </si>
  <si>
    <t>Allowance for painting all doors 2-sides in PA.02 (Dulux Wash&amp;Wear;+Plus Kitchen &amp; Bathroom, Whisper White, SW1C2)</t>
  </si>
  <si>
    <t>9.3</t>
  </si>
  <si>
    <t>9.3.1</t>
  </si>
  <si>
    <t>9.3.2</t>
  </si>
  <si>
    <t>9.3.3</t>
  </si>
  <si>
    <t>9.3.4</t>
  </si>
  <si>
    <t>9.4</t>
  </si>
  <si>
    <t>9.4.1</t>
  </si>
  <si>
    <t>9.5</t>
  </si>
  <si>
    <t>9.5.1</t>
  </si>
  <si>
    <t>9.5.2</t>
  </si>
  <si>
    <t>9.5.3</t>
  </si>
  <si>
    <t>9.6</t>
  </si>
  <si>
    <t>9.6.1</t>
  </si>
  <si>
    <t>JO3a/b – comprising 880mm high under-bench cupboards and drawer units, 800mm high overhead cupboards, tall pantry units and complete with 20mm stone benchtop including waterfall edge and tiled splashback.</t>
  </si>
  <si>
    <t>9.6.2</t>
  </si>
  <si>
    <t>JO4a/b - comprising 880mm high under-bench cupboards and drawers, full-height broom cupboard, 20mm stone benchtop, tiled splashback and open shelf, and overhead cupboard above washer/dryer.</t>
  </si>
  <si>
    <t>9.6.3</t>
  </si>
  <si>
    <t>9.6.4</t>
  </si>
  <si>
    <t>9.6.5</t>
  </si>
  <si>
    <t>9.6.6</t>
  </si>
  <si>
    <t>JO8a/b – comprising open walk-in linen storage with adjustable shelving to full height in compact laminate to all surfaces</t>
  </si>
  <si>
    <t>9.6.7</t>
  </si>
  <si>
    <t>9.6.8</t>
  </si>
  <si>
    <t>9.6.9</t>
  </si>
  <si>
    <t>9.6.10</t>
  </si>
  <si>
    <t>9.6.11</t>
  </si>
  <si>
    <t>9.6.12</t>
  </si>
  <si>
    <t>9.7</t>
  </si>
  <si>
    <t>9.7.1</t>
  </si>
  <si>
    <t>9.7.2</t>
  </si>
  <si>
    <t>9.7.3</t>
  </si>
  <si>
    <t>9.7.4</t>
  </si>
  <si>
    <t>FT-21 - full height pull out unit</t>
  </si>
  <si>
    <t>9.7.5</t>
  </si>
  <si>
    <t>FT-23 - 7 compartment cutlery tray</t>
  </si>
  <si>
    <t>9.7.6</t>
  </si>
  <si>
    <t>9.7.7</t>
  </si>
  <si>
    <t>9.7.8</t>
  </si>
  <si>
    <t>9.7.9</t>
  </si>
  <si>
    <t>9.7.10</t>
  </si>
  <si>
    <t>9.7.11</t>
  </si>
  <si>
    <t>9.7.12</t>
  </si>
  <si>
    <t>9.7.13</t>
  </si>
  <si>
    <t>9.7.14</t>
  </si>
  <si>
    <t>9.7.15</t>
  </si>
  <si>
    <t>9.7.16</t>
  </si>
  <si>
    <t>9.7.17</t>
  </si>
  <si>
    <t>9.7.18</t>
  </si>
  <si>
    <t>9.7.19</t>
  </si>
  <si>
    <t>9.7.20</t>
  </si>
  <si>
    <t>9.7.21</t>
  </si>
  <si>
    <t>9.7.22</t>
  </si>
  <si>
    <t>9.7.23</t>
  </si>
  <si>
    <t>9.7.24</t>
  </si>
  <si>
    <t>9.7.25</t>
  </si>
  <si>
    <t>9.7.26</t>
  </si>
  <si>
    <t>9.7.27</t>
  </si>
  <si>
    <t>9.8</t>
  </si>
  <si>
    <t>9.8.1</t>
  </si>
  <si>
    <t>9.8.2</t>
  </si>
  <si>
    <t>9.8.3</t>
  </si>
  <si>
    <t>9.9</t>
  </si>
  <si>
    <t>9.9.1</t>
  </si>
  <si>
    <t>9.10</t>
  </si>
  <si>
    <t>9.10.1</t>
  </si>
  <si>
    <t>9.11</t>
  </si>
  <si>
    <t>9.11.1</t>
  </si>
  <si>
    <t>TOTAL H18, H23, H31</t>
  </si>
  <si>
    <t>10</t>
  </si>
  <si>
    <t>H19, H30</t>
  </si>
  <si>
    <t>10.1</t>
  </si>
  <si>
    <t>As insufficient information provided, T&amp;T made the following assumptions to prepare this estimate</t>
  </si>
  <si>
    <t>10.1.1</t>
  </si>
  <si>
    <t>10.1.2</t>
  </si>
  <si>
    <t>10.1.3</t>
  </si>
  <si>
    <t>10.1.4</t>
  </si>
  <si>
    <t>10.1.5</t>
  </si>
  <si>
    <t>10.1.6</t>
  </si>
  <si>
    <t>10.1.7</t>
  </si>
  <si>
    <t>10.1.8</t>
  </si>
  <si>
    <t>10.1.9</t>
  </si>
  <si>
    <t>10.1.10</t>
  </si>
  <si>
    <t>10.1.11</t>
  </si>
  <si>
    <t>10.1.12</t>
  </si>
  <si>
    <t>10.1.13</t>
  </si>
  <si>
    <t>10.1.14</t>
  </si>
  <si>
    <t>10.1.15</t>
  </si>
  <si>
    <t>10.1.16</t>
  </si>
  <si>
    <t>10.1.17</t>
  </si>
  <si>
    <t>10.1.18</t>
  </si>
  <si>
    <t>10.1.19</t>
  </si>
  <si>
    <t>10.1.20</t>
  </si>
  <si>
    <t>10.1.21</t>
  </si>
  <si>
    <t>10.2</t>
  </si>
  <si>
    <t>10.2.1</t>
  </si>
  <si>
    <t>10.2.2</t>
  </si>
  <si>
    <t>10.2.3</t>
  </si>
  <si>
    <t>10.2.4</t>
  </si>
  <si>
    <t>10.2.5</t>
  </si>
  <si>
    <t>10.2.6</t>
  </si>
  <si>
    <t>10.2.7</t>
  </si>
  <si>
    <t>10.3</t>
  </si>
  <si>
    <t>10.3.1</t>
  </si>
  <si>
    <t>10.3.2</t>
  </si>
  <si>
    <t>10.3.3</t>
  </si>
  <si>
    <t>10.3.4</t>
  </si>
  <si>
    <t>10.4</t>
  </si>
  <si>
    <t>10.4.1</t>
  </si>
  <si>
    <t>10.5</t>
  </si>
  <si>
    <t>10.5.1</t>
  </si>
  <si>
    <t>10.5.2</t>
  </si>
  <si>
    <t>10.5.3</t>
  </si>
  <si>
    <t>10.6</t>
  </si>
  <si>
    <t>10.6.1</t>
  </si>
  <si>
    <t>10.6.2</t>
  </si>
  <si>
    <t>10.6.3</t>
  </si>
  <si>
    <t>10.6.4</t>
  </si>
  <si>
    <t>10.6.5</t>
  </si>
  <si>
    <t>10.6.6</t>
  </si>
  <si>
    <t>10.6.7</t>
  </si>
  <si>
    <t>10.6.8</t>
  </si>
  <si>
    <t>10.6.9</t>
  </si>
  <si>
    <t>10.6.10</t>
  </si>
  <si>
    <t>10.6.11</t>
  </si>
  <si>
    <t>10.6.12</t>
  </si>
  <si>
    <t>10.7</t>
  </si>
  <si>
    <t>10.7.1</t>
  </si>
  <si>
    <t>10.7.2</t>
  </si>
  <si>
    <t>10.7.3</t>
  </si>
  <si>
    <t>10.7.4</t>
  </si>
  <si>
    <t>10.7.5</t>
  </si>
  <si>
    <t>10.7.6</t>
  </si>
  <si>
    <t>10.7.7</t>
  </si>
  <si>
    <t>10.7.8</t>
  </si>
  <si>
    <t>10.7.9</t>
  </si>
  <si>
    <t>10.7.10</t>
  </si>
  <si>
    <t>10.7.11</t>
  </si>
  <si>
    <t>10.7.12</t>
  </si>
  <si>
    <t>10.7.13</t>
  </si>
  <si>
    <t>10.7.14</t>
  </si>
  <si>
    <t>10.7.15</t>
  </si>
  <si>
    <t>10.7.16</t>
  </si>
  <si>
    <t>10.7.17</t>
  </si>
  <si>
    <t>10.7.18</t>
  </si>
  <si>
    <t>10.7.19</t>
  </si>
  <si>
    <t>10.7.20</t>
  </si>
  <si>
    <t>10.7.21</t>
  </si>
  <si>
    <t>10.7.22</t>
  </si>
  <si>
    <t>10.7.23</t>
  </si>
  <si>
    <t>10.7.24</t>
  </si>
  <si>
    <t>10.7.25</t>
  </si>
  <si>
    <t>10.7.26</t>
  </si>
  <si>
    <t>10.7.27</t>
  </si>
  <si>
    <t>10.8</t>
  </si>
  <si>
    <t>10.8.1</t>
  </si>
  <si>
    <t>10.8.2</t>
  </si>
  <si>
    <t>10.8.3</t>
  </si>
  <si>
    <t>10.9</t>
  </si>
  <si>
    <t>10.9.1</t>
  </si>
  <si>
    <t>10.10</t>
  </si>
  <si>
    <t>10.10.1</t>
  </si>
  <si>
    <t>10.11</t>
  </si>
  <si>
    <t>10.11.1</t>
  </si>
  <si>
    <t>TOTAL H19, H30</t>
  </si>
  <si>
    <t>11</t>
  </si>
  <si>
    <t>H20, H27</t>
  </si>
  <si>
    <t>11.1</t>
  </si>
  <si>
    <t>11.1.1</t>
  </si>
  <si>
    <t>11.1.2</t>
  </si>
  <si>
    <t>11.1.3</t>
  </si>
  <si>
    <t>11.1.4</t>
  </si>
  <si>
    <t>11.1.5</t>
  </si>
  <si>
    <t>11.1.6</t>
  </si>
  <si>
    <t>11.1.7</t>
  </si>
  <si>
    <t>11.1.8</t>
  </si>
  <si>
    <t>11.1.9</t>
  </si>
  <si>
    <t>11.1.10</t>
  </si>
  <si>
    <t>11.1.11</t>
  </si>
  <si>
    <t>11.1.12</t>
  </si>
  <si>
    <t>11.1.13</t>
  </si>
  <si>
    <t>11.1.14</t>
  </si>
  <si>
    <t>11.1.15</t>
  </si>
  <si>
    <t>11.1.16</t>
  </si>
  <si>
    <t>11.1.17</t>
  </si>
  <si>
    <t>11.1.18</t>
  </si>
  <si>
    <t>11.1.19</t>
  </si>
  <si>
    <t>11.1.20</t>
  </si>
  <si>
    <t>11.1.21</t>
  </si>
  <si>
    <t>11.2</t>
  </si>
  <si>
    <t>11.2.1</t>
  </si>
  <si>
    <t>11.2.2</t>
  </si>
  <si>
    <t>11.2.3</t>
  </si>
  <si>
    <t>11.2.4</t>
  </si>
  <si>
    <t>11.2.5</t>
  </si>
  <si>
    <t>11.2.6</t>
  </si>
  <si>
    <t>11.2.7</t>
  </si>
  <si>
    <t>11.3</t>
  </si>
  <si>
    <t>11.3.1</t>
  </si>
  <si>
    <t>11.3.2</t>
  </si>
  <si>
    <t>11.3.3</t>
  </si>
  <si>
    <t>11.3.4</t>
  </si>
  <si>
    <t>11.4</t>
  </si>
  <si>
    <t>11.4.1</t>
  </si>
  <si>
    <t>11.5</t>
  </si>
  <si>
    <t>11.5.1</t>
  </si>
  <si>
    <t>11.5.2</t>
  </si>
  <si>
    <t>11.5.3</t>
  </si>
  <si>
    <t>11.6</t>
  </si>
  <si>
    <t>11.6.1</t>
  </si>
  <si>
    <t>11.6.2</t>
  </si>
  <si>
    <t>11.6.3</t>
  </si>
  <si>
    <t>11.6.4</t>
  </si>
  <si>
    <t>11.6.5</t>
  </si>
  <si>
    <t>11.6.6</t>
  </si>
  <si>
    <t>11.6.7</t>
  </si>
  <si>
    <t>11.6.8</t>
  </si>
  <si>
    <t>11.6.9</t>
  </si>
  <si>
    <t>11.6.10</t>
  </si>
  <si>
    <t>11.6.11</t>
  </si>
  <si>
    <t>11.6.12</t>
  </si>
  <si>
    <t>11.7</t>
  </si>
  <si>
    <t>11.7.1</t>
  </si>
  <si>
    <t>11.7.2</t>
  </si>
  <si>
    <t>11.7.3</t>
  </si>
  <si>
    <t>11.7.4</t>
  </si>
  <si>
    <t>11.7.5</t>
  </si>
  <si>
    <t>11.7.6</t>
  </si>
  <si>
    <t>11.7.7</t>
  </si>
  <si>
    <t>11.7.8</t>
  </si>
  <si>
    <t>11.7.9</t>
  </si>
  <si>
    <t>11.7.10</t>
  </si>
  <si>
    <t>11.7.11</t>
  </si>
  <si>
    <t>11.7.12</t>
  </si>
  <si>
    <t>11.7.13</t>
  </si>
  <si>
    <t>11.7.14</t>
  </si>
  <si>
    <t>11.7.15</t>
  </si>
  <si>
    <t>11.7.16</t>
  </si>
  <si>
    <t>11.7.17</t>
  </si>
  <si>
    <t>11.7.18</t>
  </si>
  <si>
    <t>11.7.19</t>
  </si>
  <si>
    <t>11.7.20</t>
  </si>
  <si>
    <t>11.7.21</t>
  </si>
  <si>
    <t>11.7.22</t>
  </si>
  <si>
    <t>11.7.23</t>
  </si>
  <si>
    <t>11.7.24</t>
  </si>
  <si>
    <t>11.7.25</t>
  </si>
  <si>
    <t>11.7.26</t>
  </si>
  <si>
    <t>11.7.27</t>
  </si>
  <si>
    <t>11.8</t>
  </si>
  <si>
    <t>11.8.1</t>
  </si>
  <si>
    <t>11.8.2</t>
  </si>
  <si>
    <t>11.8.3</t>
  </si>
  <si>
    <t>11.9</t>
  </si>
  <si>
    <t>11.9.1</t>
  </si>
  <si>
    <t>11.10</t>
  </si>
  <si>
    <t>11.10.1</t>
  </si>
  <si>
    <t>11.11</t>
  </si>
  <si>
    <t>11.11.1</t>
  </si>
  <si>
    <t>TOTAL H20, H27</t>
  </si>
  <si>
    <t>12</t>
  </si>
  <si>
    <t>H21, H34, H26</t>
  </si>
  <si>
    <t>12.1</t>
  </si>
  <si>
    <t>12.1.1</t>
  </si>
  <si>
    <t>12.1.2</t>
  </si>
  <si>
    <t>12.1.3</t>
  </si>
  <si>
    <t>12.1.4</t>
  </si>
  <si>
    <t>12.1.5</t>
  </si>
  <si>
    <t>12.1.6</t>
  </si>
  <si>
    <t>12.1.7</t>
  </si>
  <si>
    <t>12.1.8</t>
  </si>
  <si>
    <t>12.1.9</t>
  </si>
  <si>
    <t>12.1.10</t>
  </si>
  <si>
    <t>12.1.11</t>
  </si>
  <si>
    <t>12.1.12</t>
  </si>
  <si>
    <t>12.1.13</t>
  </si>
  <si>
    <t>12.1.14</t>
  </si>
  <si>
    <t>12.1.15</t>
  </si>
  <si>
    <t>12.1.16</t>
  </si>
  <si>
    <t>12.1.17</t>
  </si>
  <si>
    <t>12.1.18</t>
  </si>
  <si>
    <t>12.1.19</t>
  </si>
  <si>
    <t>12.1.20</t>
  </si>
  <si>
    <t>12.1.21</t>
  </si>
  <si>
    <t>12.2</t>
  </si>
  <si>
    <t>12.2.1</t>
  </si>
  <si>
    <t>12.2.2</t>
  </si>
  <si>
    <t>12.2.3</t>
  </si>
  <si>
    <t>12.2.4</t>
  </si>
  <si>
    <t>12.2.5</t>
  </si>
  <si>
    <t>12.2.6</t>
  </si>
  <si>
    <t>12.2.7</t>
  </si>
  <si>
    <t>12.3</t>
  </si>
  <si>
    <t>12.3.1</t>
  </si>
  <si>
    <t>12.3.2</t>
  </si>
  <si>
    <t>12.3.3</t>
  </si>
  <si>
    <t>12.3.4</t>
  </si>
  <si>
    <t>12.4</t>
  </si>
  <si>
    <t>12.4.1</t>
  </si>
  <si>
    <t>12.5</t>
  </si>
  <si>
    <t>12.5.1</t>
  </si>
  <si>
    <t>12.5.2</t>
  </si>
  <si>
    <t>12.5.3</t>
  </si>
  <si>
    <t>12.6</t>
  </si>
  <si>
    <t>12.6.1</t>
  </si>
  <si>
    <t>12.6.2</t>
  </si>
  <si>
    <t>12.6.3</t>
  </si>
  <si>
    <t>12.6.4</t>
  </si>
  <si>
    <t>12.6.5</t>
  </si>
  <si>
    <t>12.6.6</t>
  </si>
  <si>
    <t>12.6.7</t>
  </si>
  <si>
    <t>12.6.8</t>
  </si>
  <si>
    <t>12.6.9</t>
  </si>
  <si>
    <t>12.6.10</t>
  </si>
  <si>
    <t>12.6.11</t>
  </si>
  <si>
    <t>12.6.12</t>
  </si>
  <si>
    <t>12.7</t>
  </si>
  <si>
    <t>12.7.1</t>
  </si>
  <si>
    <t>12.7.2</t>
  </si>
  <si>
    <t>12.7.3</t>
  </si>
  <si>
    <t>12.7.4</t>
  </si>
  <si>
    <t>12.7.5</t>
  </si>
  <si>
    <t>12.7.6</t>
  </si>
  <si>
    <t>12.7.7</t>
  </si>
  <si>
    <t>12.7.8</t>
  </si>
  <si>
    <t>12.7.9</t>
  </si>
  <si>
    <t>12.7.10</t>
  </si>
  <si>
    <t>12.7.11</t>
  </si>
  <si>
    <t>12.7.12</t>
  </si>
  <si>
    <t>12.7.13</t>
  </si>
  <si>
    <t>12.7.14</t>
  </si>
  <si>
    <t>12.7.15</t>
  </si>
  <si>
    <t>12.7.16</t>
  </si>
  <si>
    <t>12.7.17</t>
  </si>
  <si>
    <t>12.7.18</t>
  </si>
  <si>
    <t>12.7.19</t>
  </si>
  <si>
    <t>12.7.20</t>
  </si>
  <si>
    <t>12.7.21</t>
  </si>
  <si>
    <t>12.7.22</t>
  </si>
  <si>
    <t>12.7.23</t>
  </si>
  <si>
    <t>12.7.24</t>
  </si>
  <si>
    <t>12.7.25</t>
  </si>
  <si>
    <t>12.7.26</t>
  </si>
  <si>
    <t>12.7.27</t>
  </si>
  <si>
    <t>12.8</t>
  </si>
  <si>
    <t>12.8.1</t>
  </si>
  <si>
    <t>12.8.2</t>
  </si>
  <si>
    <t>12.8.3</t>
  </si>
  <si>
    <t>12.9</t>
  </si>
  <si>
    <t>12.9.1</t>
  </si>
  <si>
    <t>12.10</t>
  </si>
  <si>
    <t>12.10.1</t>
  </si>
  <si>
    <t>12.11</t>
  </si>
  <si>
    <t>12.11.1</t>
  </si>
  <si>
    <t>TOTAL H21, H34, H26</t>
  </si>
  <si>
    <t>13</t>
  </si>
  <si>
    <t>H22, H33</t>
  </si>
  <si>
    <t>13.1</t>
  </si>
  <si>
    <t>13.1.1</t>
  </si>
  <si>
    <t>13.1.2</t>
  </si>
  <si>
    <t>13.1.3</t>
  </si>
  <si>
    <t>13.1.4</t>
  </si>
  <si>
    <t>13.1.5</t>
  </si>
  <si>
    <t>13.1.6</t>
  </si>
  <si>
    <t>13.1.7</t>
  </si>
  <si>
    <t>13.1.8</t>
  </si>
  <si>
    <t>13.1.9</t>
  </si>
  <si>
    <t>13.1.10</t>
  </si>
  <si>
    <t>13.1.11</t>
  </si>
  <si>
    <t>13.1.12</t>
  </si>
  <si>
    <t>13.1.13</t>
  </si>
  <si>
    <t>13.1.14</t>
  </si>
  <si>
    <t>13.1.15</t>
  </si>
  <si>
    <t>13.1.16</t>
  </si>
  <si>
    <t>13.1.17</t>
  </si>
  <si>
    <t>13.1.18</t>
  </si>
  <si>
    <t>13.1.19</t>
  </si>
  <si>
    <t>13.1.20</t>
  </si>
  <si>
    <t>13.1.21</t>
  </si>
  <si>
    <t>13.2</t>
  </si>
  <si>
    <t>13.2.1</t>
  </si>
  <si>
    <t>13.2.2</t>
  </si>
  <si>
    <t>13.2.3</t>
  </si>
  <si>
    <t>13.2.4</t>
  </si>
  <si>
    <t>13.2.5</t>
  </si>
  <si>
    <t>13.2.6</t>
  </si>
  <si>
    <t>13.2.7</t>
  </si>
  <si>
    <t>13.3</t>
  </si>
  <si>
    <t>13.3.1</t>
  </si>
  <si>
    <t>13.3.2</t>
  </si>
  <si>
    <t>13.3.3</t>
  </si>
  <si>
    <t>13.3.4</t>
  </si>
  <si>
    <t>13.4</t>
  </si>
  <si>
    <t>13.4.1</t>
  </si>
  <si>
    <t>13.5</t>
  </si>
  <si>
    <t>13.5.1</t>
  </si>
  <si>
    <t>13.5.2</t>
  </si>
  <si>
    <t>13.5.3</t>
  </si>
  <si>
    <t>13.6</t>
  </si>
  <si>
    <t>13.6.1</t>
  </si>
  <si>
    <t>13.6.2</t>
  </si>
  <si>
    <t>13.6.3</t>
  </si>
  <si>
    <t>13.6.4</t>
  </si>
  <si>
    <t>13.6.5</t>
  </si>
  <si>
    <t>13.6.7</t>
  </si>
  <si>
    <t>13.6.8</t>
  </si>
  <si>
    <t>13.6.9</t>
  </si>
  <si>
    <t>13.6.10</t>
  </si>
  <si>
    <t>13.6.11</t>
  </si>
  <si>
    <t>13.6.12</t>
  </si>
  <si>
    <t>13.6.13</t>
  </si>
  <si>
    <t>13.7</t>
  </si>
  <si>
    <t>13.7.1</t>
  </si>
  <si>
    <t>13.7.2</t>
  </si>
  <si>
    <t>13.7.3</t>
  </si>
  <si>
    <t>13.7.4</t>
  </si>
  <si>
    <t>13.7.5</t>
  </si>
  <si>
    <t>13.7.6</t>
  </si>
  <si>
    <t>13.7.7</t>
  </si>
  <si>
    <t>13.7.8</t>
  </si>
  <si>
    <t>13.7.9</t>
  </si>
  <si>
    <t>13.7.10</t>
  </si>
  <si>
    <t>13.7.11</t>
  </si>
  <si>
    <t>13.7.12</t>
  </si>
  <si>
    <t>13.7.13</t>
  </si>
  <si>
    <t>13.7.14</t>
  </si>
  <si>
    <t>13.7.15</t>
  </si>
  <si>
    <t>13.7.16</t>
  </si>
  <si>
    <t>13.7.17</t>
  </si>
  <si>
    <t>13.7.18</t>
  </si>
  <si>
    <t>13.7.19</t>
  </si>
  <si>
    <t>13.7.20</t>
  </si>
  <si>
    <t>13.7.21</t>
  </si>
  <si>
    <t>13.7.22</t>
  </si>
  <si>
    <t>13.7.23</t>
  </si>
  <si>
    <t>13.7.24</t>
  </si>
  <si>
    <t>13.7.25</t>
  </si>
  <si>
    <t>13.7.26</t>
  </si>
  <si>
    <t>13.7.27</t>
  </si>
  <si>
    <t>13.8</t>
  </si>
  <si>
    <t>13.8.1</t>
  </si>
  <si>
    <t>13.8.2</t>
  </si>
  <si>
    <t>13.8.3</t>
  </si>
  <si>
    <t>13.9</t>
  </si>
  <si>
    <t>13.9.1</t>
  </si>
  <si>
    <t>13.10</t>
  </si>
  <si>
    <t>13.10.1</t>
  </si>
  <si>
    <t>13.11</t>
  </si>
  <si>
    <t>13.11.1</t>
  </si>
  <si>
    <t>TOTAL H22, H33</t>
  </si>
  <si>
    <t>14</t>
  </si>
  <si>
    <t>H24, H17</t>
  </si>
  <si>
    <t>14.1</t>
  </si>
  <si>
    <t>14.1.1</t>
  </si>
  <si>
    <t>14.1.2</t>
  </si>
  <si>
    <t>14.1.3</t>
  </si>
  <si>
    <t>14.1.4</t>
  </si>
  <si>
    <t>14.1.5</t>
  </si>
  <si>
    <t>14.1.6</t>
  </si>
  <si>
    <t>14.1.7</t>
  </si>
  <si>
    <t>14.1.8</t>
  </si>
  <si>
    <t>14.1.9</t>
  </si>
  <si>
    <t>14.1.10</t>
  </si>
  <si>
    <t>14.1.11</t>
  </si>
  <si>
    <t>14.1.12</t>
  </si>
  <si>
    <t>14.1.13</t>
  </si>
  <si>
    <t>14.1.14</t>
  </si>
  <si>
    <t>14.1.15</t>
  </si>
  <si>
    <t>14.1.16</t>
  </si>
  <si>
    <t>14.1.17</t>
  </si>
  <si>
    <t>14.1.18</t>
  </si>
  <si>
    <t>14.1.19</t>
  </si>
  <si>
    <t>14.1.20</t>
  </si>
  <si>
    <t>14.1.21</t>
  </si>
  <si>
    <t>14.2</t>
  </si>
  <si>
    <t>14.2.1</t>
  </si>
  <si>
    <t>14.2.2</t>
  </si>
  <si>
    <t>14.2.3</t>
  </si>
  <si>
    <t>14.2.4</t>
  </si>
  <si>
    <t>14.2.5</t>
  </si>
  <si>
    <t>14.2.6</t>
  </si>
  <si>
    <t>14.2.7</t>
  </si>
  <si>
    <t>14.3</t>
  </si>
  <si>
    <t>14.3.1</t>
  </si>
  <si>
    <t>14.3.2</t>
  </si>
  <si>
    <t>14.3.3</t>
  </si>
  <si>
    <t>14.3.4</t>
  </si>
  <si>
    <t>14.4</t>
  </si>
  <si>
    <t>14.4.1</t>
  </si>
  <si>
    <t>14.5</t>
  </si>
  <si>
    <t>14.5.1</t>
  </si>
  <si>
    <t>14.5.2</t>
  </si>
  <si>
    <t>14.5.3</t>
  </si>
  <si>
    <t>14.6</t>
  </si>
  <si>
    <t>14.6.1</t>
  </si>
  <si>
    <t>14.6.2</t>
  </si>
  <si>
    <t>14.6.3</t>
  </si>
  <si>
    <t>14.6.4</t>
  </si>
  <si>
    <t>14.6.5</t>
  </si>
  <si>
    <t>14.6.6</t>
  </si>
  <si>
    <t>14.6.7</t>
  </si>
  <si>
    <t>14.6.8</t>
  </si>
  <si>
    <t>14.6.9</t>
  </si>
  <si>
    <t>14.6.10</t>
  </si>
  <si>
    <t>14.6.11</t>
  </si>
  <si>
    <t>14.6.12</t>
  </si>
  <si>
    <t>14.7</t>
  </si>
  <si>
    <t>14.7.1</t>
  </si>
  <si>
    <t>14.7.2</t>
  </si>
  <si>
    <t>14.7.3</t>
  </si>
  <si>
    <t>14.7.4</t>
  </si>
  <si>
    <t>14.7.5</t>
  </si>
  <si>
    <t>14.7.6</t>
  </si>
  <si>
    <t>14.7.7</t>
  </si>
  <si>
    <t>14.7.8</t>
  </si>
  <si>
    <t>14.7.9</t>
  </si>
  <si>
    <t>14.7.10</t>
  </si>
  <si>
    <t>14.7.11</t>
  </si>
  <si>
    <t>14.7.12</t>
  </si>
  <si>
    <t>14.7.13</t>
  </si>
  <si>
    <t>14.7.14</t>
  </si>
  <si>
    <t>14.7.15</t>
  </si>
  <si>
    <t>14.7.16</t>
  </si>
  <si>
    <t>14.7.17</t>
  </si>
  <si>
    <t>14.7.18</t>
  </si>
  <si>
    <t>14.7.19</t>
  </si>
  <si>
    <t>14.7.20</t>
  </si>
  <si>
    <t>14.7.21</t>
  </si>
  <si>
    <t>14.7.22</t>
  </si>
  <si>
    <t>14.7.23</t>
  </si>
  <si>
    <t>14.7.24</t>
  </si>
  <si>
    <t>14.7.25</t>
  </si>
  <si>
    <t>14.7.26</t>
  </si>
  <si>
    <t>14.7.27</t>
  </si>
  <si>
    <t>14.8</t>
  </si>
  <si>
    <t>14.8.1</t>
  </si>
  <si>
    <t>14.8.2</t>
  </si>
  <si>
    <t>14.8.3</t>
  </si>
  <si>
    <t>14.9</t>
  </si>
  <si>
    <t>14.9.1</t>
  </si>
  <si>
    <t>14.10</t>
  </si>
  <si>
    <t>14.10.1</t>
  </si>
  <si>
    <t>14.11</t>
  </si>
  <si>
    <t>14.11.1</t>
  </si>
  <si>
    <t>TOTAL H24, H17</t>
  </si>
  <si>
    <t>15</t>
  </si>
  <si>
    <t>H25, H29</t>
  </si>
  <si>
    <t>15.1</t>
  </si>
  <si>
    <t>15.1.1</t>
  </si>
  <si>
    <t>15.1.2</t>
  </si>
  <si>
    <t>15.1.3</t>
  </si>
  <si>
    <t>15.1.4</t>
  </si>
  <si>
    <t>15.1.5</t>
  </si>
  <si>
    <t>15.1.6</t>
  </si>
  <si>
    <t>15.1.7</t>
  </si>
  <si>
    <t>15.1.8</t>
  </si>
  <si>
    <t>15.1.9</t>
  </si>
  <si>
    <t>15.1.10</t>
  </si>
  <si>
    <t>15.1.11</t>
  </si>
  <si>
    <t>15.1.12</t>
  </si>
  <si>
    <t>15.1.13</t>
  </si>
  <si>
    <t>15.1.14</t>
  </si>
  <si>
    <t>15.1.15</t>
  </si>
  <si>
    <t>15.1.16</t>
  </si>
  <si>
    <t>15.1.17</t>
  </si>
  <si>
    <t>15.1.18</t>
  </si>
  <si>
    <t>15.1.19</t>
  </si>
  <si>
    <t>15.1.20</t>
  </si>
  <si>
    <t>15.1.21</t>
  </si>
  <si>
    <t>15.2</t>
  </si>
  <si>
    <t>15.2.1</t>
  </si>
  <si>
    <t>15.2.2</t>
  </si>
  <si>
    <t>15.2.3</t>
  </si>
  <si>
    <t>15.2.4</t>
  </si>
  <si>
    <t>15.2.5</t>
  </si>
  <si>
    <t>15.2.6</t>
  </si>
  <si>
    <t>15.2.7</t>
  </si>
  <si>
    <t>15.3</t>
  </si>
  <si>
    <t>15.3.1</t>
  </si>
  <si>
    <t>15.3.2</t>
  </si>
  <si>
    <t>15.3.3</t>
  </si>
  <si>
    <t>15.3.4</t>
  </si>
  <si>
    <t>15.4</t>
  </si>
  <si>
    <t>15.4.1</t>
  </si>
  <si>
    <t>15.5</t>
  </si>
  <si>
    <t>15.5.1</t>
  </si>
  <si>
    <t>15.5.2</t>
  </si>
  <si>
    <t>15.5.3</t>
  </si>
  <si>
    <t>15.6</t>
  </si>
  <si>
    <t>15.6.1</t>
  </si>
  <si>
    <t>15.6.2</t>
  </si>
  <si>
    <t>15.6.3</t>
  </si>
  <si>
    <t>15.6.4</t>
  </si>
  <si>
    <t>15.6.5</t>
  </si>
  <si>
    <t>15.6.6</t>
  </si>
  <si>
    <t>15.6.7</t>
  </si>
  <si>
    <t>15.6.8</t>
  </si>
  <si>
    <t>15.6.9</t>
  </si>
  <si>
    <t>15.6.10</t>
  </si>
  <si>
    <t>15.6.11</t>
  </si>
  <si>
    <t>15.6.12</t>
  </si>
  <si>
    <t>15.7</t>
  </si>
  <si>
    <t>15.7.1</t>
  </si>
  <si>
    <t>15.7.2</t>
  </si>
  <si>
    <t>15.7.3</t>
  </si>
  <si>
    <t>15.7.4</t>
  </si>
  <si>
    <t>15.7.5</t>
  </si>
  <si>
    <t>15.7.6</t>
  </si>
  <si>
    <t>15.7.7</t>
  </si>
  <si>
    <t>15.7.8</t>
  </si>
  <si>
    <t>15.7.9</t>
  </si>
  <si>
    <t>15.7.10</t>
  </si>
  <si>
    <t>15.7.11</t>
  </si>
  <si>
    <t>15.7.12</t>
  </si>
  <si>
    <t>15.7.13</t>
  </si>
  <si>
    <t>15.7.14</t>
  </si>
  <si>
    <t>15.7.15</t>
  </si>
  <si>
    <t>15.7.16</t>
  </si>
  <si>
    <t>15.7.17</t>
  </si>
  <si>
    <t>15.7.18</t>
  </si>
  <si>
    <t>15.7.19</t>
  </si>
  <si>
    <t>15.7.20</t>
  </si>
  <si>
    <t>15.7.21</t>
  </si>
  <si>
    <t>15.7.22</t>
  </si>
  <si>
    <t>15.7.23</t>
  </si>
  <si>
    <t>15.7.24</t>
  </si>
  <si>
    <t>15.7.25</t>
  </si>
  <si>
    <t>15.7.26</t>
  </si>
  <si>
    <t>15.7.27</t>
  </si>
  <si>
    <t>15.8</t>
  </si>
  <si>
    <t>15.8.1</t>
  </si>
  <si>
    <t>15.8.2</t>
  </si>
  <si>
    <t>15.8.3</t>
  </si>
  <si>
    <t>15.9</t>
  </si>
  <si>
    <t>15.9.1</t>
  </si>
  <si>
    <t>15.10</t>
  </si>
  <si>
    <t>15.10.1</t>
  </si>
  <si>
    <t>15.11</t>
  </si>
  <si>
    <t>15.11.1</t>
  </si>
  <si>
    <t>TOTAL H25, H29</t>
  </si>
  <si>
    <t>16</t>
  </si>
  <si>
    <t>H28, H32</t>
  </si>
  <si>
    <t>16.1</t>
  </si>
  <si>
    <t>16.1.1</t>
  </si>
  <si>
    <t>16.1.2</t>
  </si>
  <si>
    <t>16.1.3</t>
  </si>
  <si>
    <t>16.1.4</t>
  </si>
  <si>
    <t>16.1.5</t>
  </si>
  <si>
    <t>16.1.6</t>
  </si>
  <si>
    <t>16.1.7</t>
  </si>
  <si>
    <t>16.1.8</t>
  </si>
  <si>
    <t>16.1.9</t>
  </si>
  <si>
    <t>16.1.10</t>
  </si>
  <si>
    <t>16.1.11</t>
  </si>
  <si>
    <t>16.1.12</t>
  </si>
  <si>
    <t>16.1.13</t>
  </si>
  <si>
    <t>16.1.14</t>
  </si>
  <si>
    <t>16.1.15</t>
  </si>
  <si>
    <t>16.1.16</t>
  </si>
  <si>
    <t>16.1.17</t>
  </si>
  <si>
    <t>16.1.18</t>
  </si>
  <si>
    <t>16.1.19</t>
  </si>
  <si>
    <t>16.1.20</t>
  </si>
  <si>
    <t>16.1.21</t>
  </si>
  <si>
    <t>16.2</t>
  </si>
  <si>
    <t>16.2.1</t>
  </si>
  <si>
    <t>16.2.2</t>
  </si>
  <si>
    <t>16.2.3</t>
  </si>
  <si>
    <t>16.2.4</t>
  </si>
  <si>
    <t>16.2.5</t>
  </si>
  <si>
    <t>16.2.6</t>
  </si>
  <si>
    <t>16.2.7</t>
  </si>
  <si>
    <t>16.3</t>
  </si>
  <si>
    <t>16.3.1</t>
  </si>
  <si>
    <t>16.3.2</t>
  </si>
  <si>
    <t>16.3.3</t>
  </si>
  <si>
    <t>16.3.4</t>
  </si>
  <si>
    <t>16.4</t>
  </si>
  <si>
    <t>16.4.1</t>
  </si>
  <si>
    <t>16.5</t>
  </si>
  <si>
    <t>16.5.1</t>
  </si>
  <si>
    <t>16.5.2</t>
  </si>
  <si>
    <t>16.5.3</t>
  </si>
  <si>
    <t>16.6</t>
  </si>
  <si>
    <t>16.6.1</t>
  </si>
  <si>
    <t>16.6.2</t>
  </si>
  <si>
    <t>16.6.3</t>
  </si>
  <si>
    <t>16.6.4</t>
  </si>
  <si>
    <t>16.6.5</t>
  </si>
  <si>
    <t>16.6.6</t>
  </si>
  <si>
    <t>16.6.7</t>
  </si>
  <si>
    <t>16.6.8</t>
  </si>
  <si>
    <t>16.6.9</t>
  </si>
  <si>
    <t>16.6.10</t>
  </si>
  <si>
    <t>16.6.11</t>
  </si>
  <si>
    <t>16.6.12</t>
  </si>
  <si>
    <t>16.7</t>
  </si>
  <si>
    <t>16.7.1</t>
  </si>
  <si>
    <t>16.7.2</t>
  </si>
  <si>
    <t>16.7.3</t>
  </si>
  <si>
    <t>16.7.4</t>
  </si>
  <si>
    <t>16.7.5</t>
  </si>
  <si>
    <t>16.7.6</t>
  </si>
  <si>
    <t>16.7.7</t>
  </si>
  <si>
    <t>16.7.8</t>
  </si>
  <si>
    <t>16.7.9</t>
  </si>
  <si>
    <t>16.7.10</t>
  </si>
  <si>
    <t>16.7.11</t>
  </si>
  <si>
    <t>16.7.12</t>
  </si>
  <si>
    <t>16.7.13</t>
  </si>
  <si>
    <t>16.7.14</t>
  </si>
  <si>
    <t>16.7.15</t>
  </si>
  <si>
    <t>16.7.16</t>
  </si>
  <si>
    <t>16.7.17</t>
  </si>
  <si>
    <t>16.7.18</t>
  </si>
  <si>
    <t>16.7.19</t>
  </si>
  <si>
    <t>16.7.20</t>
  </si>
  <si>
    <t>16.7.21</t>
  </si>
  <si>
    <t>16.7.22</t>
  </si>
  <si>
    <t>16.7.23</t>
  </si>
  <si>
    <t>16.7.24</t>
  </si>
  <si>
    <t>16.7.25</t>
  </si>
  <si>
    <t>16.7.26</t>
  </si>
  <si>
    <t>16.7.27</t>
  </si>
  <si>
    <t>16.8</t>
  </si>
  <si>
    <t>16.8.1</t>
  </si>
  <si>
    <t>16.8.2</t>
  </si>
  <si>
    <t>16.8.3</t>
  </si>
  <si>
    <t>16.9</t>
  </si>
  <si>
    <t>16.9.1</t>
  </si>
  <si>
    <t>16.10</t>
  </si>
  <si>
    <t>16.10.1</t>
  </si>
  <si>
    <t>16.11</t>
  </si>
  <si>
    <t>16.11.1</t>
  </si>
  <si>
    <t>TOTAL H28, H32</t>
  </si>
  <si>
    <t>DFAT PNG Housing - H1, H2, H7, H8 - PTE</t>
  </si>
  <si>
    <t>DFAT PNG Housing - H3 - PTE</t>
  </si>
  <si>
    <t>DFAT PNG Housing - H4, H 14, H15, H36, H38, H39 PTE</t>
  </si>
  <si>
    <t>DFAT PNG Housing - H5 - PTE</t>
  </si>
  <si>
    <t>DFAT PNG Housing - H6 - PTE</t>
  </si>
  <si>
    <t>DFAT PNG Housing - H9, H11 - PTE</t>
  </si>
  <si>
    <t>DFAT PNG Housing - H10, H12 - PTE</t>
  </si>
  <si>
    <t>DFAT PNG Housing - H13, H16, H35 - PTE</t>
  </si>
  <si>
    <t>DFAT PNG Housing - H18, H23, H31 - PTE</t>
  </si>
  <si>
    <t>DFAT PNG Housing - H19, H30 - PTE</t>
  </si>
  <si>
    <t>DFAT PNG Housing - H20, H27 - PTE</t>
  </si>
  <si>
    <t>DFAT PNG Housing - H21, H34, H26 - PTE</t>
  </si>
  <si>
    <t>DFAT PNG Housing - H22, H33 - PTE</t>
  </si>
  <si>
    <t>DFAT PNG Housing - H24, H 17 - PTE</t>
  </si>
  <si>
    <t>DFAT PNG Housing - H25, H29 - PTE</t>
  </si>
  <si>
    <t>DFAT PNG Housing - H28, H32 - PTE</t>
  </si>
  <si>
    <t>Hourly Rate</t>
  </si>
  <si>
    <t>Daily Rate</t>
  </si>
  <si>
    <t>Foreman</t>
  </si>
  <si>
    <t>[AUD or PCK]</t>
  </si>
  <si>
    <t>Unskilled Labour</t>
  </si>
  <si>
    <t>Electrician</t>
  </si>
  <si>
    <t>Plumber</t>
  </si>
  <si>
    <t>Mechanical Technician</t>
  </si>
  <si>
    <t>Carpenter</t>
  </si>
  <si>
    <t>Plasterer</t>
  </si>
  <si>
    <t>Painter</t>
  </si>
  <si>
    <t>Tiler</t>
  </si>
  <si>
    <t>[insert additional rows as required]</t>
  </si>
  <si>
    <t>Day Work Rates</t>
  </si>
  <si>
    <t>Contract manager</t>
  </si>
  <si>
    <t>Project manager</t>
  </si>
  <si>
    <t>WHS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</si>
</sst>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_-[$PGK]\ * #,##0.00_-;\-[$PGK]\ * #,##0.00_-;_-[$PGK]\ * &quot;-&quot;??_-;_-@_-"/>
    <numFmt numFmtId="165" formatCode="_-* #,##0_-;\-* #,##0_-;_-* &quot;-&quot;??_-;_-@_-"/>
  </numFmts>
  <fonts count="25" x14ac:knownFonts="1">
    <font>
      <sz val="10"/>
      <name val="Arial"/>
    </font>
    <font>
      <sz val="8"/>
      <name val="Arial"/>
      <family val="2"/>
    </font>
    <font>
      <b/>
      <sz val="12"/>
      <name val="Arial"/>
      <family val="2"/>
    </font>
    <font>
      <b/>
      <sz val="8"/>
      <name val="Arial"/>
      <family val="2"/>
    </font>
    <font>
      <b/>
      <u/>
      <sz val="8"/>
      <name val="Arial"/>
      <family val="2"/>
    </font>
    <font>
      <sz val="10"/>
      <name val="Arial"/>
      <family val="2"/>
    </font>
    <font>
      <b/>
      <sz val="10"/>
      <name val="Arial"/>
      <family val="2"/>
    </font>
    <font>
      <sz val="9"/>
      <name val="Arial"/>
      <family val="2"/>
    </font>
    <font>
      <b/>
      <u/>
      <sz val="9"/>
      <name val="Arial"/>
      <family val="2"/>
    </font>
    <font>
      <b/>
      <sz val="9"/>
      <name val="Arial"/>
      <family val="2"/>
    </font>
    <font>
      <b/>
      <u/>
      <sz val="10"/>
      <name val="Arial"/>
      <family val="2"/>
    </font>
    <font>
      <sz val="8"/>
      <name val="Verdana"/>
      <family val="2"/>
    </font>
    <font>
      <sz val="10"/>
      <name val="Arial"/>
      <family val="2"/>
    </font>
    <font>
      <sz val="8"/>
      <name val="Arial"/>
      <family val="2"/>
    </font>
    <font>
      <sz val="10"/>
      <color theme="1" tint="0.34998626667073579"/>
      <name val="Arial"/>
      <family val="2"/>
    </font>
    <font>
      <sz val="9"/>
      <color theme="1" tint="0.34998626667073579"/>
      <name val="Arial"/>
      <family val="2"/>
    </font>
    <font>
      <b/>
      <sz val="10"/>
      <color theme="1" tint="0.34998626667073579"/>
      <name val="Arial"/>
      <family val="2"/>
    </font>
    <font>
      <sz val="10"/>
      <color theme="0"/>
      <name val="Arial"/>
      <family val="2"/>
    </font>
    <font>
      <b/>
      <u/>
      <sz val="11"/>
      <color theme="0"/>
      <name val="Arial"/>
      <family val="2"/>
    </font>
    <font>
      <b/>
      <sz val="10"/>
      <color theme="0"/>
      <name val="Arial"/>
      <family val="2"/>
    </font>
    <font>
      <sz val="11"/>
      <name val="Arial"/>
      <family val="2"/>
    </font>
    <font>
      <sz val="10"/>
      <color rgb="FFC00000"/>
      <name val="Calibri Light"/>
      <family val="2"/>
    </font>
    <font>
      <sz val="10"/>
      <color rgb="FFFF0000"/>
      <name val="Calibri Light"/>
      <family val="2"/>
    </font>
    <font>
      <b/>
      <sz val="11"/>
      <color theme="0"/>
      <name val="Arial"/>
      <family val="2"/>
    </font>
    <font>
      <b/>
      <sz val="9"/>
      <color rgb="FFFF000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4">
    <xf numFmtId="0" fontId="0" fillId="0" borderId="0"/>
    <xf numFmtId="0" fontId="5" fillId="0" borderId="0"/>
    <xf numFmtId="44" fontId="12" fillId="0" borderId="0" applyFont="0" applyFill="0" applyBorder="0" applyAlignment="0" applyProtection="0"/>
    <xf numFmtId="43" fontId="5" fillId="0" borderId="0"/>
  </cellStyleXfs>
  <cellXfs count="91">
    <xf numFmtId="0" fontId="0" fillId="0" borderId="0" xfId="0"/>
    <xf numFmtId="0" fontId="1" fillId="0" borderId="0" xfId="0" applyFont="1"/>
    <xf numFmtId="0" fontId="1" fillId="0" borderId="0" xfId="0" applyFont="1" applyAlignment="1">
      <alignment horizontal="left"/>
    </xf>
    <xf numFmtId="0" fontId="3" fillId="0" borderId="0" xfId="0" applyFont="1" applyAlignment="1">
      <alignment horizontal="left"/>
    </xf>
    <xf numFmtId="0" fontId="3" fillId="0" borderId="0" xfId="0" applyFont="1" applyAlignment="1">
      <alignment horizontal="right"/>
    </xf>
    <xf numFmtId="0" fontId="1" fillId="0" borderId="0" xfId="0" applyFont="1" applyAlignment="1">
      <alignment horizontal="left" wrapText="1"/>
    </xf>
    <xf numFmtId="0" fontId="4" fillId="0" borderId="0" xfId="0" applyFont="1" applyAlignment="1">
      <alignment horizontal="left"/>
    </xf>
    <xf numFmtId="3" fontId="1" fillId="0" borderId="0" xfId="0" applyNumberFormat="1" applyFont="1" applyAlignment="1">
      <alignment horizontal="right"/>
    </xf>
    <xf numFmtId="4" fontId="1" fillId="0" borderId="0" xfId="0" applyNumberFormat="1" applyFont="1" applyAlignment="1">
      <alignment horizontal="right"/>
    </xf>
    <xf numFmtId="3" fontId="3" fillId="0" borderId="0" xfId="0" applyNumberFormat="1" applyFont="1" applyAlignment="1">
      <alignment horizontal="right"/>
    </xf>
    <xf numFmtId="0" fontId="5" fillId="0" borderId="0" xfId="1"/>
    <xf numFmtId="3" fontId="6" fillId="0" borderId="0" xfId="1" applyNumberFormat="1" applyFont="1" applyAlignment="1">
      <alignment horizontal="right"/>
    </xf>
    <xf numFmtId="3" fontId="5" fillId="0" borderId="0" xfId="1" applyNumberFormat="1" applyAlignment="1">
      <alignment horizontal="right"/>
    </xf>
    <xf numFmtId="3" fontId="8" fillId="0" borderId="0" xfId="1" applyNumberFormat="1" applyFont="1" applyAlignment="1">
      <alignment horizontal="left" vertical="center"/>
    </xf>
    <xf numFmtId="3" fontId="7" fillId="0" borderId="0" xfId="1" applyNumberFormat="1" applyFont="1" applyAlignment="1">
      <alignment horizontal="left" vertical="center"/>
    </xf>
    <xf numFmtId="3" fontId="7" fillId="0" borderId="0" xfId="1" applyNumberFormat="1" applyFont="1" applyAlignment="1">
      <alignment horizontal="left" vertical="center" wrapText="1"/>
    </xf>
    <xf numFmtId="164" fontId="1" fillId="0" borderId="0" xfId="2" applyNumberFormat="1" applyFont="1"/>
    <xf numFmtId="164" fontId="6" fillId="0" borderId="0" xfId="0" applyNumberFormat="1" applyFont="1"/>
    <xf numFmtId="164" fontId="6" fillId="0" borderId="0" xfId="2" applyNumberFormat="1" applyFont="1"/>
    <xf numFmtId="3" fontId="11" fillId="0" borderId="0" xfId="1" applyNumberFormat="1" applyFont="1" applyAlignment="1">
      <alignment horizontal="left" vertical="center" wrapText="1"/>
    </xf>
    <xf numFmtId="0" fontId="3" fillId="0" borderId="0" xfId="0" applyFont="1" applyAlignment="1">
      <alignment horizontal="left" wrapText="1"/>
    </xf>
    <xf numFmtId="0" fontId="4" fillId="0" borderId="0" xfId="0" applyFont="1" applyAlignment="1">
      <alignment horizontal="left" wrapText="1"/>
    </xf>
    <xf numFmtId="0" fontId="1" fillId="0" borderId="0" xfId="0" applyFont="1" applyAlignment="1">
      <alignment wrapText="1"/>
    </xf>
    <xf numFmtId="0" fontId="2" fillId="0" borderId="0" xfId="1" applyFont="1" applyAlignment="1">
      <alignment horizontal="center"/>
    </xf>
    <xf numFmtId="0" fontId="6" fillId="0" borderId="1" xfId="1" applyFont="1" applyBorder="1" applyAlignment="1">
      <alignment horizontal="left" vertical="center"/>
    </xf>
    <xf numFmtId="0" fontId="6" fillId="0" borderId="2" xfId="1" applyFont="1" applyBorder="1" applyAlignment="1">
      <alignment horizontal="left" vertical="center" wrapText="1"/>
    </xf>
    <xf numFmtId="165" fontId="6" fillId="0" borderId="2" xfId="3" applyNumberFormat="1" applyFont="1" applyBorder="1" applyAlignment="1">
      <alignment horizontal="left" vertical="center"/>
    </xf>
    <xf numFmtId="43" fontId="6" fillId="0" borderId="1" xfId="3" applyFont="1" applyBorder="1" applyAlignment="1">
      <alignment horizontal="left" vertical="center"/>
    </xf>
    <xf numFmtId="0" fontId="6" fillId="0" borderId="3" xfId="1" applyFont="1" applyBorder="1" applyAlignment="1">
      <alignment horizontal="left"/>
    </xf>
    <xf numFmtId="0" fontId="6" fillId="0" borderId="4" xfId="1" applyFont="1" applyBorder="1" applyAlignment="1">
      <alignment horizontal="left" vertical="center" wrapText="1"/>
    </xf>
    <xf numFmtId="0" fontId="5" fillId="0" borderId="4" xfId="1" applyBorder="1"/>
    <xf numFmtId="0" fontId="5" fillId="0" borderId="5" xfId="1" applyBorder="1"/>
    <xf numFmtId="0" fontId="1" fillId="0" borderId="3" xfId="1" applyFont="1" applyBorder="1" applyAlignment="1">
      <alignment horizontal="left" vertical="center"/>
    </xf>
    <xf numFmtId="0" fontId="10" fillId="0" borderId="6" xfId="1" applyFont="1" applyBorder="1" applyAlignment="1">
      <alignment horizontal="left" vertical="center" wrapText="1"/>
    </xf>
    <xf numFmtId="0" fontId="5" fillId="0" borderId="6" xfId="1" applyBorder="1"/>
    <xf numFmtId="3" fontId="5" fillId="0" borderId="3" xfId="1" applyNumberFormat="1" applyBorder="1" applyAlignment="1">
      <alignment horizontal="right"/>
    </xf>
    <xf numFmtId="0" fontId="5" fillId="0" borderId="6" xfId="1" applyBorder="1" applyAlignment="1">
      <alignment vertical="center" wrapText="1"/>
    </xf>
    <xf numFmtId="0" fontId="5" fillId="0" borderId="6" xfId="1" applyBorder="1" applyAlignment="1">
      <alignment horizontal="center"/>
    </xf>
    <xf numFmtId="3" fontId="5" fillId="0" borderId="7" xfId="1" applyNumberFormat="1" applyBorder="1" applyAlignment="1">
      <alignment horizontal="right"/>
    </xf>
    <xf numFmtId="0" fontId="5" fillId="0" borderId="8" xfId="1" applyBorder="1" applyAlignment="1">
      <alignment horizontal="center"/>
    </xf>
    <xf numFmtId="0" fontId="5" fillId="0" borderId="8" xfId="1" applyBorder="1"/>
    <xf numFmtId="0" fontId="5" fillId="0" borderId="9" xfId="1" applyBorder="1"/>
    <xf numFmtId="0" fontId="5" fillId="0" borderId="8" xfId="1" applyBorder="1" applyAlignment="1">
      <alignment vertical="center" wrapText="1"/>
    </xf>
    <xf numFmtId="3" fontId="14" fillId="0" borderId="0" xfId="1" applyNumberFormat="1" applyFont="1" applyAlignment="1">
      <alignment horizontal="right"/>
    </xf>
    <xf numFmtId="3" fontId="15" fillId="0" borderId="0" xfId="1" applyNumberFormat="1" applyFont="1" applyAlignment="1">
      <alignment horizontal="left" vertical="center"/>
    </xf>
    <xf numFmtId="0" fontId="14" fillId="0" borderId="0" xfId="1" applyFont="1"/>
    <xf numFmtId="3" fontId="16" fillId="0" borderId="0" xfId="1" applyNumberFormat="1" applyFont="1" applyAlignment="1">
      <alignment horizontal="right"/>
    </xf>
    <xf numFmtId="0" fontId="17" fillId="3" borderId="0" xfId="1" applyFont="1" applyFill="1"/>
    <xf numFmtId="0" fontId="18" fillId="3" borderId="0" xfId="1" applyFont="1" applyFill="1" applyAlignment="1">
      <alignment horizontal="left" vertical="center"/>
    </xf>
    <xf numFmtId="0" fontId="5" fillId="3" borderId="0" xfId="1" applyFill="1"/>
    <xf numFmtId="0" fontId="19" fillId="3" borderId="0" xfId="1" applyFont="1" applyFill="1" applyAlignment="1">
      <alignment horizontal="left"/>
    </xf>
    <xf numFmtId="0" fontId="19" fillId="3" borderId="0" xfId="1" applyFont="1" applyFill="1" applyAlignment="1">
      <alignment horizontal="right"/>
    </xf>
    <xf numFmtId="3" fontId="5" fillId="2" borderId="10" xfId="1" applyNumberFormat="1" applyFill="1" applyBorder="1" applyAlignment="1">
      <alignment horizontal="right"/>
    </xf>
    <xf numFmtId="3" fontId="8" fillId="2" borderId="2" xfId="1" applyNumberFormat="1" applyFont="1" applyFill="1" applyBorder="1" applyAlignment="1">
      <alignment horizontal="left" vertical="center"/>
    </xf>
    <xf numFmtId="3" fontId="6" fillId="2" borderId="11" xfId="1" applyNumberFormat="1" applyFont="1" applyFill="1" applyBorder="1" applyAlignment="1">
      <alignment horizontal="right"/>
    </xf>
    <xf numFmtId="0" fontId="5" fillId="2" borderId="10" xfId="1" applyFill="1" applyBorder="1"/>
    <xf numFmtId="3" fontId="5" fillId="2" borderId="11" xfId="1" applyNumberFormat="1" applyFill="1" applyBorder="1"/>
    <xf numFmtId="0" fontId="5" fillId="2" borderId="12" xfId="1" applyFill="1" applyBorder="1"/>
    <xf numFmtId="3" fontId="5" fillId="2" borderId="14" xfId="1" applyNumberFormat="1" applyFill="1" applyBorder="1"/>
    <xf numFmtId="44" fontId="6" fillId="2" borderId="11" xfId="2" applyFont="1" applyFill="1" applyBorder="1" applyAlignment="1">
      <alignment horizontal="right"/>
    </xf>
    <xf numFmtId="3" fontId="5" fillId="0" borderId="0" xfId="1" applyNumberFormat="1" applyAlignment="1">
      <alignment horizontal="right" vertical="top"/>
    </xf>
    <xf numFmtId="3" fontId="9" fillId="2" borderId="2" xfId="1" applyNumberFormat="1" applyFont="1" applyFill="1" applyBorder="1" applyAlignment="1">
      <alignment horizontal="right" vertical="center"/>
    </xf>
    <xf numFmtId="0" fontId="6" fillId="2" borderId="13" xfId="1" applyFont="1" applyFill="1" applyBorder="1" applyAlignment="1">
      <alignment horizontal="right"/>
    </xf>
    <xf numFmtId="0" fontId="9" fillId="2" borderId="2" xfId="1" applyFont="1" applyFill="1" applyBorder="1" applyAlignment="1">
      <alignment horizontal="right"/>
    </xf>
    <xf numFmtId="0" fontId="1" fillId="0" borderId="0" xfId="0" applyFont="1" applyAlignment="1">
      <alignment vertical="top"/>
    </xf>
    <xf numFmtId="0" fontId="1" fillId="0" borderId="0" xfId="0" applyFont="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right" vertical="top"/>
    </xf>
    <xf numFmtId="0" fontId="1" fillId="0" borderId="0" xfId="0" applyFont="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3" fontId="1" fillId="0" borderId="0" xfId="0" applyNumberFormat="1" applyFont="1" applyAlignment="1">
      <alignment horizontal="right" vertical="top"/>
    </xf>
    <xf numFmtId="4" fontId="1" fillId="0" borderId="0" xfId="0" applyNumberFormat="1" applyFont="1" applyAlignment="1">
      <alignment horizontal="right" vertical="top"/>
    </xf>
    <xf numFmtId="164" fontId="1" fillId="0" borderId="0" xfId="2" applyNumberFormat="1" applyFont="1" applyAlignment="1">
      <alignment vertical="top"/>
    </xf>
    <xf numFmtId="3" fontId="3" fillId="0" borderId="0" xfId="0" applyNumberFormat="1" applyFont="1" applyAlignment="1">
      <alignment horizontal="right" vertical="top"/>
    </xf>
    <xf numFmtId="164" fontId="6" fillId="0" borderId="0" xfId="0" applyNumberFormat="1" applyFont="1" applyAlignment="1">
      <alignment vertical="top"/>
    </xf>
    <xf numFmtId="0" fontId="20" fillId="0" borderId="0" xfId="0" applyFont="1" applyAlignment="1">
      <alignment vertical="center"/>
    </xf>
    <xf numFmtId="0" fontId="21" fillId="0" borderId="17" xfId="0" applyFont="1" applyBorder="1" applyAlignment="1">
      <alignment vertical="top" wrapText="1"/>
    </xf>
    <xf numFmtId="0" fontId="22" fillId="0" borderId="17" xfId="0" applyFont="1" applyBorder="1" applyAlignment="1">
      <alignment vertical="top" wrapText="1"/>
    </xf>
    <xf numFmtId="0" fontId="18" fillId="3" borderId="15" xfId="1" applyFont="1" applyFill="1" applyBorder="1" applyAlignment="1">
      <alignment horizontal="left" vertical="center"/>
    </xf>
    <xf numFmtId="0" fontId="23" fillId="3" borderId="18" xfId="1" applyFont="1" applyFill="1" applyBorder="1" applyAlignment="1">
      <alignment horizontal="left" vertical="center"/>
    </xf>
    <xf numFmtId="0" fontId="23" fillId="3" borderId="16" xfId="1" applyFont="1" applyFill="1" applyBorder="1" applyAlignment="1">
      <alignment horizontal="left" vertical="center"/>
    </xf>
    <xf numFmtId="3" fontId="9" fillId="2" borderId="2" xfId="1" applyNumberFormat="1" applyFont="1" applyFill="1" applyBorder="1" applyAlignment="1">
      <alignment horizontal="left" vertical="center"/>
    </xf>
    <xf numFmtId="3" fontId="24" fillId="2" borderId="2" xfId="1" applyNumberFormat="1" applyFont="1" applyFill="1" applyBorder="1" applyAlignment="1">
      <alignment horizontal="left" vertical="center"/>
    </xf>
    <xf numFmtId="0" fontId="5" fillId="0" borderId="0" xfId="0" applyFont="1"/>
    <xf numFmtId="0" fontId="2" fillId="0" borderId="0" xfId="0" applyFont="1" applyAlignment="1">
      <alignment horizontal="center"/>
    </xf>
    <xf numFmtId="0" fontId="1" fillId="0" borderId="0" xfId="0" applyFont="1"/>
    <xf numFmtId="0" fontId="2" fillId="0" borderId="0" xfId="0" applyFont="1" applyAlignment="1">
      <alignment horizontal="center" vertical="top"/>
    </xf>
    <xf numFmtId="0" fontId="1" fillId="0" borderId="0" xfId="0" applyFont="1" applyAlignment="1">
      <alignment vertical="top"/>
    </xf>
  </cellXfs>
  <cellStyles count="4">
    <cellStyle name="Comma 2" xfId="3" xr:uid="{25BBA08C-743B-440A-BAE1-CFDE72F09A27}"/>
    <cellStyle name="Currency" xfId="2" builtinId="4"/>
    <cellStyle name="Normal" xfId="0" builtinId="0"/>
    <cellStyle name="Normal 2" xfId="1" xr:uid="{21ADE1A7-E7A9-44E0-B050-3CC292B6C86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2A6E-0984-41D6-A7DB-1C1B089AA0C1}">
  <sheetPr codeName="Sheet1">
    <pageSetUpPr fitToPage="1"/>
  </sheetPr>
  <dimension ref="A1:F68"/>
  <sheetViews>
    <sheetView zoomScaleNormal="100" workbookViewId="0">
      <pane ySplit="4" topLeftCell="A5" activePane="bottomLeft" state="frozen"/>
      <selection activeCell="B5" sqref="B5"/>
      <selection pane="bottomLeft" activeCell="B5" sqref="B5"/>
    </sheetView>
  </sheetViews>
  <sheetFormatPr defaultColWidth="9.1796875" defaultRowHeight="12.5" outlineLevelRow="1" x14ac:dyDescent="0.25"/>
  <cols>
    <col min="1" max="1" width="5.7265625" style="10" bestFit="1" customWidth="1"/>
    <col min="2" max="2" width="45.26953125" style="10" bestFit="1" customWidth="1"/>
    <col min="3" max="3" width="11.54296875" style="10" customWidth="1"/>
    <col min="4" max="16384" width="9.1796875" style="10"/>
  </cols>
  <sheetData>
    <row r="1" spans="1:6" ht="15.5" x14ac:dyDescent="0.35">
      <c r="A1" s="87" t="s">
        <v>10</v>
      </c>
      <c r="B1" s="87"/>
      <c r="C1" s="87"/>
      <c r="D1" s="1"/>
      <c r="E1" s="1"/>
      <c r="F1" s="1"/>
    </row>
    <row r="3" spans="1:6" s="49" customFormat="1" ht="14" x14ac:dyDescent="0.25">
      <c r="A3" s="47"/>
      <c r="B3" s="48" t="s">
        <v>11</v>
      </c>
      <c r="C3" s="47"/>
    </row>
    <row r="4" spans="1:6" s="49" customFormat="1" ht="13" x14ac:dyDescent="0.3">
      <c r="A4" s="50" t="s">
        <v>1</v>
      </c>
      <c r="B4" s="50" t="s">
        <v>2</v>
      </c>
      <c r="C4" s="51" t="s">
        <v>12</v>
      </c>
    </row>
    <row r="5" spans="1:6" ht="13" x14ac:dyDescent="0.3">
      <c r="A5" s="52">
        <v>1</v>
      </c>
      <c r="B5" s="53" t="s">
        <v>13</v>
      </c>
      <c r="C5" s="59">
        <f>C10+C9+C8+C7+C6</f>
        <v>0</v>
      </c>
    </row>
    <row r="6" spans="1:6" s="45" customFormat="1" outlineLevel="1" x14ac:dyDescent="0.25">
      <c r="A6" s="43"/>
      <c r="B6" s="44" t="s">
        <v>14</v>
      </c>
      <c r="C6" s="43">
        <f>'H13, H16, H35'!F214</f>
        <v>0</v>
      </c>
    </row>
    <row r="7" spans="1:6" s="45" customFormat="1" outlineLevel="1" x14ac:dyDescent="0.25">
      <c r="A7" s="43"/>
      <c r="B7" s="44" t="s">
        <v>15</v>
      </c>
      <c r="C7" s="43">
        <f>'H4, H14, H15, H36, H37, H38,H39'!F213</f>
        <v>0</v>
      </c>
    </row>
    <row r="8" spans="1:6" s="45" customFormat="1" outlineLevel="1" x14ac:dyDescent="0.25">
      <c r="A8" s="43"/>
      <c r="B8" s="44" t="s">
        <v>16</v>
      </c>
      <c r="C8" s="43">
        <f>'H4, H14, H15, H36, H37, H38,H39'!F213</f>
        <v>0</v>
      </c>
    </row>
    <row r="9" spans="1:6" s="45" customFormat="1" outlineLevel="1" x14ac:dyDescent="0.25">
      <c r="A9" s="43"/>
      <c r="B9" s="44" t="s">
        <v>17</v>
      </c>
      <c r="C9" s="43">
        <f>'H4, H14, H15, H36, H37, H38,H39'!F213</f>
        <v>0</v>
      </c>
    </row>
    <row r="10" spans="1:6" s="45" customFormat="1" outlineLevel="1" x14ac:dyDescent="0.25">
      <c r="A10" s="43"/>
      <c r="B10" s="44" t="s">
        <v>18</v>
      </c>
      <c r="C10" s="43">
        <f>'H4, H14, H15, H36, H37, H38,H39'!F213</f>
        <v>0</v>
      </c>
    </row>
    <row r="11" spans="1:6" s="45" customFormat="1" x14ac:dyDescent="0.25">
      <c r="A11" s="43"/>
      <c r="B11" s="44"/>
      <c r="C11" s="43"/>
    </row>
    <row r="12" spans="1:6" ht="13" x14ac:dyDescent="0.3">
      <c r="A12" s="52">
        <v>2</v>
      </c>
      <c r="B12" s="53" t="s">
        <v>19</v>
      </c>
      <c r="C12" s="54">
        <f>SUM(C13:C18)</f>
        <v>0</v>
      </c>
    </row>
    <row r="13" spans="1:6" s="45" customFormat="1" outlineLevel="1" x14ac:dyDescent="0.25">
      <c r="A13" s="43"/>
      <c r="B13" s="44" t="s">
        <v>20</v>
      </c>
      <c r="C13" s="43">
        <f>'H25, H29'!F209</f>
        <v>0</v>
      </c>
    </row>
    <row r="14" spans="1:6" s="45" customFormat="1" outlineLevel="1" x14ac:dyDescent="0.25">
      <c r="A14" s="43"/>
      <c r="B14" s="44" t="s">
        <v>21</v>
      </c>
      <c r="C14" s="43">
        <f>'H19, H30'!F209</f>
        <v>0</v>
      </c>
    </row>
    <row r="15" spans="1:6" s="45" customFormat="1" outlineLevel="1" x14ac:dyDescent="0.25">
      <c r="A15" s="43"/>
      <c r="B15" s="44" t="s">
        <v>22</v>
      </c>
      <c r="C15" s="43">
        <f>'H18, H23, H31'!F209</f>
        <v>0</v>
      </c>
    </row>
    <row r="16" spans="1:6" s="45" customFormat="1" outlineLevel="1" x14ac:dyDescent="0.25">
      <c r="A16" s="43"/>
      <c r="B16" s="44" t="s">
        <v>23</v>
      </c>
      <c r="C16" s="43">
        <f>'H28, H32'!F209</f>
        <v>0</v>
      </c>
    </row>
    <row r="17" spans="1:3" s="45" customFormat="1" outlineLevel="1" x14ac:dyDescent="0.25">
      <c r="A17" s="43"/>
      <c r="B17" s="44" t="s">
        <v>24</v>
      </c>
      <c r="C17" s="43">
        <f>'H22, H33'!F209</f>
        <v>0</v>
      </c>
    </row>
    <row r="18" spans="1:3" s="45" customFormat="1" outlineLevel="1" x14ac:dyDescent="0.25">
      <c r="A18" s="43"/>
      <c r="B18" s="44" t="s">
        <v>25</v>
      </c>
      <c r="C18" s="43">
        <f>'H21, H34, H26'!F209</f>
        <v>0</v>
      </c>
    </row>
    <row r="19" spans="1:3" s="45" customFormat="1" x14ac:dyDescent="0.25">
      <c r="A19" s="43"/>
      <c r="B19" s="44"/>
      <c r="C19" s="43"/>
    </row>
    <row r="20" spans="1:3" ht="13" x14ac:dyDescent="0.3">
      <c r="A20" s="52">
        <v>3</v>
      </c>
      <c r="B20" s="53" t="s">
        <v>26</v>
      </c>
      <c r="C20" s="54">
        <f>SUM(C21:C26)</f>
        <v>0</v>
      </c>
    </row>
    <row r="21" spans="1:3" s="45" customFormat="1" outlineLevel="1" x14ac:dyDescent="0.25">
      <c r="A21" s="43"/>
      <c r="B21" s="44" t="s">
        <v>27</v>
      </c>
      <c r="C21" s="43">
        <f>'H18, H23, H31'!F209</f>
        <v>0</v>
      </c>
    </row>
    <row r="22" spans="1:3" s="45" customFormat="1" outlineLevel="1" x14ac:dyDescent="0.25">
      <c r="A22" s="43"/>
      <c r="B22" s="44" t="s">
        <v>28</v>
      </c>
      <c r="C22" s="43">
        <f>'H24, H17'!F209</f>
        <v>0</v>
      </c>
    </row>
    <row r="23" spans="1:3" s="45" customFormat="1" outlineLevel="1" x14ac:dyDescent="0.25">
      <c r="A23" s="43"/>
      <c r="B23" s="44" t="s">
        <v>29</v>
      </c>
      <c r="C23" s="43">
        <f>'H25, H29'!F209</f>
        <v>0</v>
      </c>
    </row>
    <row r="24" spans="1:3" s="45" customFormat="1" outlineLevel="1" x14ac:dyDescent="0.25">
      <c r="A24" s="43"/>
      <c r="B24" s="44" t="s">
        <v>30</v>
      </c>
      <c r="C24" s="43">
        <f>'H21, H34, H26'!F209</f>
        <v>0</v>
      </c>
    </row>
    <row r="25" spans="1:3" s="45" customFormat="1" outlineLevel="1" x14ac:dyDescent="0.25">
      <c r="A25" s="43"/>
      <c r="B25" s="44" t="s">
        <v>31</v>
      </c>
      <c r="C25" s="43">
        <f>'H20, H27'!F209</f>
        <v>0</v>
      </c>
    </row>
    <row r="26" spans="1:3" s="45" customFormat="1" outlineLevel="1" x14ac:dyDescent="0.25">
      <c r="A26" s="43"/>
      <c r="B26" s="44" t="s">
        <v>32</v>
      </c>
      <c r="C26" s="43">
        <f>'H28, H32'!F209</f>
        <v>0</v>
      </c>
    </row>
    <row r="27" spans="1:3" s="45" customFormat="1" x14ac:dyDescent="0.25">
      <c r="A27" s="43"/>
      <c r="B27" s="44"/>
      <c r="C27" s="43"/>
    </row>
    <row r="28" spans="1:3" ht="13" x14ac:dyDescent="0.3">
      <c r="A28" s="52">
        <v>4</v>
      </c>
      <c r="B28" s="53" t="s">
        <v>33</v>
      </c>
      <c r="C28" s="54">
        <f>SUM(C29:C32)</f>
        <v>0</v>
      </c>
    </row>
    <row r="29" spans="1:3" s="45" customFormat="1" outlineLevel="1" x14ac:dyDescent="0.25">
      <c r="A29" s="43"/>
      <c r="B29" s="44" t="s">
        <v>34</v>
      </c>
      <c r="C29" s="43">
        <f>'H13, H16, H35'!F214</f>
        <v>0</v>
      </c>
    </row>
    <row r="30" spans="1:3" s="45" customFormat="1" outlineLevel="1" x14ac:dyDescent="0.25">
      <c r="A30" s="43"/>
      <c r="B30" s="44" t="s">
        <v>35</v>
      </c>
      <c r="C30" s="43">
        <f>'H4, H14, H15, H36, H37, H38,H39'!F213</f>
        <v>0</v>
      </c>
    </row>
    <row r="31" spans="1:3" s="45" customFormat="1" outlineLevel="1" x14ac:dyDescent="0.25">
      <c r="A31" s="43"/>
      <c r="B31" s="44" t="s">
        <v>36</v>
      </c>
      <c r="C31" s="43">
        <f>'H4, H14, H15, H36, H37, H38,H39'!F213</f>
        <v>0</v>
      </c>
    </row>
    <row r="32" spans="1:3" s="45" customFormat="1" outlineLevel="1" x14ac:dyDescent="0.25">
      <c r="A32" s="43"/>
      <c r="B32" s="44" t="s">
        <v>37</v>
      </c>
      <c r="C32" s="43">
        <f>'H13, H16, H35'!F214</f>
        <v>0</v>
      </c>
    </row>
    <row r="33" spans="1:3" s="45" customFormat="1" x14ac:dyDescent="0.25">
      <c r="A33" s="43"/>
      <c r="B33" s="44"/>
      <c r="C33" s="43"/>
    </row>
    <row r="34" spans="1:3" ht="13" x14ac:dyDescent="0.3">
      <c r="A34" s="52">
        <v>5</v>
      </c>
      <c r="B34" s="53" t="s">
        <v>38</v>
      </c>
      <c r="C34" s="54">
        <f>SUM(C35:C40)</f>
        <v>0</v>
      </c>
    </row>
    <row r="35" spans="1:3" s="45" customFormat="1" ht="13" outlineLevel="1" x14ac:dyDescent="0.3">
      <c r="A35" s="43"/>
      <c r="B35" s="44" t="s">
        <v>39</v>
      </c>
      <c r="C35" s="46">
        <f>'H24, H17'!F209</f>
        <v>0</v>
      </c>
    </row>
    <row r="36" spans="1:3" s="45" customFormat="1" ht="13" outlineLevel="1" x14ac:dyDescent="0.3">
      <c r="A36" s="43"/>
      <c r="B36" s="44" t="s">
        <v>40</v>
      </c>
      <c r="C36" s="46">
        <f>'H18, H23, H31'!F209</f>
        <v>0</v>
      </c>
    </row>
    <row r="37" spans="1:3" s="45" customFormat="1" ht="13" outlineLevel="1" x14ac:dyDescent="0.3">
      <c r="A37" s="43"/>
      <c r="B37" s="44" t="s">
        <v>41</v>
      </c>
      <c r="C37" s="46">
        <f>'H19, H30'!F209</f>
        <v>0</v>
      </c>
    </row>
    <row r="38" spans="1:3" s="45" customFormat="1" ht="13" outlineLevel="1" x14ac:dyDescent="0.3">
      <c r="A38" s="43"/>
      <c r="B38" s="44" t="s">
        <v>42</v>
      </c>
      <c r="C38" s="46">
        <f>'H20, H27'!F209</f>
        <v>0</v>
      </c>
    </row>
    <row r="39" spans="1:3" s="45" customFormat="1" ht="13" outlineLevel="1" x14ac:dyDescent="0.3">
      <c r="A39" s="43"/>
      <c r="B39" s="44" t="s">
        <v>43</v>
      </c>
      <c r="C39" s="46">
        <f>'H21, H34, H26'!F209</f>
        <v>0</v>
      </c>
    </row>
    <row r="40" spans="1:3" s="45" customFormat="1" ht="13" outlineLevel="1" x14ac:dyDescent="0.3">
      <c r="A40" s="43"/>
      <c r="B40" s="44" t="s">
        <v>44</v>
      </c>
      <c r="C40" s="46">
        <f>'H22, H33'!F209</f>
        <v>0</v>
      </c>
    </row>
    <row r="41" spans="1:3" s="45" customFormat="1" ht="13" x14ac:dyDescent="0.3">
      <c r="A41" s="43"/>
      <c r="B41" s="44"/>
      <c r="C41" s="46"/>
    </row>
    <row r="42" spans="1:3" ht="13" x14ac:dyDescent="0.3">
      <c r="A42" s="52">
        <v>6</v>
      </c>
      <c r="B42" s="53" t="s">
        <v>45</v>
      </c>
      <c r="C42" s="54">
        <f>SUM(C43:C48)</f>
        <v>0</v>
      </c>
    </row>
    <row r="43" spans="1:3" s="45" customFormat="1" ht="13" outlineLevel="1" x14ac:dyDescent="0.3">
      <c r="A43" s="43"/>
      <c r="B43" s="44" t="s">
        <v>46</v>
      </c>
      <c r="C43" s="46">
        <f>'H1, H2, H7, H8'!F211</f>
        <v>0</v>
      </c>
    </row>
    <row r="44" spans="1:3" s="45" customFormat="1" ht="13" outlineLevel="1" x14ac:dyDescent="0.3">
      <c r="A44" s="43"/>
      <c r="B44" s="44" t="s">
        <v>47</v>
      </c>
      <c r="C44" s="46">
        <f>'H1, H2, H7, H8'!F211</f>
        <v>0</v>
      </c>
    </row>
    <row r="45" spans="1:3" s="45" customFormat="1" ht="13" outlineLevel="1" x14ac:dyDescent="0.3">
      <c r="A45" s="43"/>
      <c r="B45" s="44" t="s">
        <v>48</v>
      </c>
      <c r="C45" s="46">
        <f>'H3'!F212</f>
        <v>0</v>
      </c>
    </row>
    <row r="46" spans="1:3" s="45" customFormat="1" ht="13" outlineLevel="1" x14ac:dyDescent="0.3">
      <c r="A46" s="43"/>
      <c r="B46" s="44" t="s">
        <v>49</v>
      </c>
      <c r="C46" s="46">
        <f>'H4, H14, H15, H36, H37, H38,H39'!F213</f>
        <v>0</v>
      </c>
    </row>
    <row r="47" spans="1:3" s="45" customFormat="1" ht="13" outlineLevel="1" x14ac:dyDescent="0.3">
      <c r="A47" s="43"/>
      <c r="B47" s="44" t="s">
        <v>50</v>
      </c>
      <c r="C47" s="46">
        <f>'H5'!F211</f>
        <v>0</v>
      </c>
    </row>
    <row r="48" spans="1:3" s="45" customFormat="1" ht="13" outlineLevel="1" x14ac:dyDescent="0.3">
      <c r="A48" s="43"/>
      <c r="B48" s="44" t="s">
        <v>51</v>
      </c>
      <c r="C48" s="46">
        <f>'H6'!F212</f>
        <v>0</v>
      </c>
    </row>
    <row r="49" spans="1:3" s="45" customFormat="1" ht="13" x14ac:dyDescent="0.3">
      <c r="A49" s="43"/>
      <c r="B49" s="44"/>
      <c r="C49" s="46"/>
    </row>
    <row r="50" spans="1:3" ht="13" x14ac:dyDescent="0.3">
      <c r="A50" s="52">
        <v>7</v>
      </c>
      <c r="B50" s="53" t="s">
        <v>52</v>
      </c>
      <c r="C50" s="54">
        <f>SUM(C51:C56)</f>
        <v>0</v>
      </c>
    </row>
    <row r="51" spans="1:3" s="45" customFormat="1" outlineLevel="1" x14ac:dyDescent="0.25">
      <c r="A51" s="43"/>
      <c r="B51" s="44" t="s">
        <v>53</v>
      </c>
      <c r="C51" s="43">
        <f>'H1, H2, H7, H8'!F211</f>
        <v>0</v>
      </c>
    </row>
    <row r="52" spans="1:3" s="45" customFormat="1" outlineLevel="1" x14ac:dyDescent="0.25">
      <c r="A52" s="43"/>
      <c r="B52" s="44" t="s">
        <v>54</v>
      </c>
      <c r="C52" s="43">
        <f>'H1, H2, H7, H8'!F211</f>
        <v>0</v>
      </c>
    </row>
    <row r="53" spans="1:3" s="45" customFormat="1" outlineLevel="1" x14ac:dyDescent="0.25">
      <c r="A53" s="43"/>
      <c r="B53" s="44" t="s">
        <v>55</v>
      </c>
      <c r="C53" s="43">
        <f>'H9, H11'!F213</f>
        <v>0</v>
      </c>
    </row>
    <row r="54" spans="1:3" s="45" customFormat="1" outlineLevel="1" x14ac:dyDescent="0.25">
      <c r="A54" s="43"/>
      <c r="B54" s="44" t="s">
        <v>56</v>
      </c>
      <c r="C54" s="43">
        <f>'H10, H12'!F212</f>
        <v>0</v>
      </c>
    </row>
    <row r="55" spans="1:3" s="45" customFormat="1" outlineLevel="1" x14ac:dyDescent="0.25">
      <c r="A55" s="43"/>
      <c r="B55" s="44" t="s">
        <v>57</v>
      </c>
      <c r="C55" s="43">
        <f>'H9, H11'!F213</f>
        <v>0</v>
      </c>
    </row>
    <row r="56" spans="1:3" s="45" customFormat="1" outlineLevel="1" x14ac:dyDescent="0.25">
      <c r="A56" s="43"/>
      <c r="B56" s="44" t="s">
        <v>58</v>
      </c>
      <c r="C56" s="43">
        <f>'H10, H12'!F212</f>
        <v>0</v>
      </c>
    </row>
    <row r="57" spans="1:3" ht="13" outlineLevel="1" x14ac:dyDescent="0.3">
      <c r="A57" s="12"/>
      <c r="B57" s="14"/>
      <c r="C57" s="11"/>
    </row>
    <row r="58" spans="1:3" ht="13" x14ac:dyDescent="0.3">
      <c r="A58" s="12"/>
      <c r="B58" s="14"/>
      <c r="C58" s="11"/>
    </row>
    <row r="59" spans="1:3" ht="13" x14ac:dyDescent="0.3">
      <c r="A59" s="52"/>
      <c r="B59" s="61" t="s">
        <v>59</v>
      </c>
      <c r="C59" s="54">
        <f>C50+C42+C34+C28+C20+C12+C5</f>
        <v>0</v>
      </c>
    </row>
    <row r="60" spans="1:3" ht="13" x14ac:dyDescent="0.3">
      <c r="A60" s="12"/>
      <c r="B60" s="14"/>
      <c r="C60" s="11"/>
    </row>
    <row r="61" spans="1:3" ht="13" x14ac:dyDescent="0.3">
      <c r="A61" s="12"/>
      <c r="B61" s="13" t="s">
        <v>60</v>
      </c>
      <c r="C61" s="11"/>
    </row>
    <row r="62" spans="1:3" ht="13" x14ac:dyDescent="0.3">
      <c r="A62" s="12"/>
      <c r="B62" s="15"/>
      <c r="C62" s="11"/>
    </row>
    <row r="63" spans="1:3" ht="23" x14ac:dyDescent="0.3">
      <c r="A63" s="60">
        <v>8</v>
      </c>
      <c r="B63" s="15" t="s">
        <v>61</v>
      </c>
      <c r="C63" s="11"/>
    </row>
    <row r="64" spans="1:3" ht="20" x14ac:dyDescent="0.3">
      <c r="A64" s="60">
        <v>9</v>
      </c>
      <c r="B64" s="19" t="s">
        <v>62</v>
      </c>
      <c r="C64" s="11"/>
    </row>
    <row r="65" spans="1:3" x14ac:dyDescent="0.25">
      <c r="A65" s="55"/>
      <c r="B65" s="63" t="s">
        <v>59</v>
      </c>
      <c r="C65" s="56">
        <f>SUM(C62:C64)</f>
        <v>0</v>
      </c>
    </row>
    <row r="67" spans="1:3" ht="13.5" thickBot="1" x14ac:dyDescent="0.35">
      <c r="A67" s="57"/>
      <c r="B67" s="62" t="s">
        <v>59</v>
      </c>
      <c r="C67" s="58">
        <f>C65+C59</f>
        <v>0</v>
      </c>
    </row>
    <row r="68" spans="1:3" ht="13" thickTop="1" x14ac:dyDescent="0.25"/>
  </sheetData>
  <mergeCells count="1">
    <mergeCell ref="A1:C1"/>
  </mergeCells>
  <pageMargins left="0.75" right="0.75" top="1" bottom="1" header="0.5" footer="0.5"/>
  <pageSetup scale="74" orientation="portrait" r:id="rId1"/>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B924-043C-4FED-9A70-C8381ABE293A}">
  <sheetPr>
    <pageSetUpPr fitToPage="1"/>
  </sheetPr>
  <dimension ref="B1:K17"/>
  <sheetViews>
    <sheetView tabSelected="1" zoomScaleNormal="100" workbookViewId="0">
      <selection activeCell="B5" sqref="B5"/>
    </sheetView>
  </sheetViews>
  <sheetFormatPr defaultRowHeight="12.5" x14ac:dyDescent="0.25"/>
  <cols>
    <col min="1" max="1" width="3.08984375" customWidth="1"/>
    <col min="3" max="3" width="25.6328125" customWidth="1"/>
    <col min="4" max="4" width="15.26953125" customWidth="1"/>
    <col min="5" max="5" width="16" customWidth="1"/>
  </cols>
  <sheetData>
    <row r="1" spans="2:11" ht="28" customHeight="1" x14ac:dyDescent="0.35">
      <c r="C1" s="87" t="s">
        <v>1836</v>
      </c>
      <c r="D1" s="87"/>
      <c r="E1" s="87"/>
    </row>
    <row r="2" spans="2:11" ht="13" thickBot="1" x14ac:dyDescent="0.3"/>
    <row r="3" spans="2:11" ht="19" customHeight="1" thickBot="1" x14ac:dyDescent="0.3">
      <c r="B3" s="81"/>
      <c r="C3" s="82" t="s">
        <v>2</v>
      </c>
      <c r="D3" s="82" t="s">
        <v>1823</v>
      </c>
      <c r="E3" s="83" t="s">
        <v>1824</v>
      </c>
    </row>
    <row r="4" spans="2:11" ht="19" customHeight="1" thickBot="1" x14ac:dyDescent="0.3">
      <c r="B4" s="84">
        <v>1</v>
      </c>
      <c r="C4" s="84" t="s">
        <v>1837</v>
      </c>
      <c r="D4" s="79" t="s">
        <v>1826</v>
      </c>
      <c r="E4" s="79" t="s">
        <v>1826</v>
      </c>
    </row>
    <row r="5" spans="2:11" ht="19" customHeight="1" thickBot="1" x14ac:dyDescent="0.3">
      <c r="B5" s="84">
        <v>2</v>
      </c>
      <c r="C5" s="84" t="s">
        <v>1838</v>
      </c>
      <c r="D5" s="79" t="s">
        <v>1826</v>
      </c>
      <c r="E5" s="79" t="s">
        <v>1826</v>
      </c>
    </row>
    <row r="6" spans="2:11" ht="19" customHeight="1" thickBot="1" x14ac:dyDescent="0.3">
      <c r="B6" s="84">
        <v>3</v>
      </c>
      <c r="C6" s="84" t="s">
        <v>1839</v>
      </c>
      <c r="D6" s="79" t="s">
        <v>1826</v>
      </c>
      <c r="E6" s="79" t="s">
        <v>1826</v>
      </c>
    </row>
    <row r="7" spans="2:11" ht="17" customHeight="1" thickBot="1" x14ac:dyDescent="0.3">
      <c r="B7" s="84">
        <v>4</v>
      </c>
      <c r="C7" s="84" t="s">
        <v>1825</v>
      </c>
      <c r="D7" s="79" t="s">
        <v>1826</v>
      </c>
      <c r="E7" s="79" t="s">
        <v>1826</v>
      </c>
    </row>
    <row r="8" spans="2:11" ht="17" customHeight="1" thickBot="1" x14ac:dyDescent="0.3">
      <c r="B8" s="84">
        <v>5</v>
      </c>
      <c r="C8" s="84" t="s">
        <v>1827</v>
      </c>
      <c r="D8" s="79" t="s">
        <v>1826</v>
      </c>
      <c r="E8" s="79" t="s">
        <v>1826</v>
      </c>
    </row>
    <row r="9" spans="2:11" ht="17" customHeight="1" thickBot="1" x14ac:dyDescent="0.3">
      <c r="B9" s="84">
        <v>6</v>
      </c>
      <c r="C9" s="84" t="s">
        <v>1828</v>
      </c>
      <c r="D9" s="80" t="s">
        <v>1826</v>
      </c>
      <c r="E9" s="80" t="s">
        <v>1826</v>
      </c>
    </row>
    <row r="10" spans="2:11" ht="17" customHeight="1" thickBot="1" x14ac:dyDescent="0.3">
      <c r="B10" s="84">
        <v>7</v>
      </c>
      <c r="C10" s="84" t="s">
        <v>1829</v>
      </c>
      <c r="D10" s="80" t="s">
        <v>1826</v>
      </c>
      <c r="E10" s="80" t="s">
        <v>1826</v>
      </c>
    </row>
    <row r="11" spans="2:11" ht="17" customHeight="1" thickBot="1" x14ac:dyDescent="0.3">
      <c r="B11" s="84">
        <v>8</v>
      </c>
      <c r="C11" s="84" t="s">
        <v>1830</v>
      </c>
      <c r="D11" s="80" t="s">
        <v>1826</v>
      </c>
      <c r="E11" s="80" t="s">
        <v>1826</v>
      </c>
    </row>
    <row r="12" spans="2:11" ht="17" customHeight="1" thickBot="1" x14ac:dyDescent="0.3">
      <c r="B12" s="84">
        <v>9</v>
      </c>
      <c r="C12" s="84" t="s">
        <v>1831</v>
      </c>
      <c r="D12" s="80" t="s">
        <v>1826</v>
      </c>
      <c r="E12" s="80" t="s">
        <v>1826</v>
      </c>
    </row>
    <row r="13" spans="2:11" ht="17" customHeight="1" thickBot="1" x14ac:dyDescent="0.3">
      <c r="B13" s="84">
        <v>10</v>
      </c>
      <c r="C13" s="84" t="s">
        <v>1832</v>
      </c>
      <c r="D13" s="80" t="s">
        <v>1826</v>
      </c>
      <c r="E13" s="80" t="s">
        <v>1826</v>
      </c>
    </row>
    <row r="14" spans="2:11" ht="17" customHeight="1" thickBot="1" x14ac:dyDescent="0.3">
      <c r="B14" s="84">
        <v>11</v>
      </c>
      <c r="C14" s="84" t="s">
        <v>1833</v>
      </c>
      <c r="D14" s="79" t="s">
        <v>1826</v>
      </c>
      <c r="E14" s="79" t="s">
        <v>1826</v>
      </c>
    </row>
    <row r="15" spans="2:11" ht="17" customHeight="1" thickBot="1" x14ac:dyDescent="0.3">
      <c r="B15" s="84">
        <v>12</v>
      </c>
      <c r="C15" s="84" t="s">
        <v>1834</v>
      </c>
      <c r="D15" s="79" t="s">
        <v>1826</v>
      </c>
      <c r="E15" s="79" t="s">
        <v>1826</v>
      </c>
    </row>
    <row r="16" spans="2:11" ht="17" customHeight="1" thickBot="1" x14ac:dyDescent="0.3">
      <c r="B16" s="84">
        <v>13</v>
      </c>
      <c r="C16" s="85" t="s">
        <v>1835</v>
      </c>
      <c r="D16" s="79" t="s">
        <v>1826</v>
      </c>
      <c r="E16" s="79" t="s">
        <v>1826</v>
      </c>
      <c r="K16" s="86"/>
    </row>
    <row r="17" spans="2:2" ht="14" x14ac:dyDescent="0.25">
      <c r="B17" s="78"/>
    </row>
  </sheetData>
  <mergeCells count="1">
    <mergeCell ref="C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F215"/>
  <sheetViews>
    <sheetView zoomScaleNormal="100" workbookViewId="0">
      <pane ySplit="3" topLeftCell="A4" activePane="bottomLeft" state="frozen"/>
      <selection activeCell="B5" sqref="B5"/>
      <selection pane="bottomLeft" activeCell="B5" sqref="B5"/>
    </sheetView>
  </sheetViews>
  <sheetFormatPr defaultColWidth="9.1796875" defaultRowHeight="10" x14ac:dyDescent="0.2"/>
  <cols>
    <col min="1" max="1" width="6.7265625" style="1" customWidth="1"/>
    <col min="2" max="2" width="58.36328125" style="22" customWidth="1"/>
    <col min="3" max="3" width="9.7265625" style="1" customWidth="1"/>
    <col min="4" max="4" width="6.7265625" style="1" customWidth="1"/>
    <col min="5" max="5" width="8.7265625" style="1" customWidth="1"/>
    <col min="6" max="6" width="12.7265625" style="1" bestFit="1" customWidth="1"/>
    <col min="7" max="16384" width="9.1796875" style="1"/>
  </cols>
  <sheetData>
    <row r="1" spans="1:6" ht="15.5" x14ac:dyDescent="0.2">
      <c r="A1" s="89" t="s">
        <v>1807</v>
      </c>
      <c r="B1" s="90"/>
      <c r="C1" s="90"/>
      <c r="D1" s="90"/>
      <c r="E1" s="90"/>
      <c r="F1" s="90"/>
    </row>
    <row r="2" spans="1:6" x14ac:dyDescent="0.2">
      <c r="A2" s="64"/>
      <c r="B2" s="65"/>
      <c r="C2" s="64"/>
      <c r="D2" s="64"/>
      <c r="E2" s="64"/>
      <c r="F2" s="64"/>
    </row>
    <row r="3" spans="1:6" ht="10.5" x14ac:dyDescent="0.2">
      <c r="A3" s="66" t="s">
        <v>1</v>
      </c>
      <c r="B3" s="67" t="s">
        <v>2</v>
      </c>
      <c r="C3" s="68" t="s">
        <v>4</v>
      </c>
      <c r="D3" s="66" t="s">
        <v>63</v>
      </c>
      <c r="E3" s="68" t="s">
        <v>5</v>
      </c>
      <c r="F3" s="68" t="s">
        <v>12</v>
      </c>
    </row>
    <row r="4" spans="1:6" ht="10.5" x14ac:dyDescent="0.2">
      <c r="A4" s="66"/>
      <c r="B4" s="67"/>
      <c r="C4" s="68"/>
      <c r="D4" s="66"/>
      <c r="E4" s="68"/>
      <c r="F4" s="68"/>
    </row>
    <row r="5" spans="1:6" x14ac:dyDescent="0.2">
      <c r="A5" s="69"/>
      <c r="B5" s="70" t="s">
        <v>64</v>
      </c>
      <c r="C5" s="69"/>
      <c r="D5" s="69"/>
      <c r="E5" s="69"/>
      <c r="F5" s="64"/>
    </row>
    <row r="6" spans="1:6" ht="10.5" x14ac:dyDescent="0.2">
      <c r="A6" s="66" t="s">
        <v>65</v>
      </c>
      <c r="B6" s="67" t="s">
        <v>66</v>
      </c>
      <c r="C6" s="64"/>
      <c r="D6" s="64"/>
      <c r="E6" s="64"/>
      <c r="F6" s="64"/>
    </row>
    <row r="7" spans="1:6" x14ac:dyDescent="0.2">
      <c r="A7" s="69"/>
      <c r="B7" s="70"/>
      <c r="C7" s="69"/>
      <c r="D7" s="69"/>
      <c r="E7" s="69"/>
      <c r="F7" s="64"/>
    </row>
    <row r="8" spans="1:6" x14ac:dyDescent="0.2">
      <c r="A8" s="69"/>
      <c r="B8" s="70" t="s">
        <v>67</v>
      </c>
      <c r="C8" s="69"/>
      <c r="D8" s="69"/>
      <c r="E8" s="69"/>
      <c r="F8" s="64"/>
    </row>
    <row r="9" spans="1:6" x14ac:dyDescent="0.2">
      <c r="A9" s="64"/>
      <c r="B9" s="65"/>
      <c r="C9" s="64"/>
      <c r="D9" s="64"/>
      <c r="E9" s="64"/>
      <c r="F9" s="64"/>
    </row>
    <row r="10" spans="1:6" ht="10.5" x14ac:dyDescent="0.2">
      <c r="A10" s="71" t="s">
        <v>68</v>
      </c>
      <c r="B10" s="72" t="s">
        <v>69</v>
      </c>
      <c r="C10" s="64"/>
      <c r="D10" s="64"/>
      <c r="E10" s="64"/>
      <c r="F10" s="64"/>
    </row>
    <row r="11" spans="1:6" x14ac:dyDescent="0.2">
      <c r="A11" s="69"/>
      <c r="B11" s="70" t="s">
        <v>70</v>
      </c>
      <c r="C11" s="69"/>
      <c r="D11" s="69"/>
      <c r="E11" s="69"/>
      <c r="F11" s="64"/>
    </row>
    <row r="12" spans="1:6" x14ac:dyDescent="0.2">
      <c r="A12" s="69"/>
      <c r="B12" s="70" t="s">
        <v>71</v>
      </c>
      <c r="C12" s="69"/>
      <c r="D12" s="69"/>
      <c r="E12" s="69"/>
      <c r="F12" s="64"/>
    </row>
    <row r="13" spans="1:6" x14ac:dyDescent="0.2">
      <c r="A13" s="69"/>
      <c r="B13" s="70" t="s">
        <v>72</v>
      </c>
      <c r="C13" s="69"/>
      <c r="D13" s="69" t="s">
        <v>73</v>
      </c>
      <c r="E13" s="69"/>
      <c r="F13" s="64"/>
    </row>
    <row r="14" spans="1:6" x14ac:dyDescent="0.2">
      <c r="A14" s="69"/>
      <c r="B14" s="70" t="s">
        <v>74</v>
      </c>
      <c r="C14" s="69"/>
      <c r="D14" s="69"/>
      <c r="E14" s="69"/>
      <c r="F14" s="64"/>
    </row>
    <row r="15" spans="1:6" x14ac:dyDescent="0.2">
      <c r="A15" s="69" t="s">
        <v>75</v>
      </c>
      <c r="B15" s="70" t="s">
        <v>76</v>
      </c>
      <c r="C15" s="73">
        <v>15</v>
      </c>
      <c r="D15" s="69" t="s">
        <v>77</v>
      </c>
      <c r="E15" s="74"/>
      <c r="F15" s="75">
        <f>C15*E15</f>
        <v>0</v>
      </c>
    </row>
    <row r="16" spans="1:6" x14ac:dyDescent="0.2">
      <c r="A16" s="69" t="s">
        <v>78</v>
      </c>
      <c r="B16" s="70" t="s">
        <v>79</v>
      </c>
      <c r="C16" s="73">
        <v>1</v>
      </c>
      <c r="D16" s="69" t="s">
        <v>80</v>
      </c>
      <c r="E16" s="74"/>
      <c r="F16" s="75">
        <f>C16*E16</f>
        <v>0</v>
      </c>
    </row>
    <row r="17" spans="1:6" x14ac:dyDescent="0.2">
      <c r="A17" s="69"/>
      <c r="B17" s="70" t="s">
        <v>81</v>
      </c>
      <c r="C17" s="69"/>
      <c r="D17" s="69"/>
      <c r="E17" s="69"/>
      <c r="F17" s="64"/>
    </row>
    <row r="18" spans="1:6" ht="20" x14ac:dyDescent="0.2">
      <c r="A18" s="69" t="s">
        <v>82</v>
      </c>
      <c r="B18" s="70" t="s">
        <v>83</v>
      </c>
      <c r="C18" s="73">
        <v>1</v>
      </c>
      <c r="D18" s="69" t="s">
        <v>80</v>
      </c>
      <c r="E18" s="74"/>
      <c r="F18" s="75">
        <f>C18*E18</f>
        <v>0</v>
      </c>
    </row>
    <row r="19" spans="1:6" x14ac:dyDescent="0.2">
      <c r="A19" s="69"/>
      <c r="B19" s="70" t="s">
        <v>69</v>
      </c>
      <c r="C19" s="69"/>
      <c r="D19" s="69"/>
      <c r="E19" s="69"/>
      <c r="F19" s="64"/>
    </row>
    <row r="20" spans="1:6" x14ac:dyDescent="0.2">
      <c r="A20" s="69" t="s">
        <v>84</v>
      </c>
      <c r="B20" s="70" t="s">
        <v>85</v>
      </c>
      <c r="C20" s="73">
        <v>8</v>
      </c>
      <c r="D20" s="69" t="s">
        <v>86</v>
      </c>
      <c r="E20" s="74"/>
      <c r="F20" s="75">
        <f t="shared" ref="F20:F38" si="0">C20*E20</f>
        <v>0</v>
      </c>
    </row>
    <row r="21" spans="1:6" x14ac:dyDescent="0.2">
      <c r="A21" s="69" t="s">
        <v>87</v>
      </c>
      <c r="B21" s="70" t="s">
        <v>88</v>
      </c>
      <c r="C21" s="73">
        <v>8</v>
      </c>
      <c r="D21" s="69" t="s">
        <v>89</v>
      </c>
      <c r="E21" s="74"/>
      <c r="F21" s="75">
        <f t="shared" si="0"/>
        <v>0</v>
      </c>
    </row>
    <row r="22" spans="1:6" ht="20" x14ac:dyDescent="0.2">
      <c r="A22" s="69" t="s">
        <v>90</v>
      </c>
      <c r="B22" s="70" t="s">
        <v>91</v>
      </c>
      <c r="C22" s="73">
        <v>36</v>
      </c>
      <c r="D22" s="69" t="s">
        <v>89</v>
      </c>
      <c r="E22" s="74"/>
      <c r="F22" s="75">
        <f t="shared" si="0"/>
        <v>0</v>
      </c>
    </row>
    <row r="23" spans="1:6" x14ac:dyDescent="0.2">
      <c r="A23" s="69" t="s">
        <v>92</v>
      </c>
      <c r="B23" s="70" t="s">
        <v>93</v>
      </c>
      <c r="C23" s="73">
        <v>12</v>
      </c>
      <c r="D23" s="69" t="s">
        <v>86</v>
      </c>
      <c r="E23" s="74"/>
      <c r="F23" s="75">
        <f t="shared" si="0"/>
        <v>0</v>
      </c>
    </row>
    <row r="24" spans="1:6" x14ac:dyDescent="0.2">
      <c r="A24" s="69" t="s">
        <v>94</v>
      </c>
      <c r="B24" s="70" t="s">
        <v>95</v>
      </c>
      <c r="C24" s="73">
        <v>13</v>
      </c>
      <c r="D24" s="69" t="s">
        <v>77</v>
      </c>
      <c r="E24" s="74"/>
      <c r="F24" s="75">
        <f t="shared" si="0"/>
        <v>0</v>
      </c>
    </row>
    <row r="25" spans="1:6" x14ac:dyDescent="0.2">
      <c r="A25" s="69" t="s">
        <v>96</v>
      </c>
      <c r="B25" s="70" t="s">
        <v>97</v>
      </c>
      <c r="C25" s="73">
        <v>9</v>
      </c>
      <c r="D25" s="69" t="s">
        <v>86</v>
      </c>
      <c r="E25" s="74"/>
      <c r="F25" s="75">
        <f t="shared" si="0"/>
        <v>0</v>
      </c>
    </row>
    <row r="26" spans="1:6" x14ac:dyDescent="0.2">
      <c r="A26" s="69" t="s">
        <v>98</v>
      </c>
      <c r="B26" s="70" t="s">
        <v>99</v>
      </c>
      <c r="C26" s="73">
        <v>145</v>
      </c>
      <c r="D26" s="69" t="s">
        <v>89</v>
      </c>
      <c r="E26" s="74"/>
      <c r="F26" s="75">
        <f t="shared" si="0"/>
        <v>0</v>
      </c>
    </row>
    <row r="27" spans="1:6" x14ac:dyDescent="0.2">
      <c r="A27" s="69" t="s">
        <v>100</v>
      </c>
      <c r="B27" s="70" t="s">
        <v>101</v>
      </c>
      <c r="C27" s="73">
        <v>2</v>
      </c>
      <c r="D27" s="69" t="s">
        <v>77</v>
      </c>
      <c r="E27" s="74"/>
      <c r="F27" s="75">
        <f t="shared" si="0"/>
        <v>0</v>
      </c>
    </row>
    <row r="28" spans="1:6" x14ac:dyDescent="0.2">
      <c r="A28" s="69" t="s">
        <v>102</v>
      </c>
      <c r="B28" s="70" t="s">
        <v>103</v>
      </c>
      <c r="C28" s="73">
        <v>1</v>
      </c>
      <c r="D28" s="69" t="s">
        <v>104</v>
      </c>
      <c r="E28" s="74"/>
      <c r="F28" s="75">
        <f t="shared" si="0"/>
        <v>0</v>
      </c>
    </row>
    <row r="29" spans="1:6" x14ac:dyDescent="0.2">
      <c r="A29" s="69" t="s">
        <v>105</v>
      </c>
      <c r="B29" s="70" t="s">
        <v>106</v>
      </c>
      <c r="C29" s="73">
        <v>1</v>
      </c>
      <c r="D29" s="69" t="s">
        <v>77</v>
      </c>
      <c r="E29" s="74"/>
      <c r="F29" s="75">
        <f t="shared" si="0"/>
        <v>0</v>
      </c>
    </row>
    <row r="30" spans="1:6" x14ac:dyDescent="0.2">
      <c r="A30" s="69" t="s">
        <v>107</v>
      </c>
      <c r="B30" s="70" t="s">
        <v>108</v>
      </c>
      <c r="C30" s="73">
        <v>86</v>
      </c>
      <c r="D30" s="69" t="s">
        <v>89</v>
      </c>
      <c r="E30" s="74"/>
      <c r="F30" s="75">
        <f t="shared" si="0"/>
        <v>0</v>
      </c>
    </row>
    <row r="31" spans="1:6" x14ac:dyDescent="0.2">
      <c r="A31" s="69" t="s">
        <v>109</v>
      </c>
      <c r="B31" s="70" t="s">
        <v>110</v>
      </c>
      <c r="C31" s="73">
        <v>1</v>
      </c>
      <c r="D31" s="69" t="s">
        <v>77</v>
      </c>
      <c r="E31" s="74"/>
      <c r="F31" s="75">
        <f t="shared" si="0"/>
        <v>0</v>
      </c>
    </row>
    <row r="32" spans="1:6" x14ac:dyDescent="0.2">
      <c r="A32" s="69" t="s">
        <v>111</v>
      </c>
      <c r="B32" s="70" t="s">
        <v>112</v>
      </c>
      <c r="C32" s="73">
        <v>34</v>
      </c>
      <c r="D32" s="69" t="s">
        <v>86</v>
      </c>
      <c r="E32" s="74"/>
      <c r="F32" s="75">
        <f t="shared" si="0"/>
        <v>0</v>
      </c>
    </row>
    <row r="33" spans="1:6" ht="20" x14ac:dyDescent="0.2">
      <c r="A33" s="69" t="s">
        <v>113</v>
      </c>
      <c r="B33" s="70" t="s">
        <v>114</v>
      </c>
      <c r="C33" s="73">
        <v>56</v>
      </c>
      <c r="D33" s="69" t="s">
        <v>89</v>
      </c>
      <c r="E33" s="74"/>
      <c r="F33" s="75">
        <f t="shared" si="0"/>
        <v>0</v>
      </c>
    </row>
    <row r="34" spans="1:6" x14ac:dyDescent="0.2">
      <c r="A34" s="69"/>
      <c r="B34" s="70" t="s">
        <v>115</v>
      </c>
      <c r="C34" s="69"/>
      <c r="D34" s="69"/>
      <c r="E34" s="69"/>
      <c r="F34" s="75">
        <f t="shared" si="0"/>
        <v>0</v>
      </c>
    </row>
    <row r="35" spans="1:6" ht="20" x14ac:dyDescent="0.2">
      <c r="A35" s="69" t="s">
        <v>116</v>
      </c>
      <c r="B35" s="70" t="s">
        <v>117</v>
      </c>
      <c r="C35" s="73">
        <v>1</v>
      </c>
      <c r="D35" s="69" t="s">
        <v>80</v>
      </c>
      <c r="E35" s="74"/>
      <c r="F35" s="75">
        <f t="shared" si="0"/>
        <v>0</v>
      </c>
    </row>
    <row r="36" spans="1:6" x14ac:dyDescent="0.2">
      <c r="A36" s="69" t="s">
        <v>118</v>
      </c>
      <c r="B36" s="70" t="s">
        <v>119</v>
      </c>
      <c r="C36" s="73">
        <v>1</v>
      </c>
      <c r="D36" s="69" t="s">
        <v>104</v>
      </c>
      <c r="E36" s="74"/>
      <c r="F36" s="75">
        <f t="shared" si="0"/>
        <v>0</v>
      </c>
    </row>
    <row r="37" spans="1:6" x14ac:dyDescent="0.2">
      <c r="A37" s="69" t="s">
        <v>120</v>
      </c>
      <c r="B37" s="70" t="s">
        <v>121</v>
      </c>
      <c r="C37" s="73">
        <v>1</v>
      </c>
      <c r="D37" s="69" t="s">
        <v>104</v>
      </c>
      <c r="E37" s="74"/>
      <c r="F37" s="75">
        <f t="shared" si="0"/>
        <v>0</v>
      </c>
    </row>
    <row r="38" spans="1:6" x14ac:dyDescent="0.2">
      <c r="A38" s="69" t="s">
        <v>122</v>
      </c>
      <c r="B38" s="70" t="s">
        <v>123</v>
      </c>
      <c r="C38" s="73">
        <v>1</v>
      </c>
      <c r="D38" s="69" t="s">
        <v>104</v>
      </c>
      <c r="E38" s="74"/>
      <c r="F38" s="75">
        <f t="shared" si="0"/>
        <v>0</v>
      </c>
    </row>
    <row r="39" spans="1:6" ht="13" x14ac:dyDescent="0.2">
      <c r="A39" s="64"/>
      <c r="B39" s="67" t="s">
        <v>124</v>
      </c>
      <c r="C39" s="76"/>
      <c r="D39" s="66"/>
      <c r="E39" s="76"/>
      <c r="F39" s="77">
        <f>SUM(F15:F38)</f>
        <v>0</v>
      </c>
    </row>
    <row r="40" spans="1:6" x14ac:dyDescent="0.2">
      <c r="A40" s="64"/>
      <c r="B40" s="65"/>
      <c r="C40" s="64"/>
      <c r="D40" s="64"/>
      <c r="E40" s="64"/>
      <c r="F40" s="64"/>
    </row>
    <row r="41" spans="1:6" ht="10.5" x14ac:dyDescent="0.2">
      <c r="A41" s="71" t="s">
        <v>125</v>
      </c>
      <c r="B41" s="72" t="s">
        <v>126</v>
      </c>
      <c r="C41" s="64"/>
      <c r="D41" s="64"/>
      <c r="E41" s="64"/>
      <c r="F41" s="64"/>
    </row>
    <row r="42" spans="1:6" x14ac:dyDescent="0.2">
      <c r="A42" s="69"/>
      <c r="B42" s="70" t="s">
        <v>127</v>
      </c>
      <c r="C42" s="69"/>
      <c r="D42" s="69"/>
      <c r="E42" s="69"/>
      <c r="F42" s="64"/>
    </row>
    <row r="43" spans="1:6" x14ac:dyDescent="0.2">
      <c r="A43" s="69"/>
      <c r="B43" s="70" t="s">
        <v>128</v>
      </c>
      <c r="C43" s="69"/>
      <c r="D43" s="69"/>
      <c r="E43" s="69"/>
      <c r="F43" s="64"/>
    </row>
    <row r="44" spans="1:6" ht="20" x14ac:dyDescent="0.2">
      <c r="A44" s="69"/>
      <c r="B44" s="70" t="s">
        <v>129</v>
      </c>
      <c r="C44" s="69"/>
      <c r="D44" s="69" t="s">
        <v>73</v>
      </c>
      <c r="E44" s="69"/>
      <c r="F44" s="64"/>
    </row>
    <row r="45" spans="1:6" ht="20" x14ac:dyDescent="0.2">
      <c r="A45" s="69"/>
      <c r="B45" s="70" t="s">
        <v>130</v>
      </c>
      <c r="C45" s="69"/>
      <c r="D45" s="69" t="s">
        <v>73</v>
      </c>
      <c r="E45" s="69"/>
      <c r="F45" s="64"/>
    </row>
    <row r="46" spans="1:6" x14ac:dyDescent="0.2">
      <c r="A46" s="69"/>
      <c r="B46" s="70" t="s">
        <v>131</v>
      </c>
      <c r="C46" s="69"/>
      <c r="D46" s="69" t="s">
        <v>73</v>
      </c>
      <c r="E46" s="69"/>
      <c r="F46" s="64"/>
    </row>
    <row r="47" spans="1:6" ht="20" x14ac:dyDescent="0.2">
      <c r="A47" s="69"/>
      <c r="B47" s="70" t="s">
        <v>132</v>
      </c>
      <c r="C47" s="69"/>
      <c r="D47" s="69" t="s">
        <v>73</v>
      </c>
      <c r="E47" s="69"/>
      <c r="F47" s="64"/>
    </row>
    <row r="48" spans="1:6" x14ac:dyDescent="0.2">
      <c r="A48" s="69"/>
      <c r="B48" s="70" t="s">
        <v>133</v>
      </c>
      <c r="C48" s="69"/>
      <c r="D48" s="69" t="s">
        <v>73</v>
      </c>
      <c r="E48" s="69"/>
      <c r="F48" s="64"/>
    </row>
    <row r="49" spans="1:6" x14ac:dyDescent="0.2">
      <c r="A49" s="69"/>
      <c r="B49" s="70" t="s">
        <v>134</v>
      </c>
      <c r="C49" s="69"/>
      <c r="D49" s="69" t="s">
        <v>73</v>
      </c>
      <c r="E49" s="69"/>
      <c r="F49" s="64"/>
    </row>
    <row r="50" spans="1:6" x14ac:dyDescent="0.2">
      <c r="A50" s="69"/>
      <c r="B50" s="70" t="s">
        <v>135</v>
      </c>
      <c r="C50" s="69"/>
      <c r="D50" s="69"/>
      <c r="E50" s="69"/>
      <c r="F50" s="64"/>
    </row>
    <row r="51" spans="1:6" ht="20" x14ac:dyDescent="0.2">
      <c r="A51" s="69" t="s">
        <v>136</v>
      </c>
      <c r="B51" s="70" t="s">
        <v>137</v>
      </c>
      <c r="C51" s="73">
        <v>338</v>
      </c>
      <c r="D51" s="69" t="s">
        <v>89</v>
      </c>
      <c r="E51" s="74"/>
      <c r="F51" s="75">
        <f>C51*E51</f>
        <v>0</v>
      </c>
    </row>
    <row r="52" spans="1:6" x14ac:dyDescent="0.2">
      <c r="A52" s="69"/>
      <c r="B52" s="70" t="s">
        <v>138</v>
      </c>
      <c r="C52" s="69"/>
      <c r="D52" s="69"/>
      <c r="E52" s="69"/>
      <c r="F52" s="64"/>
    </row>
    <row r="53" spans="1:6" ht="20" x14ac:dyDescent="0.2">
      <c r="A53" s="69" t="s">
        <v>139</v>
      </c>
      <c r="B53" s="70" t="s">
        <v>140</v>
      </c>
      <c r="C53" s="73">
        <v>66</v>
      </c>
      <c r="D53" s="69" t="s">
        <v>89</v>
      </c>
      <c r="E53" s="74"/>
      <c r="F53" s="75">
        <f>C53*E53</f>
        <v>0</v>
      </c>
    </row>
    <row r="54" spans="1:6" ht="20" x14ac:dyDescent="0.2">
      <c r="A54" s="69" t="s">
        <v>141</v>
      </c>
      <c r="B54" s="70" t="s">
        <v>142</v>
      </c>
      <c r="C54" s="73">
        <v>6</v>
      </c>
      <c r="D54" s="69" t="s">
        <v>89</v>
      </c>
      <c r="E54" s="74"/>
      <c r="F54" s="75">
        <f>C54*E54</f>
        <v>0</v>
      </c>
    </row>
    <row r="55" spans="1:6" x14ac:dyDescent="0.2">
      <c r="A55" s="69" t="s">
        <v>143</v>
      </c>
      <c r="B55" s="70" t="s">
        <v>144</v>
      </c>
      <c r="C55" s="73">
        <v>88</v>
      </c>
      <c r="D55" s="69" t="s">
        <v>89</v>
      </c>
      <c r="E55" s="74"/>
      <c r="F55" s="75">
        <f>C55*E55</f>
        <v>0</v>
      </c>
    </row>
    <row r="56" spans="1:6" x14ac:dyDescent="0.2">
      <c r="A56" s="69"/>
      <c r="B56" s="70" t="s">
        <v>145</v>
      </c>
      <c r="C56" s="69"/>
      <c r="D56" s="69"/>
      <c r="E56" s="69"/>
      <c r="F56" s="64"/>
    </row>
    <row r="57" spans="1:6" ht="20" x14ac:dyDescent="0.2">
      <c r="A57" s="69" t="s">
        <v>146</v>
      </c>
      <c r="B57" s="70" t="s">
        <v>147</v>
      </c>
      <c r="C57" s="73">
        <v>128</v>
      </c>
      <c r="D57" s="69" t="s">
        <v>86</v>
      </c>
      <c r="E57" s="74"/>
      <c r="F57" s="75">
        <f>C57*E57</f>
        <v>0</v>
      </c>
    </row>
    <row r="58" spans="1:6" x14ac:dyDescent="0.2">
      <c r="A58" s="69"/>
      <c r="B58" s="70" t="s">
        <v>148</v>
      </c>
      <c r="C58" s="69"/>
      <c r="D58" s="69"/>
      <c r="E58" s="69"/>
      <c r="F58" s="64"/>
    </row>
    <row r="59" spans="1:6" ht="20" x14ac:dyDescent="0.2">
      <c r="A59" s="69" t="s">
        <v>149</v>
      </c>
      <c r="B59" s="70" t="s">
        <v>150</v>
      </c>
      <c r="C59" s="73">
        <v>13</v>
      </c>
      <c r="D59" s="69" t="s">
        <v>77</v>
      </c>
      <c r="E59" s="74"/>
      <c r="F59" s="75">
        <f>C59*E59</f>
        <v>0</v>
      </c>
    </row>
    <row r="60" spans="1:6" ht="13" x14ac:dyDescent="0.2">
      <c r="A60" s="64"/>
      <c r="B60" s="67" t="s">
        <v>151</v>
      </c>
      <c r="C60" s="76"/>
      <c r="D60" s="66"/>
      <c r="E60" s="76"/>
      <c r="F60" s="77">
        <f>SUM(F51:F59)</f>
        <v>0</v>
      </c>
    </row>
    <row r="61" spans="1:6" x14ac:dyDescent="0.2">
      <c r="A61" s="64"/>
      <c r="B61" s="65"/>
      <c r="C61" s="64"/>
      <c r="D61" s="64"/>
      <c r="E61" s="64"/>
      <c r="F61" s="64"/>
    </row>
    <row r="62" spans="1:6" ht="10.5" x14ac:dyDescent="0.2">
      <c r="A62" s="71" t="s">
        <v>152</v>
      </c>
      <c r="B62" s="72" t="s">
        <v>153</v>
      </c>
      <c r="C62" s="64"/>
      <c r="D62" s="64"/>
      <c r="E62" s="64"/>
      <c r="F62" s="64"/>
    </row>
    <row r="63" spans="1:6" x14ac:dyDescent="0.2">
      <c r="A63" s="69"/>
      <c r="B63" s="70" t="s">
        <v>154</v>
      </c>
      <c r="C63" s="69"/>
      <c r="D63" s="69"/>
      <c r="E63" s="69"/>
      <c r="F63" s="64"/>
    </row>
    <row r="64" spans="1:6" x14ac:dyDescent="0.2">
      <c r="A64" s="69"/>
      <c r="B64" s="70" t="s">
        <v>128</v>
      </c>
      <c r="C64" s="69"/>
      <c r="D64" s="69"/>
      <c r="E64" s="69"/>
      <c r="F64" s="64"/>
    </row>
    <row r="65" spans="1:6" ht="20" x14ac:dyDescent="0.2">
      <c r="A65" s="69"/>
      <c r="B65" s="70" t="s">
        <v>155</v>
      </c>
      <c r="C65" s="69"/>
      <c r="D65" s="69" t="s">
        <v>73</v>
      </c>
      <c r="E65" s="69"/>
      <c r="F65" s="64"/>
    </row>
    <row r="66" spans="1:6" ht="20" x14ac:dyDescent="0.2">
      <c r="A66" s="69"/>
      <c r="B66" s="70" t="s">
        <v>156</v>
      </c>
      <c r="C66" s="69"/>
      <c r="D66" s="69" t="s">
        <v>73</v>
      </c>
      <c r="E66" s="69"/>
      <c r="F66" s="64"/>
    </row>
    <row r="67" spans="1:6" x14ac:dyDescent="0.2">
      <c r="A67" s="69"/>
      <c r="B67" s="70" t="s">
        <v>138</v>
      </c>
      <c r="C67" s="69"/>
      <c r="D67" s="69"/>
      <c r="E67" s="69"/>
      <c r="F67" s="64"/>
    </row>
    <row r="68" spans="1:6" ht="20" x14ac:dyDescent="0.2">
      <c r="A68" s="69" t="s">
        <v>157</v>
      </c>
      <c r="B68" s="70" t="s">
        <v>158</v>
      </c>
      <c r="C68" s="73">
        <v>120</v>
      </c>
      <c r="D68" s="69" t="s">
        <v>89</v>
      </c>
      <c r="E68" s="74"/>
      <c r="F68" s="75">
        <f>C68*E68</f>
        <v>0</v>
      </c>
    </row>
    <row r="69" spans="1:6" ht="20" x14ac:dyDescent="0.2">
      <c r="A69" s="69" t="s">
        <v>159</v>
      </c>
      <c r="B69" s="70" t="s">
        <v>160</v>
      </c>
      <c r="C69" s="73">
        <v>16</v>
      </c>
      <c r="D69" s="69" t="s">
        <v>89</v>
      </c>
      <c r="E69" s="74"/>
      <c r="F69" s="75">
        <f>C69*E69</f>
        <v>0</v>
      </c>
    </row>
    <row r="70" spans="1:6" x14ac:dyDescent="0.2">
      <c r="A70" s="69"/>
      <c r="B70" s="70" t="s">
        <v>161</v>
      </c>
      <c r="C70" s="69"/>
      <c r="D70" s="69"/>
      <c r="E70" s="69"/>
      <c r="F70" s="64"/>
    </row>
    <row r="71" spans="1:6" x14ac:dyDescent="0.2">
      <c r="A71" s="69" t="s">
        <v>162</v>
      </c>
      <c r="B71" s="70" t="s">
        <v>163</v>
      </c>
      <c r="C71" s="73">
        <v>12.8</v>
      </c>
      <c r="D71" s="69" t="s">
        <v>86</v>
      </c>
      <c r="E71" s="74"/>
      <c r="F71" s="75">
        <f>C71*E71</f>
        <v>0</v>
      </c>
    </row>
    <row r="72" spans="1:6" x14ac:dyDescent="0.2">
      <c r="A72" s="69" t="s">
        <v>164</v>
      </c>
      <c r="B72" s="70" t="s">
        <v>165</v>
      </c>
      <c r="C72" s="73">
        <v>8</v>
      </c>
      <c r="D72" s="69" t="s">
        <v>89</v>
      </c>
      <c r="E72" s="74"/>
      <c r="F72" s="75">
        <f>C72*E72</f>
        <v>0</v>
      </c>
    </row>
    <row r="73" spans="1:6" ht="13" x14ac:dyDescent="0.2">
      <c r="A73" s="64"/>
      <c r="B73" s="67" t="s">
        <v>166</v>
      </c>
      <c r="C73" s="76"/>
      <c r="D73" s="66"/>
      <c r="E73" s="76"/>
      <c r="F73" s="77">
        <f>SUM(F68:F72)</f>
        <v>0</v>
      </c>
    </row>
    <row r="74" spans="1:6" x14ac:dyDescent="0.2">
      <c r="A74" s="64"/>
      <c r="B74" s="65"/>
      <c r="C74" s="64"/>
      <c r="D74" s="64"/>
      <c r="E74" s="64"/>
      <c r="F74" s="64"/>
    </row>
    <row r="75" spans="1:6" ht="10.5" x14ac:dyDescent="0.2">
      <c r="A75" s="71" t="s">
        <v>167</v>
      </c>
      <c r="B75" s="72" t="s">
        <v>168</v>
      </c>
      <c r="C75" s="64"/>
      <c r="D75" s="64"/>
      <c r="E75" s="64"/>
      <c r="F75" s="64"/>
    </row>
    <row r="76" spans="1:6" x14ac:dyDescent="0.2">
      <c r="A76" s="69"/>
      <c r="B76" s="70" t="s">
        <v>169</v>
      </c>
      <c r="C76" s="69"/>
      <c r="D76" s="69"/>
      <c r="E76" s="69"/>
      <c r="F76" s="64"/>
    </row>
    <row r="77" spans="1:6" x14ac:dyDescent="0.2">
      <c r="A77" s="69"/>
      <c r="B77" s="70" t="s">
        <v>128</v>
      </c>
      <c r="C77" s="69"/>
      <c r="D77" s="69"/>
      <c r="E77" s="69"/>
      <c r="F77" s="64"/>
    </row>
    <row r="78" spans="1:6" x14ac:dyDescent="0.2">
      <c r="A78" s="69"/>
      <c r="B78" s="70" t="s">
        <v>170</v>
      </c>
      <c r="C78" s="69"/>
      <c r="D78" s="69"/>
      <c r="E78" s="69"/>
      <c r="F78" s="64"/>
    </row>
    <row r="79" spans="1:6" ht="30" x14ac:dyDescent="0.2">
      <c r="A79" s="69" t="s">
        <v>171</v>
      </c>
      <c r="B79" s="70" t="s">
        <v>172</v>
      </c>
      <c r="C79" s="73">
        <v>155</v>
      </c>
      <c r="D79" s="69" t="s">
        <v>89</v>
      </c>
      <c r="E79" s="74"/>
      <c r="F79" s="75">
        <f>C79*E79</f>
        <v>0</v>
      </c>
    </row>
    <row r="80" spans="1:6" ht="13" x14ac:dyDescent="0.2">
      <c r="A80" s="64"/>
      <c r="B80" s="67" t="s">
        <v>173</v>
      </c>
      <c r="C80" s="76"/>
      <c r="D80" s="66"/>
      <c r="E80" s="76"/>
      <c r="F80" s="77">
        <f>SUM(F79)</f>
        <v>0</v>
      </c>
    </row>
    <row r="81" spans="1:6" x14ac:dyDescent="0.2">
      <c r="A81" s="64"/>
      <c r="B81" s="65"/>
      <c r="C81" s="64"/>
      <c r="D81" s="64"/>
      <c r="E81" s="64"/>
      <c r="F81" s="64"/>
    </row>
    <row r="82" spans="1:6" ht="10.5" x14ac:dyDescent="0.2">
      <c r="A82" s="71" t="s">
        <v>174</v>
      </c>
      <c r="B82" s="72" t="s">
        <v>175</v>
      </c>
      <c r="C82" s="64"/>
      <c r="D82" s="64"/>
      <c r="E82" s="64"/>
      <c r="F82" s="64"/>
    </row>
    <row r="83" spans="1:6" x14ac:dyDescent="0.2">
      <c r="A83" s="69"/>
      <c r="B83" s="70" t="s">
        <v>176</v>
      </c>
      <c r="C83" s="69"/>
      <c r="D83" s="69"/>
      <c r="E83" s="69"/>
      <c r="F83" s="64"/>
    </row>
    <row r="84" spans="1:6" x14ac:dyDescent="0.2">
      <c r="A84" s="69"/>
      <c r="B84" s="70" t="s">
        <v>128</v>
      </c>
      <c r="C84" s="69"/>
      <c r="D84" s="69"/>
      <c r="E84" s="69"/>
      <c r="F84" s="64"/>
    </row>
    <row r="85" spans="1:6" ht="20" x14ac:dyDescent="0.2">
      <c r="A85" s="69"/>
      <c r="B85" s="70" t="s">
        <v>177</v>
      </c>
      <c r="C85" s="69"/>
      <c r="D85" s="69" t="s">
        <v>73</v>
      </c>
      <c r="E85" s="69"/>
      <c r="F85" s="64"/>
    </row>
    <row r="86" spans="1:6" x14ac:dyDescent="0.2">
      <c r="A86" s="69"/>
      <c r="B86" s="70" t="s">
        <v>148</v>
      </c>
      <c r="C86" s="69"/>
      <c r="D86" s="69"/>
      <c r="E86" s="69"/>
      <c r="F86" s="64"/>
    </row>
    <row r="87" spans="1:6" ht="30" x14ac:dyDescent="0.2">
      <c r="A87" s="69" t="s">
        <v>178</v>
      </c>
      <c r="B87" s="70" t="s">
        <v>179</v>
      </c>
      <c r="C87" s="73">
        <v>1</v>
      </c>
      <c r="D87" s="69" t="s">
        <v>77</v>
      </c>
      <c r="E87" s="74"/>
      <c r="F87" s="75">
        <f>C87*E87</f>
        <v>0</v>
      </c>
    </row>
    <row r="88" spans="1:6" x14ac:dyDescent="0.2">
      <c r="A88" s="69" t="s">
        <v>180</v>
      </c>
      <c r="B88" s="70" t="s">
        <v>181</v>
      </c>
      <c r="C88" s="73">
        <v>13</v>
      </c>
      <c r="D88" s="69" t="s">
        <v>77</v>
      </c>
      <c r="E88" s="74"/>
      <c r="F88" s="75">
        <f>C88*E88</f>
        <v>0</v>
      </c>
    </row>
    <row r="89" spans="1:6" ht="20" x14ac:dyDescent="0.2">
      <c r="A89" s="69" t="s">
        <v>182</v>
      </c>
      <c r="B89" s="70" t="s">
        <v>183</v>
      </c>
      <c r="C89" s="73">
        <v>1</v>
      </c>
      <c r="D89" s="69" t="s">
        <v>77</v>
      </c>
      <c r="E89" s="74"/>
      <c r="F89" s="75">
        <f>C89*E89</f>
        <v>0</v>
      </c>
    </row>
    <row r="90" spans="1:6" ht="13" x14ac:dyDescent="0.2">
      <c r="A90" s="64"/>
      <c r="B90" s="67" t="s">
        <v>184</v>
      </c>
      <c r="C90" s="76"/>
      <c r="D90" s="66"/>
      <c r="E90" s="76"/>
      <c r="F90" s="77">
        <f>SUM(F86:F89)</f>
        <v>0</v>
      </c>
    </row>
    <row r="91" spans="1:6" x14ac:dyDescent="0.2">
      <c r="A91" s="64"/>
      <c r="B91" s="65"/>
      <c r="C91" s="64"/>
      <c r="D91" s="64"/>
      <c r="E91" s="64"/>
      <c r="F91" s="64"/>
    </row>
    <row r="92" spans="1:6" ht="10.5" x14ac:dyDescent="0.2">
      <c r="A92" s="71" t="s">
        <v>185</v>
      </c>
      <c r="B92" s="72" t="s">
        <v>186</v>
      </c>
      <c r="C92" s="64"/>
      <c r="D92" s="64"/>
      <c r="E92" s="64"/>
      <c r="F92" s="64"/>
    </row>
    <row r="93" spans="1:6" x14ac:dyDescent="0.2">
      <c r="A93" s="69"/>
      <c r="B93" s="70" t="s">
        <v>187</v>
      </c>
      <c r="C93" s="69"/>
      <c r="D93" s="69"/>
      <c r="E93" s="69"/>
      <c r="F93" s="64"/>
    </row>
    <row r="94" spans="1:6" x14ac:dyDescent="0.2">
      <c r="A94" s="69"/>
      <c r="B94" s="70" t="s">
        <v>71</v>
      </c>
      <c r="C94" s="69"/>
      <c r="D94" s="69"/>
      <c r="E94" s="69"/>
      <c r="F94" s="64"/>
    </row>
    <row r="95" spans="1:6" ht="20" x14ac:dyDescent="0.2">
      <c r="A95" s="69"/>
      <c r="B95" s="70" t="s">
        <v>188</v>
      </c>
      <c r="C95" s="69"/>
      <c r="D95" s="69" t="s">
        <v>73</v>
      </c>
      <c r="E95" s="69"/>
      <c r="F95" s="64"/>
    </row>
    <row r="96" spans="1:6" ht="20" x14ac:dyDescent="0.2">
      <c r="A96" s="69"/>
      <c r="B96" s="70" t="s">
        <v>189</v>
      </c>
      <c r="C96" s="69"/>
      <c r="D96" s="69" t="s">
        <v>73</v>
      </c>
      <c r="E96" s="69"/>
      <c r="F96" s="64"/>
    </row>
    <row r="97" spans="1:6" ht="30" x14ac:dyDescent="0.2">
      <c r="A97" s="69"/>
      <c r="B97" s="70" t="s">
        <v>190</v>
      </c>
      <c r="C97" s="69"/>
      <c r="D97" s="69" t="s">
        <v>73</v>
      </c>
      <c r="E97" s="69"/>
      <c r="F97" s="64"/>
    </row>
    <row r="98" spans="1:6" ht="20" x14ac:dyDescent="0.2">
      <c r="A98" s="69"/>
      <c r="B98" s="70" t="s">
        <v>191</v>
      </c>
      <c r="C98" s="69"/>
      <c r="D98" s="69" t="s">
        <v>73</v>
      </c>
      <c r="E98" s="69"/>
      <c r="F98" s="64"/>
    </row>
    <row r="99" spans="1:6" x14ac:dyDescent="0.2">
      <c r="A99" s="69"/>
      <c r="B99" s="70" t="s">
        <v>192</v>
      </c>
      <c r="C99" s="69"/>
      <c r="D99" s="69"/>
      <c r="E99" s="69"/>
      <c r="F99" s="64"/>
    </row>
    <row r="100" spans="1:6" ht="30" x14ac:dyDescent="0.2">
      <c r="A100" s="69" t="s">
        <v>193</v>
      </c>
      <c r="B100" s="70" t="s">
        <v>194</v>
      </c>
      <c r="C100" s="73">
        <v>9.64</v>
      </c>
      <c r="D100" s="69" t="s">
        <v>86</v>
      </c>
      <c r="E100" s="74"/>
      <c r="F100" s="75">
        <f>C100*E100</f>
        <v>0</v>
      </c>
    </row>
    <row r="101" spans="1:6" x14ac:dyDescent="0.2">
      <c r="A101" s="69"/>
      <c r="B101" s="70" t="s">
        <v>195</v>
      </c>
      <c r="C101" s="69"/>
      <c r="D101" s="69"/>
      <c r="E101" s="69"/>
      <c r="F101" s="64"/>
    </row>
    <row r="102" spans="1:6" ht="30" x14ac:dyDescent="0.2">
      <c r="A102" s="69" t="s">
        <v>196</v>
      </c>
      <c r="B102" s="70" t="s">
        <v>197</v>
      </c>
      <c r="C102" s="73">
        <v>4.2</v>
      </c>
      <c r="D102" s="69" t="s">
        <v>86</v>
      </c>
      <c r="E102" s="74"/>
      <c r="F102" s="75">
        <f>C102*E102</f>
        <v>0</v>
      </c>
    </row>
    <row r="103" spans="1:6" x14ac:dyDescent="0.2">
      <c r="A103" s="69"/>
      <c r="B103" s="70" t="s">
        <v>198</v>
      </c>
      <c r="C103" s="69"/>
      <c r="D103" s="69"/>
      <c r="E103" s="69"/>
      <c r="F103" s="64"/>
    </row>
    <row r="104" spans="1:6" ht="20" x14ac:dyDescent="0.2">
      <c r="A104" s="69" t="s">
        <v>199</v>
      </c>
      <c r="B104" s="70" t="s">
        <v>200</v>
      </c>
      <c r="C104" s="73">
        <v>5.96</v>
      </c>
      <c r="D104" s="69" t="s">
        <v>86</v>
      </c>
      <c r="E104" s="74"/>
      <c r="F104" s="75">
        <f>C104*E104</f>
        <v>0</v>
      </c>
    </row>
    <row r="105" spans="1:6" ht="20" x14ac:dyDescent="0.2">
      <c r="A105" s="69" t="s">
        <v>201</v>
      </c>
      <c r="B105" s="70" t="s">
        <v>202</v>
      </c>
      <c r="C105" s="73">
        <v>1.48</v>
      </c>
      <c r="D105" s="69" t="s">
        <v>86</v>
      </c>
      <c r="E105" s="74"/>
      <c r="F105" s="75">
        <f>C105*E105</f>
        <v>0</v>
      </c>
    </row>
    <row r="106" spans="1:6" x14ac:dyDescent="0.2">
      <c r="A106" s="69"/>
      <c r="B106" s="70" t="s">
        <v>203</v>
      </c>
      <c r="C106" s="69"/>
      <c r="D106" s="69"/>
      <c r="E106" s="69"/>
      <c r="F106" s="64"/>
    </row>
    <row r="107" spans="1:6" ht="20" x14ac:dyDescent="0.2">
      <c r="A107" s="69" t="s">
        <v>204</v>
      </c>
      <c r="B107" s="70" t="s">
        <v>205</v>
      </c>
      <c r="C107" s="73">
        <v>2.68</v>
      </c>
      <c r="D107" s="69" t="s">
        <v>86</v>
      </c>
      <c r="E107" s="74"/>
      <c r="F107" s="75">
        <f>C107*E107</f>
        <v>0</v>
      </c>
    </row>
    <row r="108" spans="1:6" x14ac:dyDescent="0.2">
      <c r="A108" s="69"/>
      <c r="B108" s="70" t="s">
        <v>206</v>
      </c>
      <c r="C108" s="69"/>
      <c r="D108" s="69"/>
      <c r="E108" s="69"/>
      <c r="F108" s="64"/>
    </row>
    <row r="109" spans="1:6" ht="20" x14ac:dyDescent="0.2">
      <c r="A109" s="69" t="s">
        <v>207</v>
      </c>
      <c r="B109" s="70" t="s">
        <v>208</v>
      </c>
      <c r="C109" s="73">
        <v>1.83</v>
      </c>
      <c r="D109" s="69" t="s">
        <v>86</v>
      </c>
      <c r="E109" s="74"/>
      <c r="F109" s="75">
        <f>C109*E109</f>
        <v>0</v>
      </c>
    </row>
    <row r="110" spans="1:6" x14ac:dyDescent="0.2">
      <c r="A110" s="69"/>
      <c r="B110" s="70" t="s">
        <v>209</v>
      </c>
      <c r="C110" s="69"/>
      <c r="D110" s="69"/>
      <c r="E110" s="69"/>
      <c r="F110" s="64"/>
    </row>
    <row r="111" spans="1:6" x14ac:dyDescent="0.2">
      <c r="A111" s="69" t="s">
        <v>210</v>
      </c>
      <c r="B111" s="70" t="s">
        <v>211</v>
      </c>
      <c r="C111" s="73">
        <v>2</v>
      </c>
      <c r="D111" s="69" t="s">
        <v>77</v>
      </c>
      <c r="E111" s="74"/>
      <c r="F111" s="75">
        <f>C111*E111</f>
        <v>0</v>
      </c>
    </row>
    <row r="112" spans="1:6" x14ac:dyDescent="0.2">
      <c r="A112" s="69" t="s">
        <v>212</v>
      </c>
      <c r="B112" s="70" t="s">
        <v>213</v>
      </c>
      <c r="C112" s="73">
        <v>2</v>
      </c>
      <c r="D112" s="69" t="s">
        <v>77</v>
      </c>
      <c r="E112" s="74"/>
      <c r="F112" s="75">
        <f>C112*E112</f>
        <v>0</v>
      </c>
    </row>
    <row r="113" spans="1:6" x14ac:dyDescent="0.2">
      <c r="A113" s="69"/>
      <c r="B113" s="70" t="s">
        <v>214</v>
      </c>
      <c r="C113" s="69"/>
      <c r="D113" s="69"/>
      <c r="E113" s="69"/>
      <c r="F113" s="64"/>
    </row>
    <row r="114" spans="1:6" x14ac:dyDescent="0.2">
      <c r="A114" s="69" t="s">
        <v>215</v>
      </c>
      <c r="B114" s="70" t="s">
        <v>216</v>
      </c>
      <c r="C114" s="73">
        <v>2</v>
      </c>
      <c r="D114" s="69" t="s">
        <v>77</v>
      </c>
      <c r="E114" s="74"/>
      <c r="F114" s="75">
        <f>C114*E114</f>
        <v>0</v>
      </c>
    </row>
    <row r="115" spans="1:6" x14ac:dyDescent="0.2">
      <c r="A115" s="69" t="s">
        <v>217</v>
      </c>
      <c r="B115" s="70" t="s">
        <v>218</v>
      </c>
      <c r="C115" s="73">
        <v>2</v>
      </c>
      <c r="D115" s="69" t="s">
        <v>77</v>
      </c>
      <c r="E115" s="74"/>
      <c r="F115" s="75">
        <f>C115*E115</f>
        <v>0</v>
      </c>
    </row>
    <row r="116" spans="1:6" ht="13" x14ac:dyDescent="0.2">
      <c r="A116" s="64"/>
      <c r="B116" s="67" t="s">
        <v>219</v>
      </c>
      <c r="C116" s="76"/>
      <c r="D116" s="66"/>
      <c r="E116" s="76"/>
      <c r="F116" s="77">
        <f>SUM(F112:F115)</f>
        <v>0</v>
      </c>
    </row>
    <row r="117" spans="1:6" x14ac:dyDescent="0.2">
      <c r="A117" s="64"/>
      <c r="B117" s="65"/>
      <c r="C117" s="64"/>
      <c r="D117" s="64"/>
      <c r="E117" s="64"/>
      <c r="F117" s="64"/>
    </row>
    <row r="118" spans="1:6" ht="10.5" x14ac:dyDescent="0.2">
      <c r="A118" s="71" t="s">
        <v>220</v>
      </c>
      <c r="B118" s="72" t="s">
        <v>221</v>
      </c>
      <c r="C118" s="64"/>
      <c r="D118" s="64"/>
      <c r="E118" s="64"/>
      <c r="F118" s="64"/>
    </row>
    <row r="119" spans="1:6" x14ac:dyDescent="0.2">
      <c r="A119" s="69"/>
      <c r="B119" s="70" t="s">
        <v>222</v>
      </c>
      <c r="C119" s="69"/>
      <c r="D119" s="69"/>
      <c r="E119" s="69"/>
      <c r="F119" s="64"/>
    </row>
    <row r="120" spans="1:6" x14ac:dyDescent="0.2">
      <c r="A120" s="69"/>
      <c r="B120" s="70" t="s">
        <v>192</v>
      </c>
      <c r="C120" s="69"/>
      <c r="D120" s="69"/>
      <c r="E120" s="69"/>
      <c r="F120" s="64"/>
    </row>
    <row r="121" spans="1:6" x14ac:dyDescent="0.2">
      <c r="A121" s="69" t="s">
        <v>223</v>
      </c>
      <c r="B121" s="70" t="s">
        <v>224</v>
      </c>
      <c r="C121" s="73">
        <v>1</v>
      </c>
      <c r="D121" s="69" t="s">
        <v>77</v>
      </c>
      <c r="E121" s="74"/>
      <c r="F121" s="75">
        <f>C121*E121</f>
        <v>0</v>
      </c>
    </row>
    <row r="122" spans="1:6" x14ac:dyDescent="0.2">
      <c r="A122" s="69" t="s">
        <v>225</v>
      </c>
      <c r="B122" s="70" t="s">
        <v>226</v>
      </c>
      <c r="C122" s="69"/>
      <c r="D122" s="69"/>
      <c r="E122" s="69"/>
      <c r="F122" s="69" t="s">
        <v>227</v>
      </c>
    </row>
    <row r="123" spans="1:6" x14ac:dyDescent="0.2">
      <c r="A123" s="69" t="s">
        <v>228</v>
      </c>
      <c r="B123" s="70" t="s">
        <v>229</v>
      </c>
      <c r="C123" s="73">
        <v>1</v>
      </c>
      <c r="D123" s="69" t="s">
        <v>77</v>
      </c>
      <c r="E123" s="74"/>
      <c r="F123" s="75">
        <f>C123*E123</f>
        <v>0</v>
      </c>
    </row>
    <row r="124" spans="1:6" x14ac:dyDescent="0.2">
      <c r="A124" s="69" t="s">
        <v>230</v>
      </c>
      <c r="B124" s="70" t="s">
        <v>231</v>
      </c>
      <c r="C124" s="73">
        <v>1</v>
      </c>
      <c r="D124" s="69" t="s">
        <v>77</v>
      </c>
      <c r="E124" s="74"/>
      <c r="F124" s="75">
        <f>C124*E124</f>
        <v>0</v>
      </c>
    </row>
    <row r="125" spans="1:6" x14ac:dyDescent="0.2">
      <c r="A125" s="69" t="s">
        <v>232</v>
      </c>
      <c r="B125" s="70" t="s">
        <v>233</v>
      </c>
      <c r="C125" s="69"/>
      <c r="D125" s="69"/>
      <c r="E125" s="69"/>
      <c r="F125" s="69" t="s">
        <v>227</v>
      </c>
    </row>
    <row r="126" spans="1:6" x14ac:dyDescent="0.2">
      <c r="A126" s="69" t="s">
        <v>234</v>
      </c>
      <c r="B126" s="70" t="s">
        <v>235</v>
      </c>
      <c r="C126" s="69"/>
      <c r="D126" s="69"/>
      <c r="E126" s="69"/>
      <c r="F126" s="69" t="s">
        <v>227</v>
      </c>
    </row>
    <row r="127" spans="1:6" x14ac:dyDescent="0.2">
      <c r="A127" s="69" t="s">
        <v>236</v>
      </c>
      <c r="B127" s="70" t="s">
        <v>237</v>
      </c>
      <c r="C127" s="69"/>
      <c r="D127" s="69"/>
      <c r="E127" s="69"/>
      <c r="F127" s="69" t="s">
        <v>227</v>
      </c>
    </row>
    <row r="128" spans="1:6" x14ac:dyDescent="0.2">
      <c r="A128" s="69" t="s">
        <v>238</v>
      </c>
      <c r="B128" s="70" t="s">
        <v>239</v>
      </c>
      <c r="C128" s="69"/>
      <c r="D128" s="69"/>
      <c r="E128" s="69"/>
      <c r="F128" s="69" t="s">
        <v>227</v>
      </c>
    </row>
    <row r="129" spans="1:6" x14ac:dyDescent="0.2">
      <c r="A129" s="69" t="s">
        <v>240</v>
      </c>
      <c r="B129" s="70" t="s">
        <v>241</v>
      </c>
      <c r="C129" s="73">
        <v>1</v>
      </c>
      <c r="D129" s="69" t="s">
        <v>77</v>
      </c>
      <c r="E129" s="74"/>
      <c r="F129" s="75">
        <f>C129*E129</f>
        <v>0</v>
      </c>
    </row>
    <row r="130" spans="1:6" x14ac:dyDescent="0.2">
      <c r="A130" s="69"/>
      <c r="B130" s="70" t="s">
        <v>195</v>
      </c>
      <c r="C130" s="69"/>
      <c r="D130" s="69"/>
      <c r="E130" s="69"/>
      <c r="F130" s="64"/>
    </row>
    <row r="131" spans="1:6" x14ac:dyDescent="0.2">
      <c r="A131" s="69" t="s">
        <v>242</v>
      </c>
      <c r="B131" s="70" t="s">
        <v>243</v>
      </c>
      <c r="C131" s="69"/>
      <c r="D131" s="69"/>
      <c r="E131" s="69"/>
      <c r="F131" s="69" t="s">
        <v>227</v>
      </c>
    </row>
    <row r="132" spans="1:6" x14ac:dyDescent="0.2">
      <c r="A132" s="69" t="s">
        <v>244</v>
      </c>
      <c r="B132" s="70" t="s">
        <v>245</v>
      </c>
      <c r="C132" s="73">
        <v>1</v>
      </c>
      <c r="D132" s="69" t="s">
        <v>77</v>
      </c>
      <c r="E132" s="74"/>
      <c r="F132" s="75">
        <f>C132*E132</f>
        <v>0</v>
      </c>
    </row>
    <row r="133" spans="1:6" x14ac:dyDescent="0.2">
      <c r="A133" s="69" t="s">
        <v>246</v>
      </c>
      <c r="B133" s="70" t="s">
        <v>247</v>
      </c>
      <c r="C133" s="73">
        <v>1</v>
      </c>
      <c r="D133" s="69" t="s">
        <v>77</v>
      </c>
      <c r="E133" s="74"/>
      <c r="F133" s="75">
        <f>C133*E133</f>
        <v>0</v>
      </c>
    </row>
    <row r="134" spans="1:6" x14ac:dyDescent="0.2">
      <c r="A134" s="69" t="s">
        <v>248</v>
      </c>
      <c r="B134" s="70" t="s">
        <v>249</v>
      </c>
      <c r="C134" s="73">
        <v>1</v>
      </c>
      <c r="D134" s="69" t="s">
        <v>77</v>
      </c>
      <c r="E134" s="74"/>
      <c r="F134" s="75">
        <f>C134*E134</f>
        <v>0</v>
      </c>
    </row>
    <row r="135" spans="1:6" x14ac:dyDescent="0.2">
      <c r="A135" s="69"/>
      <c r="B135" s="70" t="s">
        <v>250</v>
      </c>
      <c r="C135" s="69"/>
      <c r="D135" s="69"/>
      <c r="E135" s="69"/>
      <c r="F135" s="64"/>
    </row>
    <row r="136" spans="1:6" x14ac:dyDescent="0.2">
      <c r="A136" s="69" t="s">
        <v>251</v>
      </c>
      <c r="B136" s="70" t="s">
        <v>252</v>
      </c>
      <c r="C136" s="73">
        <v>1</v>
      </c>
      <c r="D136" s="69" t="s">
        <v>77</v>
      </c>
      <c r="E136" s="74"/>
      <c r="F136" s="75">
        <f>C136*E136</f>
        <v>0</v>
      </c>
    </row>
    <row r="137" spans="1:6" x14ac:dyDescent="0.2">
      <c r="A137" s="69" t="s">
        <v>253</v>
      </c>
      <c r="B137" s="70" t="s">
        <v>254</v>
      </c>
      <c r="C137" s="73">
        <v>1</v>
      </c>
      <c r="D137" s="69" t="s">
        <v>77</v>
      </c>
      <c r="E137" s="74"/>
      <c r="F137" s="75">
        <f>C137*E137</f>
        <v>0</v>
      </c>
    </row>
    <row r="138" spans="1:6" x14ac:dyDescent="0.2">
      <c r="A138" s="69" t="s">
        <v>255</v>
      </c>
      <c r="B138" s="70" t="s">
        <v>256</v>
      </c>
      <c r="C138" s="73">
        <v>1</v>
      </c>
      <c r="D138" s="69" t="s">
        <v>77</v>
      </c>
      <c r="E138" s="74"/>
      <c r="F138" s="75">
        <f>C138*E138</f>
        <v>0</v>
      </c>
    </row>
    <row r="139" spans="1:6" x14ac:dyDescent="0.2">
      <c r="A139" s="69" t="s">
        <v>257</v>
      </c>
      <c r="B139" s="70" t="s">
        <v>258</v>
      </c>
      <c r="C139" s="73">
        <v>1</v>
      </c>
      <c r="D139" s="69" t="s">
        <v>77</v>
      </c>
      <c r="E139" s="74"/>
      <c r="F139" s="75">
        <f>C139*E139</f>
        <v>0</v>
      </c>
    </row>
    <row r="140" spans="1:6" x14ac:dyDescent="0.2">
      <c r="A140" s="69" t="s">
        <v>259</v>
      </c>
      <c r="B140" s="70" t="s">
        <v>260</v>
      </c>
      <c r="C140" s="73">
        <v>1</v>
      </c>
      <c r="D140" s="69" t="s">
        <v>77</v>
      </c>
      <c r="E140" s="74"/>
      <c r="F140" s="75">
        <f>C140*E140</f>
        <v>0</v>
      </c>
    </row>
    <row r="141" spans="1:6" x14ac:dyDescent="0.2">
      <c r="A141" s="69"/>
      <c r="B141" s="70" t="s">
        <v>261</v>
      </c>
      <c r="C141" s="69"/>
      <c r="D141" s="69"/>
      <c r="E141" s="69"/>
      <c r="F141" s="64"/>
    </row>
    <row r="142" spans="1:6" x14ac:dyDescent="0.2">
      <c r="A142" s="69" t="s">
        <v>262</v>
      </c>
      <c r="B142" s="70" t="s">
        <v>263</v>
      </c>
      <c r="C142" s="73">
        <v>2</v>
      </c>
      <c r="D142" s="69" t="s">
        <v>77</v>
      </c>
      <c r="E142" s="74"/>
      <c r="F142" s="75">
        <f t="shared" ref="F142:F155" si="1">C142*E142</f>
        <v>0</v>
      </c>
    </row>
    <row r="143" spans="1:6" x14ac:dyDescent="0.2">
      <c r="A143" s="69" t="s">
        <v>264</v>
      </c>
      <c r="B143" s="70" t="s">
        <v>252</v>
      </c>
      <c r="C143" s="73">
        <v>1</v>
      </c>
      <c r="D143" s="69" t="s">
        <v>77</v>
      </c>
      <c r="E143" s="74"/>
      <c r="F143" s="75">
        <f t="shared" si="1"/>
        <v>0</v>
      </c>
    </row>
    <row r="144" spans="1:6" x14ac:dyDescent="0.2">
      <c r="A144" s="69" t="s">
        <v>265</v>
      </c>
      <c r="B144" s="70" t="s">
        <v>254</v>
      </c>
      <c r="C144" s="73">
        <v>3</v>
      </c>
      <c r="D144" s="69" t="s">
        <v>77</v>
      </c>
      <c r="E144" s="74"/>
      <c r="F144" s="75">
        <f t="shared" si="1"/>
        <v>0</v>
      </c>
    </row>
    <row r="145" spans="1:6" x14ac:dyDescent="0.2">
      <c r="A145" s="69" t="s">
        <v>266</v>
      </c>
      <c r="B145" s="70" t="s">
        <v>267</v>
      </c>
      <c r="C145" s="73">
        <v>1</v>
      </c>
      <c r="D145" s="69" t="s">
        <v>77</v>
      </c>
      <c r="E145" s="74"/>
      <c r="F145" s="75">
        <f t="shared" si="1"/>
        <v>0</v>
      </c>
    </row>
    <row r="146" spans="1:6" x14ac:dyDescent="0.2">
      <c r="A146" s="69" t="s">
        <v>268</v>
      </c>
      <c r="B146" s="70" t="s">
        <v>269</v>
      </c>
      <c r="C146" s="73">
        <v>2</v>
      </c>
      <c r="D146" s="69" t="s">
        <v>77</v>
      </c>
      <c r="E146" s="74"/>
      <c r="F146" s="75">
        <f t="shared" si="1"/>
        <v>0</v>
      </c>
    </row>
    <row r="147" spans="1:6" x14ac:dyDescent="0.2">
      <c r="A147" s="69" t="s">
        <v>270</v>
      </c>
      <c r="B147" s="70" t="s">
        <v>256</v>
      </c>
      <c r="C147" s="73">
        <v>3</v>
      </c>
      <c r="D147" s="69" t="s">
        <v>77</v>
      </c>
      <c r="E147" s="74"/>
      <c r="F147" s="75">
        <f t="shared" si="1"/>
        <v>0</v>
      </c>
    </row>
    <row r="148" spans="1:6" x14ac:dyDescent="0.2">
      <c r="A148" s="69" t="s">
        <v>271</v>
      </c>
      <c r="B148" s="70" t="s">
        <v>272</v>
      </c>
      <c r="C148" s="73">
        <v>4</v>
      </c>
      <c r="D148" s="69" t="s">
        <v>77</v>
      </c>
      <c r="E148" s="74"/>
      <c r="F148" s="75">
        <f t="shared" si="1"/>
        <v>0</v>
      </c>
    </row>
    <row r="149" spans="1:6" x14ac:dyDescent="0.2">
      <c r="A149" s="69" t="s">
        <v>273</v>
      </c>
      <c r="B149" s="70" t="s">
        <v>274</v>
      </c>
      <c r="C149" s="73">
        <v>2</v>
      </c>
      <c r="D149" s="69" t="s">
        <v>77</v>
      </c>
      <c r="E149" s="74"/>
      <c r="F149" s="75">
        <f t="shared" si="1"/>
        <v>0</v>
      </c>
    </row>
    <row r="150" spans="1:6" x14ac:dyDescent="0.2">
      <c r="A150" s="69" t="s">
        <v>275</v>
      </c>
      <c r="B150" s="70" t="s">
        <v>276</v>
      </c>
      <c r="C150" s="73">
        <v>2</v>
      </c>
      <c r="D150" s="69" t="s">
        <v>77</v>
      </c>
      <c r="E150" s="74"/>
      <c r="F150" s="75">
        <f t="shared" si="1"/>
        <v>0</v>
      </c>
    </row>
    <row r="151" spans="1:6" x14ac:dyDescent="0.2">
      <c r="A151" s="69" t="s">
        <v>277</v>
      </c>
      <c r="B151" s="70" t="s">
        <v>278</v>
      </c>
      <c r="C151" s="73">
        <v>2</v>
      </c>
      <c r="D151" s="69" t="s">
        <v>77</v>
      </c>
      <c r="E151" s="74"/>
      <c r="F151" s="75">
        <f t="shared" si="1"/>
        <v>0</v>
      </c>
    </row>
    <row r="152" spans="1:6" x14ac:dyDescent="0.2">
      <c r="A152" s="69" t="s">
        <v>279</v>
      </c>
      <c r="B152" s="70" t="s">
        <v>258</v>
      </c>
      <c r="C152" s="73">
        <v>1</v>
      </c>
      <c r="D152" s="69" t="s">
        <v>77</v>
      </c>
      <c r="E152" s="74"/>
      <c r="F152" s="75">
        <f t="shared" si="1"/>
        <v>0</v>
      </c>
    </row>
    <row r="153" spans="1:6" x14ac:dyDescent="0.2">
      <c r="A153" s="69" t="s">
        <v>280</v>
      </c>
      <c r="B153" s="70" t="s">
        <v>260</v>
      </c>
      <c r="C153" s="73">
        <v>1</v>
      </c>
      <c r="D153" s="69" t="s">
        <v>77</v>
      </c>
      <c r="E153" s="74"/>
      <c r="F153" s="75">
        <f t="shared" si="1"/>
        <v>0</v>
      </c>
    </row>
    <row r="154" spans="1:6" x14ac:dyDescent="0.2">
      <c r="A154" s="69" t="s">
        <v>281</v>
      </c>
      <c r="B154" s="70" t="s">
        <v>282</v>
      </c>
      <c r="C154" s="73">
        <v>1</v>
      </c>
      <c r="D154" s="69" t="s">
        <v>77</v>
      </c>
      <c r="E154" s="74"/>
      <c r="F154" s="75">
        <f t="shared" si="1"/>
        <v>0</v>
      </c>
    </row>
    <row r="155" spans="1:6" x14ac:dyDescent="0.2">
      <c r="A155" s="69" t="s">
        <v>283</v>
      </c>
      <c r="B155" s="70" t="s">
        <v>284</v>
      </c>
      <c r="C155" s="73">
        <v>1</v>
      </c>
      <c r="D155" s="69" t="s">
        <v>77</v>
      </c>
      <c r="E155" s="74"/>
      <c r="F155" s="75">
        <f t="shared" si="1"/>
        <v>0</v>
      </c>
    </row>
    <row r="156" spans="1:6" x14ac:dyDescent="0.2">
      <c r="A156" s="69"/>
      <c r="B156" s="70" t="s">
        <v>285</v>
      </c>
      <c r="C156" s="69"/>
      <c r="D156" s="69"/>
      <c r="E156" s="69"/>
      <c r="F156" s="64"/>
    </row>
    <row r="157" spans="1:6" ht="30" x14ac:dyDescent="0.2">
      <c r="A157" s="69" t="s">
        <v>286</v>
      </c>
      <c r="B157" s="70" t="s">
        <v>287</v>
      </c>
      <c r="C157" s="73">
        <v>6.58</v>
      </c>
      <c r="D157" s="69" t="s">
        <v>86</v>
      </c>
      <c r="E157" s="74"/>
      <c r="F157" s="75">
        <f>C157*E157</f>
        <v>0</v>
      </c>
    </row>
    <row r="158" spans="1:6" ht="13" x14ac:dyDescent="0.2">
      <c r="A158" s="64"/>
      <c r="B158" s="67" t="s">
        <v>288</v>
      </c>
      <c r="C158" s="76"/>
      <c r="D158" s="66"/>
      <c r="E158" s="76"/>
      <c r="F158" s="77">
        <f>SUM(F121:F157)</f>
        <v>0</v>
      </c>
    </row>
    <row r="159" spans="1:6" x14ac:dyDescent="0.2">
      <c r="A159" s="64"/>
      <c r="B159" s="65"/>
      <c r="C159" s="64"/>
      <c r="D159" s="64"/>
      <c r="E159" s="64"/>
      <c r="F159" s="64"/>
    </row>
    <row r="160" spans="1:6" ht="10.5" x14ac:dyDescent="0.2">
      <c r="A160" s="71" t="s">
        <v>289</v>
      </c>
      <c r="B160" s="72" t="s">
        <v>290</v>
      </c>
      <c r="C160" s="64"/>
      <c r="D160" s="64"/>
      <c r="E160" s="64"/>
      <c r="F160" s="64"/>
    </row>
    <row r="161" spans="1:6" x14ac:dyDescent="0.2">
      <c r="A161" s="69"/>
      <c r="B161" s="70" t="s">
        <v>128</v>
      </c>
      <c r="C161" s="69"/>
      <c r="D161" s="69"/>
      <c r="E161" s="69"/>
      <c r="F161" s="64"/>
    </row>
    <row r="162" spans="1:6" x14ac:dyDescent="0.2">
      <c r="A162" s="69"/>
      <c r="B162" s="70" t="s">
        <v>291</v>
      </c>
      <c r="C162" s="69"/>
      <c r="D162" s="69" t="s">
        <v>73</v>
      </c>
      <c r="E162" s="69"/>
      <c r="F162" s="64"/>
    </row>
    <row r="163" spans="1:6" ht="20" x14ac:dyDescent="0.2">
      <c r="A163" s="69"/>
      <c r="B163" s="70" t="s">
        <v>292</v>
      </c>
      <c r="C163" s="69"/>
      <c r="D163" s="69" t="s">
        <v>73</v>
      </c>
      <c r="E163" s="69"/>
      <c r="F163" s="64"/>
    </row>
    <row r="164" spans="1:6" x14ac:dyDescent="0.2">
      <c r="A164" s="69"/>
      <c r="B164" s="70" t="s">
        <v>293</v>
      </c>
      <c r="C164" s="69"/>
      <c r="D164" s="69"/>
      <c r="E164" s="69"/>
      <c r="F164" s="64"/>
    </row>
    <row r="165" spans="1:6" ht="30" x14ac:dyDescent="0.2">
      <c r="A165" s="69" t="s">
        <v>294</v>
      </c>
      <c r="B165" s="70" t="s">
        <v>295</v>
      </c>
      <c r="C165" s="73">
        <v>62</v>
      </c>
      <c r="D165" s="69" t="s">
        <v>89</v>
      </c>
      <c r="E165" s="74"/>
      <c r="F165" s="75">
        <f>C165*E165</f>
        <v>0</v>
      </c>
    </row>
    <row r="166" spans="1:6" ht="30" x14ac:dyDescent="0.2">
      <c r="A166" s="69" t="s">
        <v>296</v>
      </c>
      <c r="B166" s="70" t="s">
        <v>297</v>
      </c>
      <c r="C166" s="73">
        <v>5</v>
      </c>
      <c r="D166" s="69" t="s">
        <v>86</v>
      </c>
      <c r="E166" s="74"/>
      <c r="F166" s="75">
        <f>C166*E166</f>
        <v>0</v>
      </c>
    </row>
    <row r="167" spans="1:6" x14ac:dyDescent="0.2">
      <c r="A167" s="69"/>
      <c r="B167" s="70" t="s">
        <v>298</v>
      </c>
      <c r="C167" s="69"/>
      <c r="D167" s="69"/>
      <c r="E167" s="69"/>
      <c r="F167" s="64"/>
    </row>
    <row r="168" spans="1:6" ht="20" x14ac:dyDescent="0.2">
      <c r="A168" s="69" t="s">
        <v>299</v>
      </c>
      <c r="B168" s="70" t="s">
        <v>300</v>
      </c>
      <c r="C168" s="73">
        <v>4</v>
      </c>
      <c r="D168" s="69" t="s">
        <v>89</v>
      </c>
      <c r="E168" s="74"/>
      <c r="F168" s="75">
        <f>C168*E168</f>
        <v>0</v>
      </c>
    </row>
    <row r="169" spans="1:6" ht="13" x14ac:dyDescent="0.2">
      <c r="A169" s="64"/>
      <c r="B169" s="67" t="s">
        <v>301</v>
      </c>
      <c r="C169" s="76"/>
      <c r="D169" s="66"/>
      <c r="E169" s="76"/>
      <c r="F169" s="77">
        <f>SUM(F164:F168)</f>
        <v>0</v>
      </c>
    </row>
    <row r="170" spans="1:6" x14ac:dyDescent="0.2">
      <c r="A170" s="64"/>
      <c r="B170" s="65"/>
      <c r="C170" s="64"/>
      <c r="D170" s="64"/>
      <c r="E170" s="64"/>
      <c r="F170" s="64"/>
    </row>
    <row r="171" spans="1:6" ht="10.5" x14ac:dyDescent="0.2">
      <c r="A171" s="71" t="s">
        <v>302</v>
      </c>
      <c r="B171" s="72" t="s">
        <v>303</v>
      </c>
      <c r="C171" s="64"/>
      <c r="D171" s="64"/>
      <c r="E171" s="64"/>
      <c r="F171" s="64"/>
    </row>
    <row r="172" spans="1:6" x14ac:dyDescent="0.2">
      <c r="A172" s="69"/>
      <c r="B172" s="70" t="s">
        <v>304</v>
      </c>
      <c r="C172" s="69"/>
      <c r="D172" s="69"/>
      <c r="E172" s="69"/>
      <c r="F172" s="64"/>
    </row>
    <row r="173" spans="1:6" x14ac:dyDescent="0.2">
      <c r="A173" s="69"/>
      <c r="B173" s="70" t="s">
        <v>128</v>
      </c>
      <c r="C173" s="69"/>
      <c r="D173" s="69"/>
      <c r="E173" s="69"/>
      <c r="F173" s="64"/>
    </row>
    <row r="174" spans="1:6" ht="30" x14ac:dyDescent="0.2">
      <c r="A174" s="69"/>
      <c r="B174" s="70" t="s">
        <v>305</v>
      </c>
      <c r="C174" s="69"/>
      <c r="D174" s="69" t="s">
        <v>73</v>
      </c>
      <c r="E174" s="69"/>
      <c r="F174" s="64"/>
    </row>
    <row r="175" spans="1:6" ht="30" x14ac:dyDescent="0.2">
      <c r="A175" s="69"/>
      <c r="B175" s="70" t="s">
        <v>306</v>
      </c>
      <c r="C175" s="69"/>
      <c r="D175" s="69" t="s">
        <v>73</v>
      </c>
      <c r="E175" s="69"/>
      <c r="F175" s="64"/>
    </row>
    <row r="176" spans="1:6" ht="30" x14ac:dyDescent="0.2">
      <c r="A176" s="69"/>
      <c r="B176" s="70" t="s">
        <v>307</v>
      </c>
      <c r="C176" s="69"/>
      <c r="D176" s="69" t="s">
        <v>73</v>
      </c>
      <c r="E176" s="69"/>
      <c r="F176" s="64"/>
    </row>
    <row r="177" spans="1:6" ht="30" x14ac:dyDescent="0.2">
      <c r="A177" s="69"/>
      <c r="B177" s="70" t="s">
        <v>308</v>
      </c>
      <c r="C177" s="69"/>
      <c r="D177" s="69" t="s">
        <v>73</v>
      </c>
      <c r="E177" s="69"/>
      <c r="F177" s="64"/>
    </row>
    <row r="178" spans="1:6" ht="20" x14ac:dyDescent="0.2">
      <c r="A178" s="69"/>
      <c r="B178" s="70" t="s">
        <v>309</v>
      </c>
      <c r="C178" s="69"/>
      <c r="D178" s="69" t="s">
        <v>73</v>
      </c>
      <c r="E178" s="69"/>
      <c r="F178" s="64"/>
    </row>
    <row r="179" spans="1:6" x14ac:dyDescent="0.2">
      <c r="A179" s="69"/>
      <c r="B179" s="70" t="s">
        <v>310</v>
      </c>
      <c r="C179" s="69"/>
      <c r="D179" s="69"/>
      <c r="E179" s="69"/>
      <c r="F179" s="64"/>
    </row>
    <row r="180" spans="1:6" ht="30" x14ac:dyDescent="0.2">
      <c r="A180" s="69" t="s">
        <v>311</v>
      </c>
      <c r="B180" s="70" t="s">
        <v>312</v>
      </c>
      <c r="C180" s="73">
        <v>180</v>
      </c>
      <c r="D180" s="69" t="s">
        <v>89</v>
      </c>
      <c r="E180" s="73"/>
      <c r="F180" s="75">
        <f>C180*E180</f>
        <v>0</v>
      </c>
    </row>
    <row r="181" spans="1:6" ht="13" x14ac:dyDescent="0.2">
      <c r="A181" s="64"/>
      <c r="B181" s="67" t="s">
        <v>313</v>
      </c>
      <c r="C181" s="76"/>
      <c r="D181" s="66"/>
      <c r="E181" s="76"/>
      <c r="F181" s="77">
        <f>SUM(F179:F180)</f>
        <v>0</v>
      </c>
    </row>
    <row r="182" spans="1:6" x14ac:dyDescent="0.2">
      <c r="A182" s="64"/>
      <c r="B182" s="65"/>
      <c r="C182" s="64"/>
      <c r="D182" s="64"/>
      <c r="E182" s="64"/>
      <c r="F182" s="64"/>
    </row>
    <row r="183" spans="1:6" ht="10.5" x14ac:dyDescent="0.2">
      <c r="A183" s="71" t="s">
        <v>314</v>
      </c>
      <c r="B183" s="72" t="s">
        <v>315</v>
      </c>
      <c r="C183" s="64"/>
      <c r="D183" s="64"/>
      <c r="E183" s="64"/>
      <c r="F183" s="64"/>
    </row>
    <row r="184" spans="1:6" x14ac:dyDescent="0.2">
      <c r="A184" s="69"/>
      <c r="B184" s="70" t="s">
        <v>316</v>
      </c>
      <c r="C184" s="69"/>
      <c r="D184" s="69"/>
      <c r="E184" s="69"/>
      <c r="F184" s="64"/>
    </row>
    <row r="185" spans="1:6" x14ac:dyDescent="0.2">
      <c r="A185" s="69"/>
      <c r="B185" s="70" t="s">
        <v>71</v>
      </c>
      <c r="C185" s="69"/>
      <c r="D185" s="69"/>
      <c r="E185" s="69"/>
      <c r="F185" s="64"/>
    </row>
    <row r="186" spans="1:6" ht="30" x14ac:dyDescent="0.2">
      <c r="A186" s="69"/>
      <c r="B186" s="70" t="s">
        <v>317</v>
      </c>
      <c r="C186" s="69"/>
      <c r="D186" s="69" t="s">
        <v>73</v>
      </c>
      <c r="E186" s="69"/>
      <c r="F186" s="64"/>
    </row>
    <row r="187" spans="1:6" ht="40" x14ac:dyDescent="0.2">
      <c r="A187" s="69"/>
      <c r="B187" s="70" t="s">
        <v>318</v>
      </c>
      <c r="C187" s="69"/>
      <c r="D187" s="69" t="s">
        <v>73</v>
      </c>
      <c r="E187" s="69"/>
      <c r="F187" s="64"/>
    </row>
    <row r="188" spans="1:6" ht="50" x14ac:dyDescent="0.2">
      <c r="A188" s="69"/>
      <c r="B188" s="70" t="s">
        <v>319</v>
      </c>
      <c r="C188" s="69"/>
      <c r="D188" s="69" t="s">
        <v>73</v>
      </c>
      <c r="E188" s="69"/>
      <c r="F188" s="64"/>
    </row>
    <row r="189" spans="1:6" ht="40" x14ac:dyDescent="0.2">
      <c r="A189" s="69"/>
      <c r="B189" s="70" t="s">
        <v>320</v>
      </c>
      <c r="C189" s="69"/>
      <c r="D189" s="69" t="s">
        <v>73</v>
      </c>
      <c r="E189" s="69"/>
      <c r="F189" s="64"/>
    </row>
    <row r="190" spans="1:6" ht="40" x14ac:dyDescent="0.2">
      <c r="A190" s="69"/>
      <c r="B190" s="70" t="s">
        <v>321</v>
      </c>
      <c r="C190" s="69"/>
      <c r="D190" s="69" t="s">
        <v>73</v>
      </c>
      <c r="E190" s="69"/>
      <c r="F190" s="64"/>
    </row>
    <row r="191" spans="1:6" ht="40" x14ac:dyDescent="0.2">
      <c r="A191" s="69"/>
      <c r="B191" s="70" t="s">
        <v>322</v>
      </c>
      <c r="C191" s="69"/>
      <c r="D191" s="69" t="s">
        <v>73</v>
      </c>
      <c r="E191" s="69"/>
      <c r="F191" s="64"/>
    </row>
    <row r="192" spans="1:6" x14ac:dyDescent="0.2">
      <c r="A192" s="69"/>
      <c r="B192" s="70" t="s">
        <v>323</v>
      </c>
      <c r="C192" s="69"/>
      <c r="D192" s="69"/>
      <c r="E192" s="69"/>
      <c r="F192" s="64"/>
    </row>
    <row r="193" spans="1:6" ht="30" x14ac:dyDescent="0.2">
      <c r="A193" s="69" t="s">
        <v>324</v>
      </c>
      <c r="B193" s="70" t="s">
        <v>325</v>
      </c>
      <c r="C193" s="73">
        <v>180</v>
      </c>
      <c r="D193" s="69" t="s">
        <v>89</v>
      </c>
      <c r="E193" s="73"/>
      <c r="F193" s="75">
        <f>C193*E193</f>
        <v>0</v>
      </c>
    </row>
    <row r="194" spans="1:6" ht="13" x14ac:dyDescent="0.2">
      <c r="A194" s="64"/>
      <c r="B194" s="67" t="s">
        <v>326</v>
      </c>
      <c r="C194" s="76"/>
      <c r="D194" s="66"/>
      <c r="E194" s="76"/>
      <c r="F194" s="77">
        <f>SUM(F192:F193)</f>
        <v>0</v>
      </c>
    </row>
    <row r="195" spans="1:6" x14ac:dyDescent="0.2">
      <c r="A195" s="64"/>
      <c r="B195" s="65"/>
      <c r="C195" s="64"/>
      <c r="D195" s="64"/>
      <c r="E195" s="64"/>
      <c r="F195" s="64"/>
    </row>
    <row r="196" spans="1:6" ht="10.5" x14ac:dyDescent="0.2">
      <c r="A196" s="71" t="s">
        <v>327</v>
      </c>
      <c r="B196" s="72" t="s">
        <v>328</v>
      </c>
      <c r="C196" s="64"/>
      <c r="D196" s="64"/>
      <c r="E196" s="64"/>
      <c r="F196" s="64"/>
    </row>
    <row r="197" spans="1:6" x14ac:dyDescent="0.2">
      <c r="A197" s="69"/>
      <c r="B197" s="70" t="s">
        <v>329</v>
      </c>
      <c r="C197" s="69"/>
      <c r="D197" s="69"/>
      <c r="E197" s="69"/>
      <c r="F197" s="64"/>
    </row>
    <row r="198" spans="1:6" x14ac:dyDescent="0.2">
      <c r="A198" s="69"/>
      <c r="B198" s="70" t="s">
        <v>71</v>
      </c>
      <c r="C198" s="69"/>
      <c r="D198" s="69"/>
      <c r="E198" s="69"/>
      <c r="F198" s="64"/>
    </row>
    <row r="199" spans="1:6" ht="40" x14ac:dyDescent="0.2">
      <c r="A199" s="69"/>
      <c r="B199" s="70" t="s">
        <v>330</v>
      </c>
      <c r="C199" s="69"/>
      <c r="D199" s="69" t="s">
        <v>73</v>
      </c>
      <c r="E199" s="69"/>
      <c r="F199" s="64"/>
    </row>
    <row r="200" spans="1:6" ht="60" x14ac:dyDescent="0.2">
      <c r="A200" s="69"/>
      <c r="B200" s="70" t="s">
        <v>331</v>
      </c>
      <c r="C200" s="69"/>
      <c r="D200" s="69" t="s">
        <v>73</v>
      </c>
      <c r="E200" s="69"/>
      <c r="F200" s="64"/>
    </row>
    <row r="201" spans="1:6" ht="110" x14ac:dyDescent="0.2">
      <c r="A201" s="69"/>
      <c r="B201" s="70" t="s">
        <v>332</v>
      </c>
      <c r="C201" s="69"/>
      <c r="D201" s="69" t="s">
        <v>73</v>
      </c>
      <c r="E201" s="69"/>
      <c r="F201" s="64"/>
    </row>
    <row r="202" spans="1:6" ht="50" x14ac:dyDescent="0.2">
      <c r="A202" s="69"/>
      <c r="B202" s="70" t="s">
        <v>333</v>
      </c>
      <c r="C202" s="69"/>
      <c r="D202" s="69" t="s">
        <v>73</v>
      </c>
      <c r="E202" s="69"/>
      <c r="F202" s="64"/>
    </row>
    <row r="203" spans="1:6" ht="40" x14ac:dyDescent="0.2">
      <c r="A203" s="69"/>
      <c r="B203" s="70" t="s">
        <v>334</v>
      </c>
      <c r="C203" s="69"/>
      <c r="D203" s="69" t="s">
        <v>73</v>
      </c>
      <c r="E203" s="69"/>
      <c r="F203" s="64"/>
    </row>
    <row r="204" spans="1:6" ht="50" x14ac:dyDescent="0.2">
      <c r="A204" s="69"/>
      <c r="B204" s="70" t="s">
        <v>335</v>
      </c>
      <c r="C204" s="69"/>
      <c r="D204" s="69" t="s">
        <v>73</v>
      </c>
      <c r="E204" s="69"/>
      <c r="F204" s="64"/>
    </row>
    <row r="205" spans="1:6" ht="30" x14ac:dyDescent="0.2">
      <c r="A205" s="69"/>
      <c r="B205" s="70" t="s">
        <v>336</v>
      </c>
      <c r="C205" s="69"/>
      <c r="D205" s="69" t="s">
        <v>73</v>
      </c>
      <c r="E205" s="69"/>
      <c r="F205" s="64"/>
    </row>
    <row r="206" spans="1:6" ht="40" x14ac:dyDescent="0.2">
      <c r="A206" s="69"/>
      <c r="B206" s="70" t="s">
        <v>337</v>
      </c>
      <c r="C206" s="69"/>
      <c r="D206" s="69" t="s">
        <v>73</v>
      </c>
      <c r="E206" s="69"/>
      <c r="F206" s="64"/>
    </row>
    <row r="207" spans="1:6" ht="40" x14ac:dyDescent="0.2">
      <c r="A207" s="69"/>
      <c r="B207" s="70" t="s">
        <v>338</v>
      </c>
      <c r="C207" s="69"/>
      <c r="D207" s="69" t="s">
        <v>73</v>
      </c>
      <c r="E207" s="69"/>
      <c r="F207" s="64"/>
    </row>
    <row r="208" spans="1:6" x14ac:dyDescent="0.2">
      <c r="A208" s="69"/>
      <c r="B208" s="70" t="s">
        <v>339</v>
      </c>
      <c r="C208" s="69"/>
      <c r="D208" s="69"/>
      <c r="E208" s="69"/>
      <c r="F208" s="64"/>
    </row>
    <row r="209" spans="1:6" ht="30" x14ac:dyDescent="0.2">
      <c r="A209" s="69" t="s">
        <v>340</v>
      </c>
      <c r="B209" s="70" t="s">
        <v>341</v>
      </c>
      <c r="C209" s="73">
        <v>180</v>
      </c>
      <c r="D209" s="69" t="s">
        <v>89</v>
      </c>
      <c r="E209" s="73"/>
      <c r="F209" s="75">
        <f>C209*E209</f>
        <v>0</v>
      </c>
    </row>
    <row r="210" spans="1:6" ht="13" x14ac:dyDescent="0.2">
      <c r="A210" s="64"/>
      <c r="B210" s="67" t="s">
        <v>342</v>
      </c>
      <c r="C210" s="76"/>
      <c r="D210" s="66"/>
      <c r="E210" s="76"/>
      <c r="F210" s="77">
        <f>SUM(F208:F209)</f>
        <v>0</v>
      </c>
    </row>
    <row r="211" spans="1:6" ht="13" x14ac:dyDescent="0.2">
      <c r="A211" s="64"/>
      <c r="B211" s="67" t="s">
        <v>343</v>
      </c>
      <c r="C211" s="76"/>
      <c r="D211" s="66"/>
      <c r="E211" s="76"/>
      <c r="F211" s="77">
        <f>F210+F194+F181+F169+F158+F116+F90+F80+F73+F60+F39</f>
        <v>0</v>
      </c>
    </row>
    <row r="212" spans="1:6" x14ac:dyDescent="0.2">
      <c r="A212" s="64"/>
      <c r="B212" s="65"/>
      <c r="C212" s="64"/>
      <c r="D212" s="64"/>
      <c r="E212" s="64"/>
      <c r="F212" s="64"/>
    </row>
    <row r="213" spans="1:6" x14ac:dyDescent="0.2">
      <c r="A213" s="64"/>
      <c r="B213" s="65"/>
      <c r="C213" s="64"/>
      <c r="D213" s="64"/>
      <c r="E213" s="64"/>
      <c r="F213" s="64"/>
    </row>
    <row r="214" spans="1:6" x14ac:dyDescent="0.2">
      <c r="A214" s="64"/>
      <c r="B214" s="65"/>
      <c r="C214" s="64"/>
      <c r="D214" s="64"/>
      <c r="E214" s="64"/>
      <c r="F214" s="64"/>
    </row>
    <row r="215" spans="1:6" x14ac:dyDescent="0.2">
      <c r="A215" s="64"/>
      <c r="B215" s="65"/>
      <c r="C215" s="64"/>
      <c r="D215" s="64"/>
      <c r="E215" s="64"/>
      <c r="F215" s="64"/>
    </row>
  </sheetData>
  <mergeCells count="1">
    <mergeCell ref="A1:F1"/>
  </mergeCells>
  <pageMargins left="0.75" right="0.75" top="1" bottom="1" header="0.5" footer="0.5"/>
  <pageSetup scale="86" fitToHeight="6" orientation="portrait" r:id="rId1"/>
  <headerFooter>
    <oddHeader>&amp;C&amp;"Aptos"&amp;12&amp;KFF0000 OFFICIAL&amp;1#_x000D_</oddHeader>
    <oddFooter>&amp;C_x000D_&amp;1#&amp;"Aptos"&amp;12&amp;KFF0000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F7B5-A403-4539-A259-518FD2ADBA6B}">
  <sheetPr codeName="Sheet3">
    <pageSetUpPr fitToPage="1"/>
  </sheetPr>
  <dimension ref="A1:F212"/>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1808</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344</v>
      </c>
      <c r="B6" s="20" t="s">
        <v>48</v>
      </c>
    </row>
    <row r="7" spans="1:6" x14ac:dyDescent="0.2">
      <c r="A7" s="2"/>
      <c r="B7" s="5"/>
      <c r="C7" s="2"/>
      <c r="D7" s="2"/>
      <c r="E7" s="2"/>
    </row>
    <row r="8" spans="1:6" x14ac:dyDescent="0.2">
      <c r="A8" s="2"/>
      <c r="B8" s="5" t="s">
        <v>67</v>
      </c>
      <c r="C8" s="2"/>
      <c r="D8" s="2"/>
      <c r="E8" s="2"/>
    </row>
    <row r="10" spans="1:6" ht="10.5" x14ac:dyDescent="0.25">
      <c r="A10" s="6" t="s">
        <v>345</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346</v>
      </c>
      <c r="B15" s="5" t="s">
        <v>76</v>
      </c>
      <c r="C15" s="7">
        <v>15</v>
      </c>
      <c r="D15" s="2" t="s">
        <v>77</v>
      </c>
      <c r="E15" s="8"/>
      <c r="F15" s="16">
        <f>C15*E15</f>
        <v>0</v>
      </c>
    </row>
    <row r="16" spans="1:6" x14ac:dyDescent="0.2">
      <c r="A16" s="2" t="s">
        <v>347</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348</v>
      </c>
      <c r="B18" s="5" t="s">
        <v>83</v>
      </c>
      <c r="C18" s="7">
        <v>1</v>
      </c>
      <c r="D18" s="2" t="s">
        <v>80</v>
      </c>
      <c r="E18" s="8"/>
      <c r="F18" s="16">
        <f t="shared" si="0"/>
        <v>0</v>
      </c>
    </row>
    <row r="19" spans="1:6" x14ac:dyDescent="0.2">
      <c r="A19" s="2"/>
      <c r="B19" s="5" t="s">
        <v>69</v>
      </c>
      <c r="C19" s="2"/>
      <c r="D19" s="2"/>
      <c r="E19" s="2"/>
      <c r="F19" s="16"/>
    </row>
    <row r="20" spans="1:6" ht="20" x14ac:dyDescent="0.2">
      <c r="A20" s="2" t="s">
        <v>349</v>
      </c>
      <c r="B20" s="5" t="s">
        <v>85</v>
      </c>
      <c r="C20" s="7">
        <v>8</v>
      </c>
      <c r="D20" s="2" t="s">
        <v>86</v>
      </c>
      <c r="E20" s="8"/>
      <c r="F20" s="16">
        <f t="shared" si="0"/>
        <v>0</v>
      </c>
    </row>
    <row r="21" spans="1:6" x14ac:dyDescent="0.2">
      <c r="A21" s="2" t="s">
        <v>350</v>
      </c>
      <c r="B21" s="5" t="s">
        <v>88</v>
      </c>
      <c r="C21" s="7">
        <v>7</v>
      </c>
      <c r="D21" s="2" t="s">
        <v>89</v>
      </c>
      <c r="E21" s="8"/>
      <c r="F21" s="16">
        <f t="shared" si="0"/>
        <v>0</v>
      </c>
    </row>
    <row r="22" spans="1:6" ht="30" x14ac:dyDescent="0.2">
      <c r="A22" s="2" t="s">
        <v>351</v>
      </c>
      <c r="B22" s="5" t="s">
        <v>91</v>
      </c>
      <c r="C22" s="7">
        <v>36</v>
      </c>
      <c r="D22" s="2" t="s">
        <v>89</v>
      </c>
      <c r="E22" s="8"/>
      <c r="F22" s="16">
        <f t="shared" si="0"/>
        <v>0</v>
      </c>
    </row>
    <row r="23" spans="1:6" x14ac:dyDescent="0.2">
      <c r="A23" s="2" t="s">
        <v>352</v>
      </c>
      <c r="B23" s="5" t="s">
        <v>93</v>
      </c>
      <c r="C23" s="7">
        <v>12</v>
      </c>
      <c r="D23" s="2" t="s">
        <v>86</v>
      </c>
      <c r="E23" s="8"/>
      <c r="F23" s="16">
        <f t="shared" si="0"/>
        <v>0</v>
      </c>
    </row>
    <row r="24" spans="1:6" x14ac:dyDescent="0.2">
      <c r="A24" s="2" t="s">
        <v>353</v>
      </c>
      <c r="B24" s="5" t="s">
        <v>95</v>
      </c>
      <c r="C24" s="7">
        <v>13</v>
      </c>
      <c r="D24" s="2" t="s">
        <v>77</v>
      </c>
      <c r="E24" s="8"/>
      <c r="F24" s="16">
        <f t="shared" si="0"/>
        <v>0</v>
      </c>
    </row>
    <row r="25" spans="1:6" ht="20" x14ac:dyDescent="0.2">
      <c r="A25" s="2" t="s">
        <v>354</v>
      </c>
      <c r="B25" s="5" t="s">
        <v>97</v>
      </c>
      <c r="C25" s="7">
        <v>9</v>
      </c>
      <c r="D25" s="2" t="s">
        <v>86</v>
      </c>
      <c r="E25" s="8"/>
      <c r="F25" s="16">
        <f t="shared" si="0"/>
        <v>0</v>
      </c>
    </row>
    <row r="26" spans="1:6" x14ac:dyDescent="0.2">
      <c r="A26" s="2" t="s">
        <v>355</v>
      </c>
      <c r="B26" s="5" t="s">
        <v>99</v>
      </c>
      <c r="C26" s="7">
        <v>145</v>
      </c>
      <c r="D26" s="2" t="s">
        <v>89</v>
      </c>
      <c r="E26" s="8"/>
      <c r="F26" s="16">
        <f t="shared" si="0"/>
        <v>0</v>
      </c>
    </row>
    <row r="27" spans="1:6" x14ac:dyDescent="0.2">
      <c r="A27" s="2" t="s">
        <v>356</v>
      </c>
      <c r="B27" s="5" t="s">
        <v>101</v>
      </c>
      <c r="C27" s="7">
        <v>2</v>
      </c>
      <c r="D27" s="2" t="s">
        <v>77</v>
      </c>
      <c r="E27" s="8"/>
      <c r="F27" s="16">
        <f t="shared" si="0"/>
        <v>0</v>
      </c>
    </row>
    <row r="28" spans="1:6" x14ac:dyDescent="0.2">
      <c r="A28" s="2" t="s">
        <v>357</v>
      </c>
      <c r="B28" s="5" t="s">
        <v>103</v>
      </c>
      <c r="C28" s="7">
        <v>1</v>
      </c>
      <c r="D28" s="2" t="s">
        <v>104</v>
      </c>
      <c r="E28" s="8"/>
      <c r="F28" s="16">
        <f t="shared" si="0"/>
        <v>0</v>
      </c>
    </row>
    <row r="29" spans="1:6" x14ac:dyDescent="0.2">
      <c r="A29" s="2" t="s">
        <v>358</v>
      </c>
      <c r="B29" s="5" t="s">
        <v>106</v>
      </c>
      <c r="C29" s="7">
        <v>1</v>
      </c>
      <c r="D29" s="2" t="s">
        <v>77</v>
      </c>
      <c r="E29" s="8"/>
      <c r="F29" s="16">
        <f t="shared" si="0"/>
        <v>0</v>
      </c>
    </row>
    <row r="30" spans="1:6" x14ac:dyDescent="0.2">
      <c r="A30" s="2" t="s">
        <v>359</v>
      </c>
      <c r="B30" s="5" t="s">
        <v>108</v>
      </c>
      <c r="C30" s="7">
        <v>85</v>
      </c>
      <c r="D30" s="2" t="s">
        <v>89</v>
      </c>
      <c r="E30" s="8"/>
      <c r="F30" s="16">
        <f t="shared" si="0"/>
        <v>0</v>
      </c>
    </row>
    <row r="31" spans="1:6" ht="20" x14ac:dyDescent="0.2">
      <c r="A31" s="2" t="s">
        <v>360</v>
      </c>
      <c r="B31" s="5" t="s">
        <v>110</v>
      </c>
      <c r="C31" s="7">
        <v>1</v>
      </c>
      <c r="D31" s="2" t="s">
        <v>77</v>
      </c>
      <c r="E31" s="8"/>
      <c r="F31" s="16">
        <f t="shared" si="0"/>
        <v>0</v>
      </c>
    </row>
    <row r="32" spans="1:6" ht="20" x14ac:dyDescent="0.2">
      <c r="A32" s="2" t="s">
        <v>361</v>
      </c>
      <c r="B32" s="5" t="s">
        <v>112</v>
      </c>
      <c r="C32" s="7">
        <v>30</v>
      </c>
      <c r="D32" s="2" t="s">
        <v>86</v>
      </c>
      <c r="E32" s="8"/>
      <c r="F32" s="16">
        <f t="shared" si="0"/>
        <v>0</v>
      </c>
    </row>
    <row r="33" spans="1:6" ht="40" x14ac:dyDescent="0.2">
      <c r="A33" s="2" t="s">
        <v>362</v>
      </c>
      <c r="B33" s="5" t="s">
        <v>114</v>
      </c>
      <c r="C33" s="7">
        <v>56</v>
      </c>
      <c r="D33" s="2" t="s">
        <v>89</v>
      </c>
      <c r="E33" s="8"/>
      <c r="F33" s="16">
        <f t="shared" si="0"/>
        <v>0</v>
      </c>
    </row>
    <row r="34" spans="1:6" x14ac:dyDescent="0.2">
      <c r="A34" s="2"/>
      <c r="B34" s="5" t="s">
        <v>115</v>
      </c>
      <c r="C34" s="2"/>
      <c r="D34" s="2"/>
      <c r="E34" s="2"/>
      <c r="F34" s="16"/>
    </row>
    <row r="35" spans="1:6" ht="30" x14ac:dyDescent="0.2">
      <c r="A35" s="2" t="s">
        <v>363</v>
      </c>
      <c r="B35" s="5" t="s">
        <v>117</v>
      </c>
      <c r="C35" s="7">
        <v>1</v>
      </c>
      <c r="D35" s="2" t="s">
        <v>80</v>
      </c>
      <c r="E35" s="8"/>
      <c r="F35" s="16">
        <f t="shared" si="0"/>
        <v>0</v>
      </c>
    </row>
    <row r="36" spans="1:6" x14ac:dyDescent="0.2">
      <c r="A36" s="2" t="s">
        <v>364</v>
      </c>
      <c r="B36" s="5" t="s">
        <v>119</v>
      </c>
      <c r="C36" s="7">
        <v>1</v>
      </c>
      <c r="D36" s="2" t="s">
        <v>104</v>
      </c>
      <c r="E36" s="8"/>
      <c r="F36" s="16">
        <f t="shared" si="0"/>
        <v>0</v>
      </c>
    </row>
    <row r="37" spans="1:6" ht="20" x14ac:dyDescent="0.2">
      <c r="A37" s="2" t="s">
        <v>365</v>
      </c>
      <c r="B37" s="5" t="s">
        <v>121</v>
      </c>
      <c r="C37" s="7">
        <v>1</v>
      </c>
      <c r="D37" s="2" t="s">
        <v>104</v>
      </c>
      <c r="E37" s="8"/>
      <c r="F37" s="16">
        <f t="shared" si="0"/>
        <v>0</v>
      </c>
    </row>
    <row r="38" spans="1:6" x14ac:dyDescent="0.2">
      <c r="A38" s="2" t="s">
        <v>366</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367</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368</v>
      </c>
      <c r="B51" s="5" t="s">
        <v>137</v>
      </c>
      <c r="C51" s="7">
        <v>333</v>
      </c>
      <c r="D51" s="2" t="s">
        <v>89</v>
      </c>
      <c r="E51" s="8"/>
      <c r="F51" s="16">
        <f t="shared" ref="F51:F59" si="1">C51*E51</f>
        <v>0</v>
      </c>
    </row>
    <row r="52" spans="1:6" x14ac:dyDescent="0.2">
      <c r="A52" s="2"/>
      <c r="B52" s="5" t="s">
        <v>138</v>
      </c>
      <c r="C52" s="2"/>
      <c r="D52" s="2"/>
      <c r="E52" s="2"/>
      <c r="F52" s="16"/>
    </row>
    <row r="53" spans="1:6" ht="30" x14ac:dyDescent="0.2">
      <c r="A53" s="2" t="s">
        <v>369</v>
      </c>
      <c r="B53" s="5" t="s">
        <v>140</v>
      </c>
      <c r="C53" s="7">
        <v>71</v>
      </c>
      <c r="D53" s="2" t="s">
        <v>89</v>
      </c>
      <c r="E53" s="8"/>
      <c r="F53" s="16">
        <f t="shared" si="1"/>
        <v>0</v>
      </c>
    </row>
    <row r="54" spans="1:6" ht="30" x14ac:dyDescent="0.2">
      <c r="A54" s="2" t="s">
        <v>370</v>
      </c>
      <c r="B54" s="5" t="s">
        <v>142</v>
      </c>
      <c r="C54" s="7">
        <v>6</v>
      </c>
      <c r="D54" s="2" t="s">
        <v>89</v>
      </c>
      <c r="E54" s="8"/>
      <c r="F54" s="16">
        <f t="shared" si="1"/>
        <v>0</v>
      </c>
    </row>
    <row r="55" spans="1:6" ht="20" x14ac:dyDescent="0.2">
      <c r="A55" s="2" t="s">
        <v>371</v>
      </c>
      <c r="B55" s="5" t="s">
        <v>144</v>
      </c>
      <c r="C55" s="7">
        <v>94</v>
      </c>
      <c r="D55" s="2" t="s">
        <v>89</v>
      </c>
      <c r="E55" s="8"/>
      <c r="F55" s="16">
        <f t="shared" si="1"/>
        <v>0</v>
      </c>
    </row>
    <row r="56" spans="1:6" x14ac:dyDescent="0.2">
      <c r="A56" s="2"/>
      <c r="B56" s="5" t="s">
        <v>145</v>
      </c>
      <c r="C56" s="2"/>
      <c r="D56" s="2"/>
      <c r="E56" s="2"/>
      <c r="F56" s="16"/>
    </row>
    <row r="57" spans="1:6" ht="30" x14ac:dyDescent="0.2">
      <c r="A57" s="2" t="s">
        <v>372</v>
      </c>
      <c r="B57" s="5" t="s">
        <v>147</v>
      </c>
      <c r="C57" s="7">
        <v>126</v>
      </c>
      <c r="D57" s="2" t="s">
        <v>86</v>
      </c>
      <c r="E57" s="8"/>
      <c r="F57" s="16">
        <f t="shared" si="1"/>
        <v>0</v>
      </c>
    </row>
    <row r="58" spans="1:6" x14ac:dyDescent="0.2">
      <c r="A58" s="2"/>
      <c r="B58" s="5" t="s">
        <v>148</v>
      </c>
      <c r="C58" s="2"/>
      <c r="D58" s="2"/>
      <c r="E58" s="2"/>
      <c r="F58" s="16"/>
    </row>
    <row r="59" spans="1:6" ht="30" x14ac:dyDescent="0.2">
      <c r="A59" s="2" t="s">
        <v>373</v>
      </c>
      <c r="B59" s="5" t="s">
        <v>150</v>
      </c>
      <c r="C59" s="7">
        <v>13</v>
      </c>
      <c r="D59" s="2" t="s">
        <v>77</v>
      </c>
      <c r="E59" s="8"/>
      <c r="F59" s="16">
        <f t="shared" si="1"/>
        <v>0</v>
      </c>
    </row>
    <row r="60" spans="1:6" ht="13" x14ac:dyDescent="0.3">
      <c r="B60" s="20" t="s">
        <v>151</v>
      </c>
      <c r="C60" s="9"/>
      <c r="D60" s="3"/>
      <c r="E60" s="9"/>
      <c r="F60" s="18">
        <f>SUM(F50:F59)</f>
        <v>0</v>
      </c>
    </row>
    <row r="61" spans="1:6" ht="13" x14ac:dyDescent="0.3">
      <c r="F61" s="18"/>
    </row>
    <row r="62" spans="1:6" ht="10.5" x14ac:dyDescent="0.25">
      <c r="A62" s="6" t="s">
        <v>374</v>
      </c>
      <c r="B62" s="21" t="s">
        <v>153</v>
      </c>
    </row>
    <row r="63" spans="1:6" x14ac:dyDescent="0.2">
      <c r="A63" s="2"/>
      <c r="B63" s="5" t="s">
        <v>154</v>
      </c>
      <c r="C63" s="2"/>
      <c r="D63" s="2"/>
      <c r="E63" s="2"/>
    </row>
    <row r="64" spans="1:6" x14ac:dyDescent="0.2">
      <c r="A64" s="2"/>
      <c r="B64" s="5" t="s">
        <v>128</v>
      </c>
      <c r="C64" s="2"/>
      <c r="D64" s="2"/>
      <c r="E64" s="2"/>
    </row>
    <row r="65" spans="1:6" ht="40" x14ac:dyDescent="0.2">
      <c r="A65" s="2"/>
      <c r="B65" s="5" t="s">
        <v>155</v>
      </c>
      <c r="C65" s="2"/>
      <c r="D65" s="2" t="s">
        <v>73</v>
      </c>
      <c r="E65" s="2"/>
    </row>
    <row r="66" spans="1:6" ht="30" x14ac:dyDescent="0.2">
      <c r="A66" s="2"/>
      <c r="B66" s="5" t="s">
        <v>156</v>
      </c>
      <c r="C66" s="2"/>
      <c r="D66" s="2" t="s">
        <v>73</v>
      </c>
      <c r="E66" s="2"/>
    </row>
    <row r="67" spans="1:6" x14ac:dyDescent="0.2">
      <c r="A67" s="2"/>
      <c r="B67" s="5" t="s">
        <v>138</v>
      </c>
      <c r="C67" s="2"/>
      <c r="D67" s="2"/>
      <c r="E67" s="2"/>
    </row>
    <row r="68" spans="1:6" ht="40" x14ac:dyDescent="0.2">
      <c r="A68" s="2" t="s">
        <v>375</v>
      </c>
      <c r="B68" s="5" t="s">
        <v>158</v>
      </c>
      <c r="C68" s="7">
        <v>119</v>
      </c>
      <c r="D68" s="2" t="s">
        <v>89</v>
      </c>
      <c r="E68" s="8"/>
      <c r="F68" s="16">
        <f t="shared" ref="F68:F72" si="2">C68*E68</f>
        <v>0</v>
      </c>
    </row>
    <row r="69" spans="1:6" ht="40" x14ac:dyDescent="0.2">
      <c r="A69" s="2" t="s">
        <v>376</v>
      </c>
      <c r="B69" s="5" t="s">
        <v>160</v>
      </c>
      <c r="C69" s="7">
        <v>17</v>
      </c>
      <c r="D69" s="2" t="s">
        <v>89</v>
      </c>
      <c r="E69" s="8"/>
      <c r="F69" s="16">
        <f t="shared" si="2"/>
        <v>0</v>
      </c>
    </row>
    <row r="70" spans="1:6" x14ac:dyDescent="0.2">
      <c r="A70" s="2"/>
      <c r="B70" s="5" t="s">
        <v>161</v>
      </c>
      <c r="C70" s="2"/>
      <c r="D70" s="2"/>
      <c r="E70" s="2"/>
      <c r="F70" s="16"/>
    </row>
    <row r="71" spans="1:6" x14ac:dyDescent="0.2">
      <c r="A71" s="2" t="s">
        <v>377</v>
      </c>
      <c r="B71" s="5" t="s">
        <v>163</v>
      </c>
      <c r="C71" s="7">
        <v>12.8</v>
      </c>
      <c r="D71" s="2" t="s">
        <v>86</v>
      </c>
      <c r="E71" s="8"/>
      <c r="F71" s="16">
        <f t="shared" si="2"/>
        <v>0</v>
      </c>
    </row>
    <row r="72" spans="1:6" ht="20" x14ac:dyDescent="0.2">
      <c r="A72" s="2" t="s">
        <v>378</v>
      </c>
      <c r="B72" s="5" t="s">
        <v>165</v>
      </c>
      <c r="C72" s="7">
        <v>8</v>
      </c>
      <c r="D72" s="2" t="s">
        <v>89</v>
      </c>
      <c r="E72" s="8"/>
      <c r="F72" s="16">
        <f t="shared" si="2"/>
        <v>0</v>
      </c>
    </row>
    <row r="73" spans="1:6" ht="13" x14ac:dyDescent="0.3">
      <c r="B73" s="20" t="s">
        <v>166</v>
      </c>
      <c r="C73" s="9"/>
      <c r="D73" s="3"/>
      <c r="E73" s="9"/>
      <c r="F73" s="18">
        <f>SUM(F68:F72)</f>
        <v>0</v>
      </c>
    </row>
    <row r="74" spans="1:6" ht="13" x14ac:dyDescent="0.3">
      <c r="F74" s="18"/>
    </row>
    <row r="75" spans="1:6" ht="10.5" x14ac:dyDescent="0.25">
      <c r="A75" s="6" t="s">
        <v>379</v>
      </c>
      <c r="B75" s="21" t="s">
        <v>168</v>
      </c>
    </row>
    <row r="76" spans="1:6" x14ac:dyDescent="0.2">
      <c r="A76" s="2"/>
      <c r="B76" s="5" t="s">
        <v>169</v>
      </c>
      <c r="C76" s="2"/>
      <c r="D76" s="2"/>
      <c r="E76" s="2"/>
    </row>
    <row r="77" spans="1:6" x14ac:dyDescent="0.2">
      <c r="A77" s="2"/>
      <c r="B77" s="5" t="s">
        <v>128</v>
      </c>
      <c r="C77" s="2"/>
      <c r="D77" s="2"/>
      <c r="E77" s="2"/>
    </row>
    <row r="78" spans="1:6" x14ac:dyDescent="0.2">
      <c r="A78" s="2"/>
      <c r="B78" s="5" t="s">
        <v>170</v>
      </c>
      <c r="C78" s="2"/>
      <c r="D78" s="2"/>
      <c r="E78" s="2"/>
    </row>
    <row r="79" spans="1:6" ht="60" x14ac:dyDescent="0.2">
      <c r="A79" s="2" t="s">
        <v>380</v>
      </c>
      <c r="B79" s="5" t="s">
        <v>172</v>
      </c>
      <c r="C79" s="7">
        <v>154</v>
      </c>
      <c r="D79" s="2" t="s">
        <v>89</v>
      </c>
      <c r="E79" s="8"/>
      <c r="F79" s="16">
        <f t="shared" ref="F79" si="3">C79*E79</f>
        <v>0</v>
      </c>
    </row>
    <row r="80" spans="1:6" ht="13" x14ac:dyDescent="0.3">
      <c r="B80" s="20" t="s">
        <v>173</v>
      </c>
      <c r="C80" s="9"/>
      <c r="D80" s="3"/>
      <c r="E80" s="9"/>
      <c r="F80" s="18">
        <f>SUM(F79)</f>
        <v>0</v>
      </c>
    </row>
    <row r="81" spans="1:6" ht="13" x14ac:dyDescent="0.3">
      <c r="F81" s="18"/>
    </row>
    <row r="82" spans="1:6" ht="10.5" x14ac:dyDescent="0.25">
      <c r="A82" s="6" t="s">
        <v>381</v>
      </c>
      <c r="B82" s="21" t="s">
        <v>175</v>
      </c>
    </row>
    <row r="83" spans="1:6" x14ac:dyDescent="0.2">
      <c r="A83" s="2"/>
      <c r="B83" s="5" t="s">
        <v>176</v>
      </c>
      <c r="C83" s="2"/>
      <c r="D83" s="2"/>
      <c r="E83" s="2"/>
    </row>
    <row r="84" spans="1:6" x14ac:dyDescent="0.2">
      <c r="A84" s="2"/>
      <c r="B84" s="5" t="s">
        <v>128</v>
      </c>
      <c r="C84" s="2"/>
      <c r="D84" s="2"/>
      <c r="E84" s="2"/>
    </row>
    <row r="85" spans="1:6" ht="30" x14ac:dyDescent="0.2">
      <c r="A85" s="2"/>
      <c r="B85" s="5" t="s">
        <v>177</v>
      </c>
      <c r="C85" s="2"/>
      <c r="D85" s="2" t="s">
        <v>73</v>
      </c>
      <c r="E85" s="2"/>
    </row>
    <row r="86" spans="1:6" x14ac:dyDescent="0.2">
      <c r="A86" s="2"/>
      <c r="B86" s="5" t="s">
        <v>148</v>
      </c>
      <c r="C86" s="2"/>
      <c r="D86" s="2"/>
      <c r="E86" s="2"/>
    </row>
    <row r="87" spans="1:6" ht="40" x14ac:dyDescent="0.2">
      <c r="A87" s="2" t="s">
        <v>382</v>
      </c>
      <c r="B87" s="5" t="s">
        <v>179</v>
      </c>
      <c r="C87" s="7">
        <v>1</v>
      </c>
      <c r="D87" s="2" t="s">
        <v>77</v>
      </c>
      <c r="E87" s="8"/>
      <c r="F87" s="16">
        <f>C87*E87</f>
        <v>0</v>
      </c>
    </row>
    <row r="88" spans="1:6" ht="20" x14ac:dyDescent="0.2">
      <c r="A88" s="2" t="s">
        <v>383</v>
      </c>
      <c r="B88" s="5" t="s">
        <v>181</v>
      </c>
      <c r="C88" s="7">
        <v>13</v>
      </c>
      <c r="D88" s="2" t="s">
        <v>77</v>
      </c>
      <c r="E88" s="8"/>
      <c r="F88" s="16">
        <f>C88*E88</f>
        <v>0</v>
      </c>
    </row>
    <row r="89" spans="1:6" ht="30" x14ac:dyDescent="0.2">
      <c r="A89" s="2" t="s">
        <v>384</v>
      </c>
      <c r="B89" s="5" t="s">
        <v>183</v>
      </c>
      <c r="C89" s="7">
        <v>1</v>
      </c>
      <c r="D89" s="2" t="s">
        <v>77</v>
      </c>
      <c r="E89" s="8"/>
      <c r="F89" s="16">
        <f t="shared" ref="F89" si="4">C89*E89</f>
        <v>0</v>
      </c>
    </row>
    <row r="90" spans="1:6" ht="13" x14ac:dyDescent="0.3">
      <c r="B90" s="20" t="s">
        <v>184</v>
      </c>
      <c r="C90" s="9"/>
      <c r="D90" s="3"/>
      <c r="E90" s="9"/>
      <c r="F90" s="18">
        <f>SUM(F85:F89)</f>
        <v>0</v>
      </c>
    </row>
    <row r="91" spans="1:6" ht="13" x14ac:dyDescent="0.3">
      <c r="F91" s="18"/>
    </row>
    <row r="92" spans="1:6" ht="10.5" x14ac:dyDescent="0.25">
      <c r="A92" s="6" t="s">
        <v>385</v>
      </c>
      <c r="B92" s="21" t="s">
        <v>186</v>
      </c>
    </row>
    <row r="93" spans="1:6" x14ac:dyDescent="0.2">
      <c r="A93" s="2"/>
      <c r="B93" s="5" t="s">
        <v>187</v>
      </c>
      <c r="C93" s="2"/>
      <c r="D93" s="2"/>
      <c r="E93" s="2"/>
    </row>
    <row r="94" spans="1:6" x14ac:dyDescent="0.2">
      <c r="A94" s="2"/>
      <c r="B94" s="5" t="s">
        <v>71</v>
      </c>
      <c r="C94" s="2"/>
      <c r="D94" s="2"/>
      <c r="E94" s="2"/>
    </row>
    <row r="95" spans="1:6" ht="50" x14ac:dyDescent="0.2">
      <c r="A95" s="2"/>
      <c r="B95" s="5" t="s">
        <v>188</v>
      </c>
      <c r="C95" s="2"/>
      <c r="D95" s="2" t="s">
        <v>73</v>
      </c>
      <c r="E95" s="2"/>
    </row>
    <row r="96" spans="1:6" ht="40" x14ac:dyDescent="0.2">
      <c r="A96" s="2"/>
      <c r="B96" s="5" t="s">
        <v>189</v>
      </c>
      <c r="C96" s="2"/>
      <c r="D96" s="2" t="s">
        <v>73</v>
      </c>
      <c r="E96" s="2"/>
    </row>
    <row r="97" spans="1:6" ht="50" x14ac:dyDescent="0.2">
      <c r="A97" s="2"/>
      <c r="B97" s="5" t="s">
        <v>190</v>
      </c>
      <c r="C97" s="2"/>
      <c r="D97" s="2" t="s">
        <v>73</v>
      </c>
      <c r="E97" s="2"/>
    </row>
    <row r="98" spans="1:6" ht="40" x14ac:dyDescent="0.2">
      <c r="A98" s="2"/>
      <c r="B98" s="5" t="s">
        <v>191</v>
      </c>
      <c r="C98" s="2"/>
      <c r="D98" s="2" t="s">
        <v>73</v>
      </c>
      <c r="E98" s="2"/>
    </row>
    <row r="99" spans="1:6" x14ac:dyDescent="0.2">
      <c r="A99" s="2"/>
      <c r="B99" s="5" t="s">
        <v>192</v>
      </c>
      <c r="C99" s="2"/>
      <c r="D99" s="2"/>
      <c r="E99" s="2"/>
    </row>
    <row r="100" spans="1:6" ht="50" x14ac:dyDescent="0.2">
      <c r="A100" s="2" t="s">
        <v>386</v>
      </c>
      <c r="B100" s="5" t="s">
        <v>194</v>
      </c>
      <c r="C100" s="7">
        <v>9.64</v>
      </c>
      <c r="D100" s="2" t="s">
        <v>86</v>
      </c>
      <c r="E100" s="8"/>
      <c r="F100" s="16">
        <f>C100*E100</f>
        <v>0</v>
      </c>
    </row>
    <row r="101" spans="1:6" x14ac:dyDescent="0.2">
      <c r="A101" s="2"/>
      <c r="B101" s="5" t="s">
        <v>195</v>
      </c>
      <c r="C101" s="2"/>
      <c r="D101" s="2"/>
      <c r="E101" s="2"/>
      <c r="F101" s="16"/>
    </row>
    <row r="102" spans="1:6" ht="50" x14ac:dyDescent="0.2">
      <c r="A102" s="2" t="s">
        <v>387</v>
      </c>
      <c r="B102" s="5" t="s">
        <v>197</v>
      </c>
      <c r="C102" s="7">
        <v>4.2</v>
      </c>
      <c r="D102" s="2" t="s">
        <v>86</v>
      </c>
      <c r="E102" s="8"/>
      <c r="F102" s="16">
        <f t="shared" ref="F102:F112" si="5">C102*E102</f>
        <v>0</v>
      </c>
    </row>
    <row r="103" spans="1:6" x14ac:dyDescent="0.2">
      <c r="A103" s="2"/>
      <c r="B103" s="5" t="s">
        <v>198</v>
      </c>
      <c r="C103" s="2"/>
      <c r="D103" s="2"/>
      <c r="E103" s="2"/>
      <c r="F103" s="16"/>
    </row>
    <row r="104" spans="1:6" ht="40" x14ac:dyDescent="0.2">
      <c r="A104" s="2" t="s">
        <v>388</v>
      </c>
      <c r="B104" s="5" t="s">
        <v>200</v>
      </c>
      <c r="C104" s="7">
        <v>5.96</v>
      </c>
      <c r="D104" s="2" t="s">
        <v>86</v>
      </c>
      <c r="E104" s="8"/>
      <c r="F104" s="16">
        <f t="shared" si="5"/>
        <v>0</v>
      </c>
    </row>
    <row r="105" spans="1:6" ht="40" x14ac:dyDescent="0.2">
      <c r="A105" s="2" t="s">
        <v>389</v>
      </c>
      <c r="B105" s="5" t="s">
        <v>202</v>
      </c>
      <c r="C105" s="7">
        <v>1.48</v>
      </c>
      <c r="D105" s="2" t="s">
        <v>86</v>
      </c>
      <c r="E105" s="8"/>
      <c r="F105" s="16">
        <f t="shared" si="5"/>
        <v>0</v>
      </c>
    </row>
    <row r="106" spans="1:6" x14ac:dyDescent="0.2">
      <c r="A106" s="2"/>
      <c r="B106" s="5" t="s">
        <v>203</v>
      </c>
      <c r="C106" s="2"/>
      <c r="D106" s="2"/>
      <c r="E106" s="2"/>
      <c r="F106" s="16"/>
    </row>
    <row r="107" spans="1:6" ht="30" x14ac:dyDescent="0.2">
      <c r="A107" s="2" t="s">
        <v>390</v>
      </c>
      <c r="B107" s="5" t="s">
        <v>205</v>
      </c>
      <c r="C107" s="7">
        <v>2.68</v>
      </c>
      <c r="D107" s="2" t="s">
        <v>86</v>
      </c>
      <c r="E107" s="8"/>
      <c r="F107" s="16">
        <f t="shared" si="5"/>
        <v>0</v>
      </c>
    </row>
    <row r="108" spans="1:6" x14ac:dyDescent="0.2">
      <c r="A108" s="2"/>
      <c r="B108" s="5" t="s">
        <v>206</v>
      </c>
      <c r="C108" s="2"/>
      <c r="D108" s="2"/>
      <c r="E108" s="2"/>
      <c r="F108" s="16"/>
    </row>
    <row r="109" spans="1:6" ht="30" x14ac:dyDescent="0.2">
      <c r="A109" s="2" t="s">
        <v>391</v>
      </c>
      <c r="B109" s="5" t="s">
        <v>208</v>
      </c>
      <c r="C109" s="7">
        <v>1.83</v>
      </c>
      <c r="D109" s="2" t="s">
        <v>86</v>
      </c>
      <c r="E109" s="8"/>
      <c r="F109" s="16">
        <f t="shared" si="5"/>
        <v>0</v>
      </c>
    </row>
    <row r="110" spans="1:6" x14ac:dyDescent="0.2">
      <c r="A110" s="2"/>
      <c r="B110" s="5" t="s">
        <v>209</v>
      </c>
      <c r="C110" s="2"/>
      <c r="D110" s="2"/>
      <c r="E110" s="2"/>
      <c r="F110" s="16"/>
    </row>
    <row r="111" spans="1:6" ht="20" x14ac:dyDescent="0.2">
      <c r="A111" s="2" t="s">
        <v>392</v>
      </c>
      <c r="B111" s="5" t="s">
        <v>211</v>
      </c>
      <c r="C111" s="7">
        <v>2</v>
      </c>
      <c r="D111" s="2" t="s">
        <v>77</v>
      </c>
      <c r="E111" s="8"/>
      <c r="F111" s="16">
        <f t="shared" si="5"/>
        <v>0</v>
      </c>
    </row>
    <row r="112" spans="1:6" ht="20" x14ac:dyDescent="0.2">
      <c r="A112" s="2" t="s">
        <v>393</v>
      </c>
      <c r="B112" s="5" t="s">
        <v>213</v>
      </c>
      <c r="C112" s="7">
        <v>2</v>
      </c>
      <c r="D112" s="2" t="s">
        <v>77</v>
      </c>
      <c r="E112" s="8"/>
      <c r="F112" s="16">
        <f t="shared" si="5"/>
        <v>0</v>
      </c>
    </row>
    <row r="113" spans="1:6" x14ac:dyDescent="0.2">
      <c r="A113" s="2"/>
      <c r="B113" s="5" t="s">
        <v>214</v>
      </c>
      <c r="C113" s="2"/>
      <c r="D113" s="2"/>
      <c r="E113" s="2"/>
      <c r="F113" s="16"/>
    </row>
    <row r="114" spans="1:6" x14ac:dyDescent="0.2">
      <c r="A114" s="2" t="s">
        <v>394</v>
      </c>
      <c r="B114" s="5" t="s">
        <v>216</v>
      </c>
      <c r="C114" s="7">
        <v>2</v>
      </c>
      <c r="D114" s="2" t="s">
        <v>77</v>
      </c>
      <c r="E114" s="8"/>
      <c r="F114" s="16">
        <f t="shared" ref="F114:F115" si="6">C114*E114</f>
        <v>0</v>
      </c>
    </row>
    <row r="115" spans="1:6" x14ac:dyDescent="0.2">
      <c r="A115" s="2" t="s">
        <v>395</v>
      </c>
      <c r="B115" s="5" t="s">
        <v>218</v>
      </c>
      <c r="C115" s="7">
        <v>2</v>
      </c>
      <c r="D115" s="2" t="s">
        <v>77</v>
      </c>
      <c r="E115" s="8"/>
      <c r="F115" s="16">
        <f t="shared" si="6"/>
        <v>0</v>
      </c>
    </row>
    <row r="116" spans="1:6" ht="13" x14ac:dyDescent="0.3">
      <c r="B116" s="20" t="s">
        <v>219</v>
      </c>
      <c r="C116" s="9"/>
      <c r="D116" s="3"/>
      <c r="E116" s="9"/>
      <c r="F116" s="18">
        <f>SUM(F100:F115)</f>
        <v>0</v>
      </c>
    </row>
    <row r="117" spans="1:6" x14ac:dyDescent="0.2">
      <c r="F117" s="16"/>
    </row>
    <row r="118" spans="1:6" ht="13" x14ac:dyDescent="0.3">
      <c r="A118" s="6" t="s">
        <v>396</v>
      </c>
      <c r="B118" s="21" t="s">
        <v>221</v>
      </c>
      <c r="F118" s="18"/>
    </row>
    <row r="119" spans="1:6" ht="13" x14ac:dyDescent="0.3">
      <c r="A119" s="2"/>
      <c r="B119" s="5" t="s">
        <v>222</v>
      </c>
      <c r="C119" s="2"/>
      <c r="D119" s="2"/>
      <c r="E119" s="2"/>
      <c r="F119" s="18"/>
    </row>
    <row r="120" spans="1:6" x14ac:dyDescent="0.2">
      <c r="A120" s="2"/>
      <c r="B120" s="5" t="s">
        <v>192</v>
      </c>
      <c r="C120" s="2"/>
      <c r="D120" s="2"/>
      <c r="E120" s="2"/>
    </row>
    <row r="121" spans="1:6" x14ac:dyDescent="0.2">
      <c r="A121" s="2" t="s">
        <v>397</v>
      </c>
      <c r="B121" s="5" t="s">
        <v>224</v>
      </c>
      <c r="C121" s="7">
        <v>1</v>
      </c>
      <c r="D121" s="2" t="s">
        <v>77</v>
      </c>
      <c r="E121" s="8"/>
      <c r="F121" s="16">
        <f>C121*E121</f>
        <v>0</v>
      </c>
    </row>
    <row r="122" spans="1:6" x14ac:dyDescent="0.2">
      <c r="A122" s="2" t="s">
        <v>398</v>
      </c>
      <c r="B122" s="5" t="s">
        <v>226</v>
      </c>
      <c r="C122" s="2"/>
      <c r="D122" s="2"/>
      <c r="E122" s="2"/>
      <c r="F122" s="2" t="s">
        <v>227</v>
      </c>
    </row>
    <row r="123" spans="1:6" x14ac:dyDescent="0.2">
      <c r="A123" s="2" t="s">
        <v>399</v>
      </c>
      <c r="B123" s="5" t="s">
        <v>229</v>
      </c>
      <c r="C123" s="7">
        <v>1</v>
      </c>
      <c r="D123" s="2" t="s">
        <v>77</v>
      </c>
      <c r="E123" s="8"/>
      <c r="F123" s="16">
        <f t="shared" ref="F123" si="7">C123*E123</f>
        <v>0</v>
      </c>
    </row>
    <row r="124" spans="1:6" x14ac:dyDescent="0.2">
      <c r="A124" s="2" t="s">
        <v>400</v>
      </c>
      <c r="B124" s="5" t="s">
        <v>231</v>
      </c>
      <c r="C124" s="7">
        <v>1</v>
      </c>
      <c r="D124" s="2" t="s">
        <v>77</v>
      </c>
      <c r="E124" s="8"/>
      <c r="F124" s="16">
        <f>C124*E124</f>
        <v>0</v>
      </c>
    </row>
    <row r="125" spans="1:6" x14ac:dyDescent="0.2">
      <c r="A125" s="2" t="s">
        <v>401</v>
      </c>
      <c r="B125" s="5" t="s">
        <v>233</v>
      </c>
      <c r="C125" s="2"/>
      <c r="D125" s="2"/>
      <c r="E125" s="2"/>
      <c r="F125" s="2" t="s">
        <v>227</v>
      </c>
    </row>
    <row r="126" spans="1:6" x14ac:dyDescent="0.2">
      <c r="A126" s="2" t="s">
        <v>402</v>
      </c>
      <c r="B126" s="5" t="s">
        <v>235</v>
      </c>
      <c r="C126" s="2"/>
      <c r="D126" s="2"/>
      <c r="E126" s="2"/>
      <c r="F126" s="2" t="s">
        <v>227</v>
      </c>
    </row>
    <row r="127" spans="1:6" x14ac:dyDescent="0.2">
      <c r="A127" s="2" t="s">
        <v>403</v>
      </c>
      <c r="B127" s="5" t="s">
        <v>237</v>
      </c>
      <c r="C127" s="2"/>
      <c r="D127" s="2"/>
      <c r="E127" s="2"/>
      <c r="F127" s="2" t="s">
        <v>227</v>
      </c>
    </row>
    <row r="128" spans="1:6" x14ac:dyDescent="0.2">
      <c r="A128" s="2" t="s">
        <v>404</v>
      </c>
      <c r="B128" s="5" t="s">
        <v>239</v>
      </c>
      <c r="C128" s="2"/>
      <c r="D128" s="2"/>
      <c r="E128" s="2"/>
      <c r="F128" s="2" t="s">
        <v>227</v>
      </c>
    </row>
    <row r="129" spans="1:6" x14ac:dyDescent="0.2">
      <c r="A129" s="2" t="s">
        <v>405</v>
      </c>
      <c r="B129" s="5" t="s">
        <v>241</v>
      </c>
      <c r="C129" s="7">
        <v>1</v>
      </c>
      <c r="D129" s="2" t="s">
        <v>77</v>
      </c>
      <c r="E129" s="8"/>
      <c r="F129" s="16">
        <f t="shared" ref="F129" si="8">C129*E129</f>
        <v>0</v>
      </c>
    </row>
    <row r="130" spans="1:6" x14ac:dyDescent="0.2">
      <c r="A130" s="2"/>
      <c r="B130" s="5" t="s">
        <v>195</v>
      </c>
      <c r="C130" s="2"/>
      <c r="D130" s="2"/>
      <c r="E130" s="2"/>
    </row>
    <row r="131" spans="1:6" x14ac:dyDescent="0.2">
      <c r="A131" s="2" t="s">
        <v>406</v>
      </c>
      <c r="B131" s="5" t="s">
        <v>243</v>
      </c>
      <c r="C131" s="2"/>
      <c r="D131" s="2"/>
      <c r="E131" s="2"/>
      <c r="F131" s="2" t="s">
        <v>227</v>
      </c>
    </row>
    <row r="132" spans="1:6" x14ac:dyDescent="0.2">
      <c r="A132" s="2" t="s">
        <v>407</v>
      </c>
      <c r="B132" s="5" t="s">
        <v>245</v>
      </c>
      <c r="C132" s="7">
        <v>1</v>
      </c>
      <c r="D132" s="2" t="s">
        <v>77</v>
      </c>
      <c r="E132" s="8"/>
      <c r="F132" s="16">
        <f>C132*E132</f>
        <v>0</v>
      </c>
    </row>
    <row r="133" spans="1:6" x14ac:dyDescent="0.2">
      <c r="A133" s="2" t="s">
        <v>408</v>
      </c>
      <c r="B133" s="5" t="s">
        <v>247</v>
      </c>
      <c r="C133" s="7">
        <v>1</v>
      </c>
      <c r="D133" s="2" t="s">
        <v>77</v>
      </c>
      <c r="E133" s="8"/>
      <c r="F133" s="16">
        <f t="shared" ref="F133:F157" si="9">C133*E133</f>
        <v>0</v>
      </c>
    </row>
    <row r="134" spans="1:6" x14ac:dyDescent="0.2">
      <c r="A134" s="2" t="s">
        <v>409</v>
      </c>
      <c r="B134" s="5" t="s">
        <v>249</v>
      </c>
      <c r="C134" s="7">
        <v>1</v>
      </c>
      <c r="D134" s="2" t="s">
        <v>77</v>
      </c>
      <c r="E134" s="8"/>
      <c r="F134" s="16">
        <f t="shared" si="9"/>
        <v>0</v>
      </c>
    </row>
    <row r="135" spans="1:6" x14ac:dyDescent="0.2">
      <c r="A135" s="2"/>
      <c r="B135" s="5" t="s">
        <v>250</v>
      </c>
      <c r="C135" s="2"/>
      <c r="D135" s="2"/>
      <c r="E135" s="2"/>
      <c r="F135" s="16"/>
    </row>
    <row r="136" spans="1:6" x14ac:dyDescent="0.2">
      <c r="A136" s="2" t="s">
        <v>410</v>
      </c>
      <c r="B136" s="5" t="s">
        <v>252</v>
      </c>
      <c r="C136" s="7">
        <v>1</v>
      </c>
      <c r="D136" s="2" t="s">
        <v>77</v>
      </c>
      <c r="E136" s="8"/>
      <c r="F136" s="16">
        <f t="shared" si="9"/>
        <v>0</v>
      </c>
    </row>
    <row r="137" spans="1:6" x14ac:dyDescent="0.2">
      <c r="A137" s="2" t="s">
        <v>411</v>
      </c>
      <c r="B137" s="5" t="s">
        <v>254</v>
      </c>
      <c r="C137" s="7">
        <v>1</v>
      </c>
      <c r="D137" s="2" t="s">
        <v>77</v>
      </c>
      <c r="E137" s="8"/>
      <c r="F137" s="16">
        <f t="shared" si="9"/>
        <v>0</v>
      </c>
    </row>
    <row r="138" spans="1:6" x14ac:dyDescent="0.2">
      <c r="A138" s="2" t="s">
        <v>412</v>
      </c>
      <c r="B138" s="5" t="s">
        <v>256</v>
      </c>
      <c r="C138" s="7">
        <v>1</v>
      </c>
      <c r="D138" s="2" t="s">
        <v>77</v>
      </c>
      <c r="E138" s="8"/>
      <c r="F138" s="16">
        <f t="shared" si="9"/>
        <v>0</v>
      </c>
    </row>
    <row r="139" spans="1:6" x14ac:dyDescent="0.2">
      <c r="A139" s="2" t="s">
        <v>413</v>
      </c>
      <c r="B139" s="5" t="s">
        <v>258</v>
      </c>
      <c r="C139" s="7">
        <v>1</v>
      </c>
      <c r="D139" s="2" t="s">
        <v>77</v>
      </c>
      <c r="E139" s="8"/>
      <c r="F139" s="16">
        <f t="shared" si="9"/>
        <v>0</v>
      </c>
    </row>
    <row r="140" spans="1:6" x14ac:dyDescent="0.2">
      <c r="A140" s="2" t="s">
        <v>414</v>
      </c>
      <c r="B140" s="5" t="s">
        <v>260</v>
      </c>
      <c r="C140" s="7">
        <v>1</v>
      </c>
      <c r="D140" s="2" t="s">
        <v>77</v>
      </c>
      <c r="E140" s="8"/>
      <c r="F140" s="16">
        <f t="shared" si="9"/>
        <v>0</v>
      </c>
    </row>
    <row r="141" spans="1:6" x14ac:dyDescent="0.2">
      <c r="A141" s="2"/>
      <c r="B141" s="5" t="s">
        <v>261</v>
      </c>
      <c r="C141" s="2"/>
      <c r="D141" s="2"/>
      <c r="E141" s="2"/>
      <c r="F141" s="16"/>
    </row>
    <row r="142" spans="1:6" x14ac:dyDescent="0.2">
      <c r="A142" s="2" t="s">
        <v>415</v>
      </c>
      <c r="B142" s="5" t="s">
        <v>263</v>
      </c>
      <c r="C142" s="7">
        <v>2</v>
      </c>
      <c r="D142" s="2" t="s">
        <v>77</v>
      </c>
      <c r="E142" s="8"/>
      <c r="F142" s="16">
        <f t="shared" si="9"/>
        <v>0</v>
      </c>
    </row>
    <row r="143" spans="1:6" x14ac:dyDescent="0.2">
      <c r="A143" s="2" t="s">
        <v>416</v>
      </c>
      <c r="B143" s="5" t="s">
        <v>252</v>
      </c>
      <c r="C143" s="7">
        <v>1</v>
      </c>
      <c r="D143" s="2" t="s">
        <v>77</v>
      </c>
      <c r="E143" s="8"/>
      <c r="F143" s="16">
        <f t="shared" si="9"/>
        <v>0</v>
      </c>
    </row>
    <row r="144" spans="1:6" x14ac:dyDescent="0.2">
      <c r="A144" s="2" t="s">
        <v>417</v>
      </c>
      <c r="B144" s="5" t="s">
        <v>254</v>
      </c>
      <c r="C144" s="7">
        <v>3</v>
      </c>
      <c r="D144" s="2" t="s">
        <v>77</v>
      </c>
      <c r="E144" s="8"/>
      <c r="F144" s="16">
        <f t="shared" si="9"/>
        <v>0</v>
      </c>
    </row>
    <row r="145" spans="1:6" x14ac:dyDescent="0.2">
      <c r="A145" s="2" t="s">
        <v>418</v>
      </c>
      <c r="B145" s="5" t="s">
        <v>267</v>
      </c>
      <c r="C145" s="7">
        <v>1</v>
      </c>
      <c r="D145" s="2" t="s">
        <v>77</v>
      </c>
      <c r="E145" s="8"/>
      <c r="F145" s="16">
        <f t="shared" si="9"/>
        <v>0</v>
      </c>
    </row>
    <row r="146" spans="1:6" x14ac:dyDescent="0.2">
      <c r="A146" s="2" t="s">
        <v>419</v>
      </c>
      <c r="B146" s="5" t="s">
        <v>269</v>
      </c>
      <c r="C146" s="7">
        <v>2</v>
      </c>
      <c r="D146" s="2" t="s">
        <v>77</v>
      </c>
      <c r="E146" s="8"/>
      <c r="F146" s="16">
        <f t="shared" si="9"/>
        <v>0</v>
      </c>
    </row>
    <row r="147" spans="1:6" x14ac:dyDescent="0.2">
      <c r="A147" s="2" t="s">
        <v>420</v>
      </c>
      <c r="B147" s="5" t="s">
        <v>256</v>
      </c>
      <c r="C147" s="7">
        <v>3</v>
      </c>
      <c r="D147" s="2" t="s">
        <v>77</v>
      </c>
      <c r="E147" s="8"/>
      <c r="F147" s="16">
        <f t="shared" si="9"/>
        <v>0</v>
      </c>
    </row>
    <row r="148" spans="1:6" x14ac:dyDescent="0.2">
      <c r="A148" s="2" t="s">
        <v>421</v>
      </c>
      <c r="B148" s="5" t="s">
        <v>272</v>
      </c>
      <c r="C148" s="7">
        <v>4</v>
      </c>
      <c r="D148" s="2" t="s">
        <v>77</v>
      </c>
      <c r="E148" s="8"/>
      <c r="F148" s="16">
        <f>C148*E148</f>
        <v>0</v>
      </c>
    </row>
    <row r="149" spans="1:6" x14ac:dyDescent="0.2">
      <c r="A149" s="2" t="s">
        <v>422</v>
      </c>
      <c r="B149" s="5" t="s">
        <v>274</v>
      </c>
      <c r="C149" s="7">
        <v>2</v>
      </c>
      <c r="D149" s="2" t="s">
        <v>77</v>
      </c>
      <c r="E149" s="8"/>
      <c r="F149" s="16">
        <f t="shared" si="9"/>
        <v>0</v>
      </c>
    </row>
    <row r="150" spans="1:6" x14ac:dyDescent="0.2">
      <c r="A150" s="2" t="s">
        <v>423</v>
      </c>
      <c r="B150" s="5" t="s">
        <v>276</v>
      </c>
      <c r="C150" s="7">
        <v>2</v>
      </c>
      <c r="D150" s="2" t="s">
        <v>77</v>
      </c>
      <c r="E150" s="8"/>
      <c r="F150" s="16">
        <f t="shared" si="9"/>
        <v>0</v>
      </c>
    </row>
    <row r="151" spans="1:6" ht="20" x14ac:dyDescent="0.2">
      <c r="A151" s="2" t="s">
        <v>424</v>
      </c>
      <c r="B151" s="5" t="s">
        <v>278</v>
      </c>
      <c r="C151" s="7">
        <v>2</v>
      </c>
      <c r="D151" s="2" t="s">
        <v>77</v>
      </c>
      <c r="E151" s="8"/>
      <c r="F151" s="16">
        <f t="shared" si="9"/>
        <v>0</v>
      </c>
    </row>
    <row r="152" spans="1:6" x14ac:dyDescent="0.2">
      <c r="A152" s="2" t="s">
        <v>425</v>
      </c>
      <c r="B152" s="5" t="s">
        <v>258</v>
      </c>
      <c r="C152" s="7">
        <v>1</v>
      </c>
      <c r="D152" s="2" t="s">
        <v>77</v>
      </c>
      <c r="E152" s="8"/>
      <c r="F152" s="16">
        <f t="shared" si="9"/>
        <v>0</v>
      </c>
    </row>
    <row r="153" spans="1:6" x14ac:dyDescent="0.2">
      <c r="A153" s="2" t="s">
        <v>426</v>
      </c>
      <c r="B153" s="5" t="s">
        <v>260</v>
      </c>
      <c r="C153" s="7">
        <v>1</v>
      </c>
      <c r="D153" s="2" t="s">
        <v>77</v>
      </c>
      <c r="E153" s="8"/>
      <c r="F153" s="16">
        <f t="shared" si="9"/>
        <v>0</v>
      </c>
    </row>
    <row r="154" spans="1:6" x14ac:dyDescent="0.2">
      <c r="A154" s="2" t="s">
        <v>427</v>
      </c>
      <c r="B154" s="5" t="s">
        <v>282</v>
      </c>
      <c r="C154" s="7">
        <v>1</v>
      </c>
      <c r="D154" s="2" t="s">
        <v>77</v>
      </c>
      <c r="E154" s="8"/>
      <c r="F154" s="16">
        <f t="shared" si="9"/>
        <v>0</v>
      </c>
    </row>
    <row r="155" spans="1:6" x14ac:dyDescent="0.2">
      <c r="A155" s="2" t="s">
        <v>428</v>
      </c>
      <c r="B155" s="5" t="s">
        <v>284</v>
      </c>
      <c r="C155" s="7">
        <v>2</v>
      </c>
      <c r="D155" s="2" t="s">
        <v>77</v>
      </c>
      <c r="E155" s="8"/>
      <c r="F155" s="16">
        <f>C155*E155</f>
        <v>0</v>
      </c>
    </row>
    <row r="156" spans="1:6" x14ac:dyDescent="0.2">
      <c r="A156" s="2"/>
      <c r="B156" s="5" t="s">
        <v>285</v>
      </c>
      <c r="C156" s="2"/>
      <c r="D156" s="2"/>
      <c r="E156" s="2"/>
      <c r="F156" s="16"/>
    </row>
    <row r="157" spans="1:6" ht="60" x14ac:dyDescent="0.2">
      <c r="A157" s="2" t="s">
        <v>429</v>
      </c>
      <c r="B157" s="5" t="s">
        <v>287</v>
      </c>
      <c r="C157" s="7">
        <v>6.58</v>
      </c>
      <c r="D157" s="2" t="s">
        <v>86</v>
      </c>
      <c r="E157" s="8"/>
      <c r="F157" s="16">
        <f t="shared" si="9"/>
        <v>0</v>
      </c>
    </row>
    <row r="158" spans="1:6" ht="13" x14ac:dyDescent="0.3">
      <c r="B158" s="20" t="s">
        <v>288</v>
      </c>
      <c r="C158" s="9"/>
      <c r="D158" s="3"/>
      <c r="E158" s="9"/>
      <c r="F158" s="18">
        <f>SUM(F120:F157)</f>
        <v>0</v>
      </c>
    </row>
    <row r="159" spans="1:6" ht="13" x14ac:dyDescent="0.3">
      <c r="F159" s="18"/>
    </row>
    <row r="160" spans="1:6" ht="13" x14ac:dyDescent="0.3">
      <c r="A160" s="6" t="s">
        <v>430</v>
      </c>
      <c r="B160" s="21" t="s">
        <v>290</v>
      </c>
      <c r="F160" s="18"/>
    </row>
    <row r="161" spans="1:6" x14ac:dyDescent="0.2">
      <c r="A161" s="2"/>
      <c r="B161" s="5" t="s">
        <v>431</v>
      </c>
      <c r="C161" s="2"/>
      <c r="D161" s="2"/>
      <c r="E161" s="2"/>
    </row>
    <row r="162" spans="1:6" x14ac:dyDescent="0.2">
      <c r="A162" s="2"/>
      <c r="B162" s="5" t="s">
        <v>128</v>
      </c>
      <c r="C162" s="2"/>
      <c r="D162" s="2"/>
      <c r="E162" s="2"/>
    </row>
    <row r="163" spans="1:6" ht="20" x14ac:dyDescent="0.2">
      <c r="A163" s="2"/>
      <c r="B163" s="5" t="s">
        <v>291</v>
      </c>
      <c r="C163" s="2"/>
      <c r="D163" s="2" t="s">
        <v>73</v>
      </c>
      <c r="E163" s="2"/>
      <c r="F163" s="16"/>
    </row>
    <row r="164" spans="1:6" ht="30" x14ac:dyDescent="0.2">
      <c r="A164" s="2"/>
      <c r="B164" s="5" t="s">
        <v>292</v>
      </c>
      <c r="C164" s="2"/>
      <c r="D164" s="2" t="s">
        <v>73</v>
      </c>
      <c r="E164" s="2"/>
      <c r="F164" s="16"/>
    </row>
    <row r="165" spans="1:6" x14ac:dyDescent="0.2">
      <c r="A165" s="2"/>
      <c r="B165" s="5" t="s">
        <v>293</v>
      </c>
      <c r="C165" s="2"/>
      <c r="D165" s="2"/>
      <c r="E165" s="2"/>
    </row>
    <row r="166" spans="1:6" ht="50" x14ac:dyDescent="0.2">
      <c r="A166" s="2" t="s">
        <v>432</v>
      </c>
      <c r="B166" s="5" t="s">
        <v>295</v>
      </c>
      <c r="C166" s="7">
        <v>52</v>
      </c>
      <c r="D166" s="2" t="s">
        <v>89</v>
      </c>
      <c r="E166" s="8"/>
      <c r="F166" s="16">
        <f>C166*E166</f>
        <v>0</v>
      </c>
    </row>
    <row r="167" spans="1:6" ht="50" x14ac:dyDescent="0.2">
      <c r="A167" s="2" t="s">
        <v>433</v>
      </c>
      <c r="B167" s="5" t="s">
        <v>297</v>
      </c>
      <c r="C167" s="7">
        <v>5</v>
      </c>
      <c r="D167" s="2" t="s">
        <v>86</v>
      </c>
      <c r="E167" s="8"/>
      <c r="F167" s="16">
        <f t="shared" ref="F167" si="10">C167*E167</f>
        <v>0</v>
      </c>
    </row>
    <row r="168" spans="1:6" x14ac:dyDescent="0.2">
      <c r="A168" s="2"/>
      <c r="B168" s="5" t="s">
        <v>298</v>
      </c>
      <c r="C168" s="2"/>
      <c r="D168" s="2"/>
      <c r="E168" s="2"/>
    </row>
    <row r="169" spans="1:6" ht="30" x14ac:dyDescent="0.2">
      <c r="A169" s="2" t="s">
        <v>434</v>
      </c>
      <c r="B169" s="5" t="s">
        <v>300</v>
      </c>
      <c r="C169" s="7">
        <v>3</v>
      </c>
      <c r="D169" s="2" t="s">
        <v>89</v>
      </c>
      <c r="E169" s="8"/>
      <c r="F169" s="16">
        <f>C169*E169</f>
        <v>0</v>
      </c>
    </row>
    <row r="170" spans="1:6" ht="13" x14ac:dyDescent="0.3">
      <c r="B170" s="20" t="s">
        <v>301</v>
      </c>
      <c r="C170" s="9"/>
      <c r="D170" s="3"/>
      <c r="E170" s="9"/>
      <c r="F170" s="18">
        <f>SUM(F166:F169)</f>
        <v>0</v>
      </c>
    </row>
    <row r="171" spans="1:6" x14ac:dyDescent="0.2">
      <c r="F171" s="16"/>
    </row>
    <row r="172" spans="1:6" ht="13" x14ac:dyDescent="0.3">
      <c r="A172" s="6" t="s">
        <v>435</v>
      </c>
      <c r="B172" s="21" t="s">
        <v>303</v>
      </c>
      <c r="F172" s="18"/>
    </row>
    <row r="173" spans="1:6" x14ac:dyDescent="0.2">
      <c r="A173" s="2"/>
      <c r="B173" s="5" t="s">
        <v>304</v>
      </c>
      <c r="C173" s="2"/>
      <c r="D173" s="2"/>
      <c r="E173" s="2"/>
    </row>
    <row r="174" spans="1:6" x14ac:dyDescent="0.2">
      <c r="A174" s="2"/>
      <c r="B174" s="5" t="s">
        <v>128</v>
      </c>
      <c r="C174" s="2"/>
      <c r="D174" s="2"/>
      <c r="E174" s="2"/>
    </row>
    <row r="175" spans="1:6" ht="40" x14ac:dyDescent="0.2">
      <c r="A175" s="2"/>
      <c r="B175" s="5" t="s">
        <v>305</v>
      </c>
      <c r="C175" s="2"/>
      <c r="D175" s="2" t="s">
        <v>73</v>
      </c>
      <c r="E175" s="2"/>
    </row>
    <row r="176" spans="1:6" ht="60" x14ac:dyDescent="0.2">
      <c r="A176" s="2"/>
      <c r="B176" s="5" t="s">
        <v>306</v>
      </c>
      <c r="C176" s="2"/>
      <c r="D176" s="2" t="s">
        <v>73</v>
      </c>
      <c r="E176" s="2"/>
    </row>
    <row r="177" spans="1:6" ht="50" x14ac:dyDescent="0.2">
      <c r="A177" s="2"/>
      <c r="B177" s="5" t="s">
        <v>307</v>
      </c>
      <c r="C177" s="2"/>
      <c r="D177" s="2" t="s">
        <v>73</v>
      </c>
      <c r="E177" s="2"/>
    </row>
    <row r="178" spans="1:6" ht="50" x14ac:dyDescent="0.2">
      <c r="A178" s="2"/>
      <c r="B178" s="5" t="s">
        <v>308</v>
      </c>
      <c r="C178" s="2"/>
      <c r="D178" s="2" t="s">
        <v>73</v>
      </c>
      <c r="E178" s="2"/>
      <c r="F178" s="16"/>
    </row>
    <row r="179" spans="1:6" ht="41" x14ac:dyDescent="0.3">
      <c r="A179" s="2"/>
      <c r="B179" s="5" t="s">
        <v>309</v>
      </c>
      <c r="C179" s="2"/>
      <c r="D179" s="2" t="s">
        <v>73</v>
      </c>
      <c r="E179" s="2"/>
      <c r="F179" s="18"/>
    </row>
    <row r="180" spans="1:6" x14ac:dyDescent="0.2">
      <c r="A180" s="2"/>
      <c r="B180" s="5" t="s">
        <v>310</v>
      </c>
      <c r="C180" s="2"/>
      <c r="D180" s="2" t="s">
        <v>73</v>
      </c>
      <c r="E180" s="2"/>
    </row>
    <row r="181" spans="1:6" ht="50" x14ac:dyDescent="0.2">
      <c r="A181" s="2" t="s">
        <v>436</v>
      </c>
      <c r="B181" s="5" t="s">
        <v>312</v>
      </c>
      <c r="C181" s="7">
        <v>181</v>
      </c>
      <c r="D181" s="2" t="s">
        <v>89</v>
      </c>
      <c r="E181" s="7"/>
      <c r="F181" s="16">
        <f>C181*E181</f>
        <v>0</v>
      </c>
    </row>
    <row r="182" spans="1:6" ht="13" x14ac:dyDescent="0.3">
      <c r="B182" s="20" t="s">
        <v>313</v>
      </c>
      <c r="C182" s="9"/>
      <c r="D182" s="3"/>
      <c r="E182" s="9"/>
      <c r="F182" s="18">
        <f>SUM(F181)</f>
        <v>0</v>
      </c>
    </row>
    <row r="183" spans="1:6" x14ac:dyDescent="0.2">
      <c r="F183" s="16"/>
    </row>
    <row r="184" spans="1:6" ht="13" x14ac:dyDescent="0.3">
      <c r="A184" s="6" t="s">
        <v>437</v>
      </c>
      <c r="B184" s="21" t="s">
        <v>315</v>
      </c>
      <c r="F184" s="18"/>
    </row>
    <row r="185" spans="1:6" x14ac:dyDescent="0.2">
      <c r="A185" s="2"/>
      <c r="B185" s="5" t="s">
        <v>316</v>
      </c>
      <c r="C185" s="2"/>
      <c r="D185" s="2"/>
      <c r="E185" s="2"/>
    </row>
    <row r="186" spans="1:6" x14ac:dyDescent="0.2">
      <c r="A186" s="2"/>
      <c r="B186" s="5" t="s">
        <v>128</v>
      </c>
      <c r="C186" s="2"/>
      <c r="D186" s="2"/>
      <c r="E186" s="2"/>
    </row>
    <row r="187" spans="1:6" ht="60" x14ac:dyDescent="0.2">
      <c r="A187" s="2"/>
      <c r="B187" s="5" t="s">
        <v>317</v>
      </c>
      <c r="C187" s="2"/>
      <c r="D187" s="2" t="s">
        <v>73</v>
      </c>
      <c r="E187" s="2"/>
    </row>
    <row r="188" spans="1:6" ht="70" x14ac:dyDescent="0.2">
      <c r="A188" s="2"/>
      <c r="B188" s="5" t="s">
        <v>318</v>
      </c>
      <c r="C188" s="2"/>
      <c r="D188" s="2" t="s">
        <v>73</v>
      </c>
      <c r="E188" s="2"/>
    </row>
    <row r="189" spans="1:6" ht="90" x14ac:dyDescent="0.2">
      <c r="A189" s="2"/>
      <c r="B189" s="5" t="s">
        <v>319</v>
      </c>
      <c r="C189" s="2"/>
      <c r="D189" s="2" t="s">
        <v>73</v>
      </c>
      <c r="E189" s="2"/>
    </row>
    <row r="190" spans="1:6" ht="80" x14ac:dyDescent="0.2">
      <c r="A190" s="2"/>
      <c r="B190" s="5" t="s">
        <v>320</v>
      </c>
      <c r="C190" s="2"/>
      <c r="D190" s="2" t="s">
        <v>73</v>
      </c>
      <c r="E190" s="2"/>
    </row>
    <row r="191" spans="1:6" ht="70" x14ac:dyDescent="0.2">
      <c r="A191" s="2"/>
      <c r="B191" s="5" t="s">
        <v>321</v>
      </c>
      <c r="C191" s="2"/>
      <c r="D191" s="2" t="s">
        <v>73</v>
      </c>
      <c r="E191" s="2"/>
      <c r="F191" s="16"/>
    </row>
    <row r="192" spans="1:6" ht="71" x14ac:dyDescent="0.3">
      <c r="A192" s="2"/>
      <c r="B192" s="5" t="s">
        <v>322</v>
      </c>
      <c r="C192" s="2"/>
      <c r="D192" s="2" t="s">
        <v>73</v>
      </c>
      <c r="E192" s="2"/>
      <c r="F192" s="18"/>
    </row>
    <row r="193" spans="1:6" x14ac:dyDescent="0.2">
      <c r="A193" s="2"/>
      <c r="B193" s="5" t="s">
        <v>323</v>
      </c>
      <c r="C193" s="2"/>
      <c r="D193" s="2"/>
      <c r="E193" s="2"/>
    </row>
    <row r="194" spans="1:6" ht="50" x14ac:dyDescent="0.2">
      <c r="A194" s="2" t="s">
        <v>438</v>
      </c>
      <c r="B194" s="5" t="s">
        <v>325</v>
      </c>
      <c r="C194" s="7">
        <v>181</v>
      </c>
      <c r="D194" s="2" t="s">
        <v>89</v>
      </c>
      <c r="E194" s="7"/>
      <c r="F194" s="16">
        <f>C194*E194</f>
        <v>0</v>
      </c>
    </row>
    <row r="195" spans="1:6" ht="13" x14ac:dyDescent="0.3">
      <c r="B195" s="20" t="s">
        <v>326</v>
      </c>
      <c r="C195" s="9"/>
      <c r="D195" s="3"/>
      <c r="E195" s="9"/>
      <c r="F195" s="18">
        <f>SUM(F194)</f>
        <v>0</v>
      </c>
    </row>
    <row r="196" spans="1:6" x14ac:dyDescent="0.2">
      <c r="F196" s="16"/>
    </row>
    <row r="197" spans="1:6" ht="13" x14ac:dyDescent="0.3">
      <c r="A197" s="6" t="s">
        <v>439</v>
      </c>
      <c r="B197" s="21" t="s">
        <v>328</v>
      </c>
      <c r="F197" s="18"/>
    </row>
    <row r="198" spans="1:6" ht="20" x14ac:dyDescent="0.2">
      <c r="A198" s="2"/>
      <c r="B198" s="5" t="s">
        <v>329</v>
      </c>
      <c r="C198" s="2"/>
      <c r="D198" s="2"/>
      <c r="E198" s="2"/>
    </row>
    <row r="199" spans="1:6" x14ac:dyDescent="0.2">
      <c r="A199" s="2"/>
      <c r="B199" s="5" t="s">
        <v>71</v>
      </c>
      <c r="C199" s="2"/>
      <c r="D199" s="2"/>
      <c r="E199" s="2"/>
    </row>
    <row r="200" spans="1:6" ht="70" x14ac:dyDescent="0.2">
      <c r="A200" s="2"/>
      <c r="B200" s="5" t="s">
        <v>330</v>
      </c>
      <c r="C200" s="2"/>
      <c r="D200" s="2" t="s">
        <v>73</v>
      </c>
      <c r="E200" s="2"/>
    </row>
    <row r="201" spans="1:6" ht="110" x14ac:dyDescent="0.2">
      <c r="A201" s="2"/>
      <c r="B201" s="5" t="s">
        <v>331</v>
      </c>
      <c r="C201" s="2"/>
      <c r="D201" s="2" t="s">
        <v>73</v>
      </c>
      <c r="E201" s="2"/>
    </row>
    <row r="202" spans="1:6" ht="180" x14ac:dyDescent="0.2">
      <c r="A202" s="2"/>
      <c r="B202" s="5" t="s">
        <v>332</v>
      </c>
      <c r="C202" s="2"/>
      <c r="D202" s="2" t="s">
        <v>73</v>
      </c>
      <c r="E202" s="2"/>
    </row>
    <row r="203" spans="1:6" ht="90" x14ac:dyDescent="0.2">
      <c r="A203" s="2"/>
      <c r="B203" s="5" t="s">
        <v>333</v>
      </c>
      <c r="C203" s="2"/>
      <c r="D203" s="2" t="s">
        <v>73</v>
      </c>
      <c r="E203" s="2"/>
    </row>
    <row r="204" spans="1:6" ht="80" x14ac:dyDescent="0.2">
      <c r="A204" s="2"/>
      <c r="B204" s="5" t="s">
        <v>334</v>
      </c>
      <c r="C204" s="2"/>
      <c r="D204" s="2" t="s">
        <v>73</v>
      </c>
      <c r="E204" s="2"/>
    </row>
    <row r="205" spans="1:6" ht="90" x14ac:dyDescent="0.2">
      <c r="A205" s="2"/>
      <c r="B205" s="5" t="s">
        <v>335</v>
      </c>
      <c r="C205" s="2"/>
      <c r="D205" s="2" t="s">
        <v>73</v>
      </c>
      <c r="E205" s="2"/>
    </row>
    <row r="206" spans="1:6" ht="60" x14ac:dyDescent="0.2">
      <c r="A206" s="2"/>
      <c r="B206" s="5" t="s">
        <v>336</v>
      </c>
      <c r="C206" s="2"/>
      <c r="D206" s="2" t="s">
        <v>73</v>
      </c>
      <c r="E206" s="2"/>
    </row>
    <row r="207" spans="1:6" ht="60" x14ac:dyDescent="0.2">
      <c r="A207" s="2"/>
      <c r="B207" s="5" t="s">
        <v>337</v>
      </c>
      <c r="C207" s="2"/>
      <c r="D207" s="2" t="s">
        <v>73</v>
      </c>
      <c r="E207" s="2"/>
      <c r="F207" s="16"/>
    </row>
    <row r="208" spans="1:6" ht="81" x14ac:dyDescent="0.3">
      <c r="A208" s="2"/>
      <c r="B208" s="5" t="s">
        <v>338</v>
      </c>
      <c r="C208" s="2"/>
      <c r="D208" s="2" t="s">
        <v>73</v>
      </c>
      <c r="E208" s="2"/>
      <c r="F208" s="18"/>
    </row>
    <row r="209" spans="1:6" ht="13" x14ac:dyDescent="0.3">
      <c r="A209" s="2"/>
      <c r="B209" s="5" t="s">
        <v>339</v>
      </c>
      <c r="C209" s="2"/>
      <c r="D209" s="2"/>
      <c r="E209" s="2"/>
      <c r="F209" s="17"/>
    </row>
    <row r="210" spans="1:6" ht="50" x14ac:dyDescent="0.2">
      <c r="A210" s="2"/>
      <c r="B210" s="5" t="s">
        <v>341</v>
      </c>
      <c r="C210" s="7">
        <v>181</v>
      </c>
      <c r="D210" s="2" t="s">
        <v>89</v>
      </c>
      <c r="E210" s="7"/>
      <c r="F210" s="16">
        <f>C210*E210</f>
        <v>0</v>
      </c>
    </row>
    <row r="211" spans="1:6" ht="21.5" x14ac:dyDescent="0.3">
      <c r="B211" s="20" t="s">
        <v>342</v>
      </c>
      <c r="C211" s="9"/>
      <c r="D211" s="3"/>
      <c r="E211" s="9"/>
      <c r="F211" s="18">
        <f>SUM(F210)</f>
        <v>0</v>
      </c>
    </row>
    <row r="212" spans="1:6" ht="13" x14ac:dyDescent="0.3">
      <c r="B212" s="20" t="s">
        <v>440</v>
      </c>
      <c r="C212" s="9"/>
      <c r="D212" s="3"/>
      <c r="E212" s="9"/>
      <c r="F212" s="17">
        <f>F211+F195+F182+F170+F158+F116+F90+F80+F73+F60+F39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6726-5B96-4FB3-8366-697345631936}">
  <sheetPr codeName="Sheet4">
    <pageSetUpPr fitToPage="1"/>
  </sheetPr>
  <dimension ref="A1:F213"/>
  <sheetViews>
    <sheetView zoomScaleNormal="100" workbookViewId="0">
      <pane ySplit="3" topLeftCell="A4"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1809</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441</v>
      </c>
      <c r="B6" s="20" t="s">
        <v>442</v>
      </c>
    </row>
    <row r="7" spans="1:6" x14ac:dyDescent="0.2">
      <c r="A7" s="2"/>
      <c r="B7" s="5"/>
      <c r="C7" s="2"/>
      <c r="D7" s="2"/>
      <c r="E7" s="2"/>
    </row>
    <row r="8" spans="1:6" x14ac:dyDescent="0.2">
      <c r="A8" s="2"/>
      <c r="B8" s="5" t="s">
        <v>443</v>
      </c>
      <c r="C8" s="2"/>
      <c r="D8" s="2"/>
      <c r="E8" s="2"/>
    </row>
    <row r="10" spans="1:6" ht="10.5" x14ac:dyDescent="0.25">
      <c r="A10" s="6" t="s">
        <v>444</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445</v>
      </c>
      <c r="B15" s="5" t="s">
        <v>76</v>
      </c>
      <c r="C15" s="7">
        <v>15</v>
      </c>
      <c r="D15" s="2" t="s">
        <v>77</v>
      </c>
      <c r="E15" s="8"/>
      <c r="F15" s="16">
        <f>C15*E15</f>
        <v>0</v>
      </c>
    </row>
    <row r="16" spans="1:6" x14ac:dyDescent="0.2">
      <c r="A16" s="2" t="s">
        <v>446</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447</v>
      </c>
      <c r="B18" s="5" t="s">
        <v>83</v>
      </c>
      <c r="C18" s="7">
        <v>1</v>
      </c>
      <c r="D18" s="2" t="s">
        <v>80</v>
      </c>
      <c r="E18" s="8"/>
      <c r="F18" s="16">
        <f t="shared" si="0"/>
        <v>0</v>
      </c>
    </row>
    <row r="19" spans="1:6" x14ac:dyDescent="0.2">
      <c r="A19" s="2"/>
      <c r="B19" s="5" t="s">
        <v>69</v>
      </c>
      <c r="C19" s="2"/>
      <c r="D19" s="2"/>
      <c r="E19" s="2"/>
      <c r="F19" s="16"/>
    </row>
    <row r="20" spans="1:6" ht="20" x14ac:dyDescent="0.2">
      <c r="A20" s="2" t="s">
        <v>448</v>
      </c>
      <c r="B20" s="5" t="s">
        <v>85</v>
      </c>
      <c r="C20" s="7">
        <v>8</v>
      </c>
      <c r="D20" s="2" t="s">
        <v>86</v>
      </c>
      <c r="E20" s="8"/>
      <c r="F20" s="16">
        <f t="shared" si="0"/>
        <v>0</v>
      </c>
    </row>
    <row r="21" spans="1:6" x14ac:dyDescent="0.2">
      <c r="A21" s="2" t="s">
        <v>449</v>
      </c>
      <c r="B21" s="5" t="s">
        <v>88</v>
      </c>
      <c r="C21" s="7">
        <v>6</v>
      </c>
      <c r="D21" s="2" t="s">
        <v>89</v>
      </c>
      <c r="E21" s="8"/>
      <c r="F21" s="16">
        <f t="shared" si="0"/>
        <v>0</v>
      </c>
    </row>
    <row r="22" spans="1:6" ht="30" x14ac:dyDescent="0.2">
      <c r="A22" s="2" t="s">
        <v>450</v>
      </c>
      <c r="B22" s="5" t="s">
        <v>91</v>
      </c>
      <c r="C22" s="7">
        <v>41</v>
      </c>
      <c r="D22" s="2" t="s">
        <v>89</v>
      </c>
      <c r="E22" s="8"/>
      <c r="F22" s="16">
        <f t="shared" si="0"/>
        <v>0</v>
      </c>
    </row>
    <row r="23" spans="1:6" x14ac:dyDescent="0.2">
      <c r="A23" s="2" t="s">
        <v>451</v>
      </c>
      <c r="B23" s="5" t="s">
        <v>93</v>
      </c>
      <c r="C23" s="7">
        <v>11</v>
      </c>
      <c r="D23" s="2" t="s">
        <v>86</v>
      </c>
      <c r="E23" s="8"/>
      <c r="F23" s="16">
        <f t="shared" si="0"/>
        <v>0</v>
      </c>
    </row>
    <row r="24" spans="1:6" x14ac:dyDescent="0.2">
      <c r="A24" s="2" t="s">
        <v>452</v>
      </c>
      <c r="B24" s="5" t="s">
        <v>95</v>
      </c>
      <c r="C24" s="7">
        <v>13</v>
      </c>
      <c r="D24" s="2" t="s">
        <v>77</v>
      </c>
      <c r="E24" s="8"/>
      <c r="F24" s="16">
        <f t="shared" si="0"/>
        <v>0</v>
      </c>
    </row>
    <row r="25" spans="1:6" ht="20" x14ac:dyDescent="0.2">
      <c r="A25" s="2" t="s">
        <v>453</v>
      </c>
      <c r="B25" s="5" t="s">
        <v>97</v>
      </c>
      <c r="C25" s="7">
        <v>9</v>
      </c>
      <c r="D25" s="2" t="s">
        <v>86</v>
      </c>
      <c r="E25" s="8"/>
      <c r="F25" s="16">
        <f t="shared" si="0"/>
        <v>0</v>
      </c>
    </row>
    <row r="26" spans="1:6" x14ac:dyDescent="0.2">
      <c r="A26" s="2" t="s">
        <v>454</v>
      </c>
      <c r="B26" s="5" t="s">
        <v>99</v>
      </c>
      <c r="C26" s="7">
        <v>146</v>
      </c>
      <c r="D26" s="2" t="s">
        <v>89</v>
      </c>
      <c r="E26" s="8"/>
      <c r="F26" s="16">
        <f t="shared" si="0"/>
        <v>0</v>
      </c>
    </row>
    <row r="27" spans="1:6" x14ac:dyDescent="0.2">
      <c r="A27" s="2" t="s">
        <v>455</v>
      </c>
      <c r="B27" s="5" t="s">
        <v>101</v>
      </c>
      <c r="C27" s="7">
        <v>2</v>
      </c>
      <c r="D27" s="2" t="s">
        <v>77</v>
      </c>
      <c r="E27" s="8"/>
      <c r="F27" s="16">
        <f t="shared" si="0"/>
        <v>0</v>
      </c>
    </row>
    <row r="28" spans="1:6" x14ac:dyDescent="0.2">
      <c r="A28" s="2" t="s">
        <v>456</v>
      </c>
      <c r="B28" s="5" t="s">
        <v>103</v>
      </c>
      <c r="C28" s="7">
        <v>1</v>
      </c>
      <c r="D28" s="2" t="s">
        <v>104</v>
      </c>
      <c r="E28" s="8"/>
      <c r="F28" s="16">
        <f t="shared" si="0"/>
        <v>0</v>
      </c>
    </row>
    <row r="29" spans="1:6" x14ac:dyDescent="0.2">
      <c r="A29" s="2" t="s">
        <v>457</v>
      </c>
      <c r="B29" s="5" t="s">
        <v>106</v>
      </c>
      <c r="C29" s="7">
        <v>1</v>
      </c>
      <c r="D29" s="2" t="s">
        <v>77</v>
      </c>
      <c r="E29" s="8"/>
      <c r="F29" s="16">
        <f t="shared" si="0"/>
        <v>0</v>
      </c>
    </row>
    <row r="30" spans="1:6" x14ac:dyDescent="0.2">
      <c r="A30" s="2" t="s">
        <v>458</v>
      </c>
      <c r="B30" s="5" t="s">
        <v>108</v>
      </c>
      <c r="C30" s="7">
        <v>69</v>
      </c>
      <c r="D30" s="2" t="s">
        <v>89</v>
      </c>
      <c r="E30" s="8"/>
      <c r="F30" s="16">
        <f t="shared" si="0"/>
        <v>0</v>
      </c>
    </row>
    <row r="31" spans="1:6" ht="20" x14ac:dyDescent="0.2">
      <c r="A31" s="2" t="s">
        <v>459</v>
      </c>
      <c r="B31" s="5" t="s">
        <v>110</v>
      </c>
      <c r="C31" s="7">
        <v>1</v>
      </c>
      <c r="D31" s="2" t="s">
        <v>77</v>
      </c>
      <c r="E31" s="8"/>
      <c r="F31" s="16">
        <f t="shared" si="0"/>
        <v>0</v>
      </c>
    </row>
    <row r="32" spans="1:6" ht="20" x14ac:dyDescent="0.2">
      <c r="A32" s="2" t="s">
        <v>460</v>
      </c>
      <c r="B32" s="5" t="s">
        <v>112</v>
      </c>
      <c r="C32" s="7">
        <v>33</v>
      </c>
      <c r="D32" s="2" t="s">
        <v>86</v>
      </c>
      <c r="E32" s="8"/>
      <c r="F32" s="16">
        <f t="shared" si="0"/>
        <v>0</v>
      </c>
    </row>
    <row r="33" spans="1:6" ht="40" x14ac:dyDescent="0.2">
      <c r="A33" s="2" t="s">
        <v>461</v>
      </c>
      <c r="B33" s="5" t="s">
        <v>114</v>
      </c>
      <c r="C33" s="7">
        <v>51</v>
      </c>
      <c r="D33" s="2" t="s">
        <v>89</v>
      </c>
      <c r="E33" s="8"/>
      <c r="F33" s="16">
        <f t="shared" si="0"/>
        <v>0</v>
      </c>
    </row>
    <row r="34" spans="1:6" x14ac:dyDescent="0.2">
      <c r="A34" s="2"/>
      <c r="B34" s="5" t="s">
        <v>115</v>
      </c>
      <c r="C34" s="2"/>
      <c r="D34" s="2"/>
      <c r="E34" s="2"/>
      <c r="F34" s="16"/>
    </row>
    <row r="35" spans="1:6" ht="30" x14ac:dyDescent="0.2">
      <c r="A35" s="2" t="s">
        <v>462</v>
      </c>
      <c r="B35" s="5" t="s">
        <v>117</v>
      </c>
      <c r="C35" s="7">
        <v>1</v>
      </c>
      <c r="D35" s="2" t="s">
        <v>80</v>
      </c>
      <c r="E35" s="8"/>
      <c r="F35" s="16">
        <f t="shared" si="0"/>
        <v>0</v>
      </c>
    </row>
    <row r="36" spans="1:6" x14ac:dyDescent="0.2">
      <c r="A36" s="2" t="s">
        <v>463</v>
      </c>
      <c r="B36" s="5" t="s">
        <v>119</v>
      </c>
      <c r="C36" s="7">
        <v>1</v>
      </c>
      <c r="D36" s="2" t="s">
        <v>104</v>
      </c>
      <c r="E36" s="8"/>
      <c r="F36" s="16">
        <f t="shared" si="0"/>
        <v>0</v>
      </c>
    </row>
    <row r="37" spans="1:6" ht="20" x14ac:dyDescent="0.2">
      <c r="A37" s="2" t="s">
        <v>464</v>
      </c>
      <c r="B37" s="5" t="s">
        <v>121</v>
      </c>
      <c r="C37" s="7">
        <v>1</v>
      </c>
      <c r="D37" s="2" t="s">
        <v>104</v>
      </c>
      <c r="E37" s="8"/>
      <c r="F37" s="16">
        <f t="shared" si="0"/>
        <v>0</v>
      </c>
    </row>
    <row r="38" spans="1:6" x14ac:dyDescent="0.2">
      <c r="A38" s="2" t="s">
        <v>465</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466</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467</v>
      </c>
      <c r="B51" s="5" t="s">
        <v>137</v>
      </c>
      <c r="C51" s="7">
        <v>346</v>
      </c>
      <c r="D51" s="2" t="s">
        <v>89</v>
      </c>
      <c r="E51" s="8"/>
      <c r="F51" s="16">
        <f t="shared" ref="F51:F57" si="1">C51*E51</f>
        <v>0</v>
      </c>
    </row>
    <row r="52" spans="1:6" x14ac:dyDescent="0.2">
      <c r="A52" s="2"/>
      <c r="B52" s="5" t="s">
        <v>138</v>
      </c>
      <c r="C52" s="2"/>
      <c r="D52" s="2"/>
      <c r="E52" s="2"/>
      <c r="F52" s="16"/>
    </row>
    <row r="53" spans="1:6" ht="30" x14ac:dyDescent="0.2">
      <c r="A53" s="2" t="s">
        <v>468</v>
      </c>
      <c r="B53" s="5" t="s">
        <v>140</v>
      </c>
      <c r="C53" s="7">
        <v>66</v>
      </c>
      <c r="D53" s="2" t="s">
        <v>89</v>
      </c>
      <c r="E53" s="8"/>
      <c r="F53" s="16">
        <f t="shared" si="1"/>
        <v>0</v>
      </c>
    </row>
    <row r="54" spans="1:6" ht="30" x14ac:dyDescent="0.2">
      <c r="A54" s="2" t="s">
        <v>469</v>
      </c>
      <c r="B54" s="5" t="s">
        <v>142</v>
      </c>
      <c r="C54" s="7">
        <v>6</v>
      </c>
      <c r="D54" s="2" t="s">
        <v>89</v>
      </c>
      <c r="E54" s="8"/>
      <c r="F54" s="16">
        <f t="shared" si="1"/>
        <v>0</v>
      </c>
    </row>
    <row r="55" spans="1:6" ht="20" x14ac:dyDescent="0.2">
      <c r="A55" s="2" t="s">
        <v>470</v>
      </c>
      <c r="B55" s="5" t="s">
        <v>144</v>
      </c>
      <c r="C55" s="7">
        <v>88</v>
      </c>
      <c r="D55" s="2" t="s">
        <v>89</v>
      </c>
      <c r="E55" s="8"/>
      <c r="F55" s="16">
        <f t="shared" si="1"/>
        <v>0</v>
      </c>
    </row>
    <row r="56" spans="1:6" x14ac:dyDescent="0.2">
      <c r="A56" s="2"/>
      <c r="B56" s="5" t="s">
        <v>145</v>
      </c>
      <c r="C56" s="2"/>
      <c r="D56" s="2"/>
      <c r="E56" s="2"/>
      <c r="F56" s="16"/>
    </row>
    <row r="57" spans="1:6" ht="30" x14ac:dyDescent="0.2">
      <c r="A57" s="2" t="s">
        <v>471</v>
      </c>
      <c r="B57" s="5" t="s">
        <v>147</v>
      </c>
      <c r="C57" s="7">
        <v>129</v>
      </c>
      <c r="D57" s="2" t="s">
        <v>86</v>
      </c>
      <c r="E57" s="8"/>
      <c r="F57" s="16">
        <f t="shared" si="1"/>
        <v>0</v>
      </c>
    </row>
    <row r="58" spans="1:6" x14ac:dyDescent="0.2">
      <c r="A58" s="2"/>
      <c r="B58" s="5" t="s">
        <v>148</v>
      </c>
      <c r="C58" s="2"/>
      <c r="D58" s="2"/>
      <c r="E58" s="2"/>
      <c r="F58" s="16"/>
    </row>
    <row r="59" spans="1:6" ht="30" x14ac:dyDescent="0.2">
      <c r="A59" s="2" t="s">
        <v>472</v>
      </c>
      <c r="B59" s="5" t="s">
        <v>150</v>
      </c>
      <c r="C59" s="7">
        <v>13</v>
      </c>
      <c r="D59" s="2" t="s">
        <v>77</v>
      </c>
      <c r="E59" s="8"/>
      <c r="F59" s="16">
        <f t="shared" ref="F59" si="2">C59*E59</f>
        <v>0</v>
      </c>
    </row>
    <row r="60" spans="1:6" ht="13" x14ac:dyDescent="0.3">
      <c r="B60" s="20" t="s">
        <v>151</v>
      </c>
      <c r="C60" s="9"/>
      <c r="D60" s="3"/>
      <c r="E60" s="9"/>
      <c r="F60" s="18">
        <f>SUM(F50:F59)</f>
        <v>0</v>
      </c>
    </row>
    <row r="61" spans="1:6" ht="13" x14ac:dyDescent="0.3">
      <c r="F61" s="18"/>
    </row>
    <row r="62" spans="1:6" ht="10.5" x14ac:dyDescent="0.25">
      <c r="A62" s="6" t="s">
        <v>473</v>
      </c>
      <c r="B62" s="21" t="s">
        <v>153</v>
      </c>
    </row>
    <row r="63" spans="1:6" x14ac:dyDescent="0.2">
      <c r="A63" s="2"/>
      <c r="B63" s="5" t="s">
        <v>154</v>
      </c>
      <c r="C63" s="2"/>
      <c r="D63" s="2"/>
      <c r="E63" s="2"/>
    </row>
    <row r="64" spans="1:6" x14ac:dyDescent="0.2">
      <c r="A64" s="2"/>
      <c r="B64" s="5" t="s">
        <v>128</v>
      </c>
      <c r="C64" s="2"/>
      <c r="D64" s="2"/>
      <c r="E64" s="2"/>
    </row>
    <row r="65" spans="1:6" ht="40" x14ac:dyDescent="0.2">
      <c r="A65" s="2"/>
      <c r="B65" s="5" t="s">
        <v>155</v>
      </c>
      <c r="C65" s="2"/>
      <c r="D65" s="2" t="s">
        <v>73</v>
      </c>
      <c r="E65" s="2"/>
    </row>
    <row r="66" spans="1:6" ht="30" x14ac:dyDescent="0.2">
      <c r="A66" s="2"/>
      <c r="B66" s="5" t="s">
        <v>156</v>
      </c>
      <c r="C66" s="2"/>
      <c r="D66" s="2" t="s">
        <v>73</v>
      </c>
      <c r="E66" s="2"/>
    </row>
    <row r="67" spans="1:6" x14ac:dyDescent="0.2">
      <c r="A67" s="2"/>
      <c r="B67" s="5" t="s">
        <v>138</v>
      </c>
      <c r="C67" s="2"/>
      <c r="D67" s="2"/>
      <c r="E67" s="2"/>
    </row>
    <row r="68" spans="1:6" ht="40" x14ac:dyDescent="0.2">
      <c r="A68" s="2" t="s">
        <v>474</v>
      </c>
      <c r="B68" s="5" t="s">
        <v>158</v>
      </c>
      <c r="C68" s="7">
        <v>121</v>
      </c>
      <c r="D68" s="2" t="s">
        <v>89</v>
      </c>
      <c r="E68" s="8"/>
      <c r="F68" s="16">
        <f t="shared" ref="F68:F72" si="3">C68*E68</f>
        <v>0</v>
      </c>
    </row>
    <row r="69" spans="1:6" ht="40" x14ac:dyDescent="0.2">
      <c r="A69" s="2" t="s">
        <v>475</v>
      </c>
      <c r="B69" s="5" t="s">
        <v>160</v>
      </c>
      <c r="C69" s="7">
        <v>16</v>
      </c>
      <c r="D69" s="2" t="s">
        <v>89</v>
      </c>
      <c r="E69" s="8"/>
      <c r="F69" s="16">
        <f t="shared" si="3"/>
        <v>0</v>
      </c>
    </row>
    <row r="70" spans="1:6" x14ac:dyDescent="0.2">
      <c r="A70" s="2"/>
      <c r="B70" s="5" t="s">
        <v>161</v>
      </c>
      <c r="C70" s="2"/>
      <c r="D70" s="2"/>
      <c r="E70" s="2"/>
      <c r="F70" s="16"/>
    </row>
    <row r="71" spans="1:6" x14ac:dyDescent="0.2">
      <c r="A71" s="2" t="s">
        <v>476</v>
      </c>
      <c r="B71" s="5" t="s">
        <v>163</v>
      </c>
      <c r="C71" s="7">
        <v>12.8</v>
      </c>
      <c r="D71" s="2" t="s">
        <v>86</v>
      </c>
      <c r="E71" s="8"/>
      <c r="F71" s="16">
        <f t="shared" si="3"/>
        <v>0</v>
      </c>
    </row>
    <row r="72" spans="1:6" ht="20" x14ac:dyDescent="0.2">
      <c r="A72" s="2" t="s">
        <v>477</v>
      </c>
      <c r="B72" s="5" t="s">
        <v>165</v>
      </c>
      <c r="C72" s="7">
        <v>8</v>
      </c>
      <c r="D72" s="2" t="s">
        <v>89</v>
      </c>
      <c r="E72" s="8"/>
      <c r="F72" s="16">
        <f t="shared" si="3"/>
        <v>0</v>
      </c>
    </row>
    <row r="73" spans="1:6" ht="13" x14ac:dyDescent="0.3">
      <c r="B73" s="20" t="s">
        <v>166</v>
      </c>
      <c r="C73" s="9"/>
      <c r="D73" s="3"/>
      <c r="E73" s="9"/>
      <c r="F73" s="18">
        <f>SUM(F68:F72)</f>
        <v>0</v>
      </c>
    </row>
    <row r="74" spans="1:6" ht="13" x14ac:dyDescent="0.3">
      <c r="F74" s="18"/>
    </row>
    <row r="75" spans="1:6" ht="10.5" x14ac:dyDescent="0.25">
      <c r="A75" s="6" t="s">
        <v>478</v>
      </c>
      <c r="B75" s="21" t="s">
        <v>168</v>
      </c>
    </row>
    <row r="76" spans="1:6" x14ac:dyDescent="0.2">
      <c r="A76" s="2"/>
      <c r="B76" s="5" t="s">
        <v>169</v>
      </c>
      <c r="C76" s="2"/>
      <c r="D76" s="2"/>
      <c r="E76" s="2"/>
    </row>
    <row r="77" spans="1:6" x14ac:dyDescent="0.2">
      <c r="A77" s="2"/>
      <c r="B77" s="5" t="s">
        <v>128</v>
      </c>
      <c r="C77" s="2"/>
      <c r="D77" s="2"/>
      <c r="E77" s="2"/>
    </row>
    <row r="78" spans="1:6" x14ac:dyDescent="0.2">
      <c r="A78" s="2"/>
      <c r="B78" s="5" t="s">
        <v>170</v>
      </c>
      <c r="C78" s="2"/>
      <c r="D78" s="2"/>
      <c r="E78" s="2"/>
    </row>
    <row r="79" spans="1:6" ht="60" x14ac:dyDescent="0.2">
      <c r="A79" s="2" t="s">
        <v>479</v>
      </c>
      <c r="B79" s="5" t="s">
        <v>172</v>
      </c>
      <c r="C79" s="7">
        <v>156</v>
      </c>
      <c r="D79" s="2" t="s">
        <v>89</v>
      </c>
      <c r="E79" s="8"/>
      <c r="F79" s="16">
        <f t="shared" ref="F79" si="4">C79*E79</f>
        <v>0</v>
      </c>
    </row>
    <row r="80" spans="1:6" ht="13" x14ac:dyDescent="0.3">
      <c r="B80" s="20" t="s">
        <v>173</v>
      </c>
      <c r="C80" s="9"/>
      <c r="D80" s="3"/>
      <c r="E80" s="9"/>
      <c r="F80" s="18">
        <f>SUM(F79)</f>
        <v>0</v>
      </c>
    </row>
    <row r="81" spans="1:6" ht="13" x14ac:dyDescent="0.3">
      <c r="F81" s="18"/>
    </row>
    <row r="82" spans="1:6" ht="10.5" x14ac:dyDescent="0.25">
      <c r="A82" s="6" t="s">
        <v>480</v>
      </c>
      <c r="B82" s="21" t="s">
        <v>175</v>
      </c>
    </row>
    <row r="83" spans="1:6" x14ac:dyDescent="0.2">
      <c r="A83" s="2"/>
      <c r="B83" s="5" t="s">
        <v>176</v>
      </c>
      <c r="C83" s="2"/>
      <c r="D83" s="2"/>
      <c r="E83" s="2"/>
    </row>
    <row r="84" spans="1:6" x14ac:dyDescent="0.2">
      <c r="A84" s="2"/>
      <c r="B84" s="5" t="s">
        <v>128</v>
      </c>
      <c r="C84" s="2"/>
      <c r="D84" s="2"/>
      <c r="E84" s="2"/>
    </row>
    <row r="85" spans="1:6" ht="30" x14ac:dyDescent="0.2">
      <c r="A85" s="2"/>
      <c r="B85" s="5" t="s">
        <v>177</v>
      </c>
      <c r="C85" s="2"/>
      <c r="D85" s="2" t="s">
        <v>73</v>
      </c>
      <c r="E85" s="2"/>
    </row>
    <row r="86" spans="1:6" x14ac:dyDescent="0.2">
      <c r="A86" s="2"/>
      <c r="B86" s="5" t="s">
        <v>148</v>
      </c>
      <c r="C86" s="2"/>
      <c r="D86" s="2"/>
      <c r="E86" s="2"/>
    </row>
    <row r="87" spans="1:6" ht="40" x14ac:dyDescent="0.2">
      <c r="A87" s="2" t="s">
        <v>481</v>
      </c>
      <c r="B87" s="5" t="s">
        <v>179</v>
      </c>
      <c r="C87" s="7">
        <v>1</v>
      </c>
      <c r="D87" s="2" t="s">
        <v>77</v>
      </c>
      <c r="E87" s="8"/>
      <c r="F87" s="16">
        <f>C87*E87</f>
        <v>0</v>
      </c>
    </row>
    <row r="88" spans="1:6" ht="20" x14ac:dyDescent="0.2">
      <c r="A88" s="2" t="s">
        <v>482</v>
      </c>
      <c r="B88" s="5" t="s">
        <v>181</v>
      </c>
      <c r="C88" s="7">
        <v>13</v>
      </c>
      <c r="D88" s="2" t="s">
        <v>77</v>
      </c>
      <c r="E88" s="8"/>
      <c r="F88" s="16">
        <f>C88*E88</f>
        <v>0</v>
      </c>
    </row>
    <row r="89" spans="1:6" ht="30" x14ac:dyDescent="0.2">
      <c r="A89" s="2" t="s">
        <v>483</v>
      </c>
      <c r="B89" s="5" t="s">
        <v>183</v>
      </c>
      <c r="C89" s="7">
        <v>1</v>
      </c>
      <c r="D89" s="2" t="s">
        <v>77</v>
      </c>
      <c r="E89" s="8"/>
      <c r="F89" s="16">
        <f t="shared" ref="F89" si="5">C89*E89</f>
        <v>0</v>
      </c>
    </row>
    <row r="90" spans="1:6" ht="13" x14ac:dyDescent="0.3">
      <c r="B90" s="20" t="s">
        <v>184</v>
      </c>
      <c r="C90" s="9"/>
      <c r="D90" s="3"/>
      <c r="E90" s="9"/>
      <c r="F90" s="18">
        <f>SUM(F85:F89)</f>
        <v>0</v>
      </c>
    </row>
    <row r="91" spans="1:6" ht="13" x14ac:dyDescent="0.3">
      <c r="F91" s="18"/>
    </row>
    <row r="92" spans="1:6" ht="10.5" x14ac:dyDescent="0.25">
      <c r="A92" s="6" t="s">
        <v>484</v>
      </c>
      <c r="B92" s="21" t="s">
        <v>186</v>
      </c>
    </row>
    <row r="93" spans="1:6" x14ac:dyDescent="0.2">
      <c r="A93" s="2"/>
      <c r="B93" s="5" t="s">
        <v>187</v>
      </c>
      <c r="C93" s="2"/>
      <c r="D93" s="2"/>
      <c r="E93" s="2"/>
    </row>
    <row r="94" spans="1:6" x14ac:dyDescent="0.2">
      <c r="A94" s="2"/>
      <c r="B94" s="5" t="s">
        <v>71</v>
      </c>
      <c r="C94" s="2"/>
      <c r="D94" s="2"/>
      <c r="E94" s="2"/>
    </row>
    <row r="95" spans="1:6" ht="50" x14ac:dyDescent="0.2">
      <c r="A95" s="2"/>
      <c r="B95" s="5" t="s">
        <v>188</v>
      </c>
      <c r="C95" s="2"/>
      <c r="D95" s="2" t="s">
        <v>73</v>
      </c>
      <c r="E95" s="2"/>
    </row>
    <row r="96" spans="1:6" ht="40" x14ac:dyDescent="0.2">
      <c r="A96" s="2"/>
      <c r="B96" s="5" t="s">
        <v>189</v>
      </c>
      <c r="C96" s="2"/>
      <c r="D96" s="2" t="s">
        <v>73</v>
      </c>
      <c r="E96" s="2"/>
    </row>
    <row r="97" spans="1:6" ht="50" x14ac:dyDescent="0.2">
      <c r="A97" s="2"/>
      <c r="B97" s="5" t="s">
        <v>190</v>
      </c>
      <c r="C97" s="2"/>
      <c r="D97" s="2" t="s">
        <v>73</v>
      </c>
      <c r="E97" s="2"/>
    </row>
    <row r="98" spans="1:6" ht="40" x14ac:dyDescent="0.2">
      <c r="A98" s="2"/>
      <c r="B98" s="5" t="s">
        <v>191</v>
      </c>
      <c r="C98" s="2"/>
      <c r="D98" s="2" t="s">
        <v>73</v>
      </c>
      <c r="E98" s="2"/>
    </row>
    <row r="99" spans="1:6" x14ac:dyDescent="0.2">
      <c r="A99" s="2"/>
      <c r="B99" s="5" t="s">
        <v>192</v>
      </c>
      <c r="C99" s="2"/>
      <c r="D99" s="2"/>
      <c r="E99" s="2"/>
    </row>
    <row r="100" spans="1:6" ht="50" x14ac:dyDescent="0.2">
      <c r="A100" s="2" t="s">
        <v>485</v>
      </c>
      <c r="B100" s="5" t="s">
        <v>194</v>
      </c>
      <c r="C100" s="7">
        <v>9.64</v>
      </c>
      <c r="D100" s="2" t="s">
        <v>86</v>
      </c>
      <c r="E100" s="8"/>
      <c r="F100" s="16">
        <f>C100*E100</f>
        <v>0</v>
      </c>
    </row>
    <row r="101" spans="1:6" x14ac:dyDescent="0.2">
      <c r="A101" s="2"/>
      <c r="B101" s="5" t="s">
        <v>195</v>
      </c>
      <c r="C101" s="2"/>
      <c r="D101" s="2"/>
      <c r="E101" s="2"/>
      <c r="F101" s="16"/>
    </row>
    <row r="102" spans="1:6" ht="50" x14ac:dyDescent="0.2">
      <c r="A102" s="2" t="s">
        <v>486</v>
      </c>
      <c r="B102" s="5" t="s">
        <v>197</v>
      </c>
      <c r="C102" s="7">
        <v>4.2</v>
      </c>
      <c r="D102" s="2" t="s">
        <v>86</v>
      </c>
      <c r="E102" s="8"/>
      <c r="F102" s="16">
        <f t="shared" ref="F102:F112" si="6">C102*E102</f>
        <v>0</v>
      </c>
    </row>
    <row r="103" spans="1:6" x14ac:dyDescent="0.2">
      <c r="A103" s="2"/>
      <c r="B103" s="5" t="s">
        <v>198</v>
      </c>
      <c r="C103" s="2"/>
      <c r="D103" s="2"/>
      <c r="E103" s="2"/>
      <c r="F103" s="16"/>
    </row>
    <row r="104" spans="1:6" ht="40" x14ac:dyDescent="0.2">
      <c r="A104" s="2" t="s">
        <v>487</v>
      </c>
      <c r="B104" s="5" t="s">
        <v>200</v>
      </c>
      <c r="C104" s="7">
        <v>2.98</v>
      </c>
      <c r="D104" s="2" t="s">
        <v>86</v>
      </c>
      <c r="E104" s="8"/>
      <c r="F104" s="16">
        <f t="shared" si="6"/>
        <v>0</v>
      </c>
    </row>
    <row r="105" spans="1:6" ht="40" x14ac:dyDescent="0.2">
      <c r="A105" s="2" t="s">
        <v>488</v>
      </c>
      <c r="B105" s="5" t="s">
        <v>202</v>
      </c>
      <c r="C105" s="7">
        <v>3.75</v>
      </c>
      <c r="D105" s="2" t="s">
        <v>86</v>
      </c>
      <c r="E105" s="8"/>
      <c r="F105" s="16">
        <f t="shared" si="6"/>
        <v>0</v>
      </c>
    </row>
    <row r="106" spans="1:6" x14ac:dyDescent="0.2">
      <c r="A106" s="2"/>
      <c r="B106" s="5" t="s">
        <v>203</v>
      </c>
      <c r="C106" s="2"/>
      <c r="D106" s="2"/>
      <c r="E106" s="2"/>
      <c r="F106" s="16"/>
    </row>
    <row r="107" spans="1:6" ht="30" x14ac:dyDescent="0.2">
      <c r="A107" s="2" t="s">
        <v>489</v>
      </c>
      <c r="B107" s="5" t="s">
        <v>205</v>
      </c>
      <c r="C107" s="7">
        <v>2.68</v>
      </c>
      <c r="D107" s="2" t="s">
        <v>86</v>
      </c>
      <c r="E107" s="8"/>
      <c r="F107" s="16">
        <f t="shared" si="6"/>
        <v>0</v>
      </c>
    </row>
    <row r="108" spans="1:6" x14ac:dyDescent="0.2">
      <c r="A108" s="2"/>
      <c r="B108" s="5" t="s">
        <v>206</v>
      </c>
      <c r="C108" s="2"/>
      <c r="D108" s="2"/>
      <c r="E108" s="2"/>
      <c r="F108" s="16"/>
    </row>
    <row r="109" spans="1:6" ht="30" x14ac:dyDescent="0.2">
      <c r="A109" s="2" t="s">
        <v>490</v>
      </c>
      <c r="B109" s="5" t="s">
        <v>208</v>
      </c>
      <c r="C109" s="7">
        <v>1.83</v>
      </c>
      <c r="D109" s="2" t="s">
        <v>86</v>
      </c>
      <c r="E109" s="8"/>
      <c r="F109" s="16">
        <f t="shared" si="6"/>
        <v>0</v>
      </c>
    </row>
    <row r="110" spans="1:6" x14ac:dyDescent="0.2">
      <c r="A110" s="2"/>
      <c r="B110" s="5" t="s">
        <v>209</v>
      </c>
      <c r="C110" s="2"/>
      <c r="D110" s="2"/>
      <c r="E110" s="2"/>
      <c r="F110" s="16"/>
    </row>
    <row r="111" spans="1:6" ht="20" x14ac:dyDescent="0.2">
      <c r="A111" s="2" t="s">
        <v>491</v>
      </c>
      <c r="B111" s="5" t="s">
        <v>211</v>
      </c>
      <c r="C111" s="7">
        <v>2</v>
      </c>
      <c r="D111" s="2" t="s">
        <v>77</v>
      </c>
      <c r="E111" s="8"/>
      <c r="F111" s="16">
        <f t="shared" si="6"/>
        <v>0</v>
      </c>
    </row>
    <row r="112" spans="1:6" ht="20" x14ac:dyDescent="0.2">
      <c r="A112" s="2" t="s">
        <v>492</v>
      </c>
      <c r="B112" s="5" t="s">
        <v>213</v>
      </c>
      <c r="C112" s="7">
        <v>2</v>
      </c>
      <c r="D112" s="2" t="s">
        <v>77</v>
      </c>
      <c r="E112" s="8"/>
      <c r="F112" s="16">
        <f t="shared" si="6"/>
        <v>0</v>
      </c>
    </row>
    <row r="113" spans="1:6" x14ac:dyDescent="0.2">
      <c r="A113" s="2"/>
      <c r="B113" s="5" t="s">
        <v>214</v>
      </c>
      <c r="C113" s="2"/>
      <c r="D113" s="2"/>
      <c r="E113" s="2"/>
      <c r="F113" s="16"/>
    </row>
    <row r="114" spans="1:6" x14ac:dyDescent="0.2">
      <c r="A114" s="2" t="s">
        <v>493</v>
      </c>
      <c r="B114" s="5" t="s">
        <v>216</v>
      </c>
      <c r="C114" s="7">
        <v>2</v>
      </c>
      <c r="D114" s="2" t="s">
        <v>77</v>
      </c>
      <c r="E114" s="8"/>
      <c r="F114" s="16">
        <f>C114*E114</f>
        <v>0</v>
      </c>
    </row>
    <row r="115" spans="1:6" x14ac:dyDescent="0.2">
      <c r="A115" s="2" t="s">
        <v>494</v>
      </c>
      <c r="B115" s="5" t="s">
        <v>218</v>
      </c>
      <c r="C115" s="7">
        <v>2</v>
      </c>
      <c r="D115" s="2" t="s">
        <v>77</v>
      </c>
      <c r="E115" s="8"/>
      <c r="F115" s="16">
        <f t="shared" ref="F115" si="7">C115*E115</f>
        <v>0</v>
      </c>
    </row>
    <row r="116" spans="1:6" ht="13" x14ac:dyDescent="0.3">
      <c r="B116" s="20" t="s">
        <v>219</v>
      </c>
      <c r="C116" s="9"/>
      <c r="D116" s="3"/>
      <c r="E116" s="9"/>
      <c r="F116" s="18">
        <f>SUM(F111:F115)</f>
        <v>0</v>
      </c>
    </row>
    <row r="117" spans="1:6" x14ac:dyDescent="0.2">
      <c r="F117" s="16"/>
    </row>
    <row r="118" spans="1:6" ht="13" x14ac:dyDescent="0.3">
      <c r="A118" s="6" t="s">
        <v>495</v>
      </c>
      <c r="B118" s="21" t="s">
        <v>221</v>
      </c>
      <c r="F118" s="18"/>
    </row>
    <row r="119" spans="1:6" ht="13" x14ac:dyDescent="0.3">
      <c r="A119" s="2"/>
      <c r="B119" s="5" t="s">
        <v>222</v>
      </c>
      <c r="C119" s="2"/>
      <c r="D119" s="2"/>
      <c r="E119" s="2"/>
      <c r="F119" s="18"/>
    </row>
    <row r="120" spans="1:6" x14ac:dyDescent="0.2">
      <c r="A120" s="2"/>
      <c r="B120" s="5" t="s">
        <v>192</v>
      </c>
      <c r="C120" s="2"/>
      <c r="D120" s="2"/>
      <c r="E120" s="2"/>
    </row>
    <row r="121" spans="1:6" x14ac:dyDescent="0.2">
      <c r="A121" s="2" t="s">
        <v>496</v>
      </c>
      <c r="B121" s="5" t="s">
        <v>224</v>
      </c>
      <c r="C121" s="7">
        <v>1</v>
      </c>
      <c r="D121" s="2" t="s">
        <v>77</v>
      </c>
      <c r="E121" s="8"/>
      <c r="F121" s="16">
        <f>C121*E121</f>
        <v>0</v>
      </c>
    </row>
    <row r="122" spans="1:6" x14ac:dyDescent="0.2">
      <c r="A122" s="2" t="s">
        <v>497</v>
      </c>
      <c r="B122" s="5" t="s">
        <v>226</v>
      </c>
      <c r="C122" s="2"/>
      <c r="D122" s="2"/>
      <c r="E122" s="2"/>
      <c r="F122" s="2" t="s">
        <v>227</v>
      </c>
    </row>
    <row r="123" spans="1:6" x14ac:dyDescent="0.2">
      <c r="A123" s="2" t="s">
        <v>498</v>
      </c>
      <c r="B123" s="5" t="s">
        <v>229</v>
      </c>
      <c r="C123" s="7">
        <v>1</v>
      </c>
      <c r="D123" s="2" t="s">
        <v>77</v>
      </c>
      <c r="E123" s="8"/>
      <c r="F123" s="16">
        <f t="shared" ref="F123" si="8">C123*E123</f>
        <v>0</v>
      </c>
    </row>
    <row r="124" spans="1:6" x14ac:dyDescent="0.2">
      <c r="A124" s="2" t="s">
        <v>499</v>
      </c>
      <c r="B124" s="5" t="s">
        <v>231</v>
      </c>
      <c r="C124" s="7">
        <v>1</v>
      </c>
      <c r="D124" s="2" t="s">
        <v>77</v>
      </c>
      <c r="E124" s="8"/>
      <c r="F124" s="16">
        <f>C124*E124</f>
        <v>0</v>
      </c>
    </row>
    <row r="125" spans="1:6" x14ac:dyDescent="0.2">
      <c r="A125" s="2" t="s">
        <v>500</v>
      </c>
      <c r="B125" s="5" t="s">
        <v>233</v>
      </c>
      <c r="C125" s="2"/>
      <c r="D125" s="2"/>
      <c r="E125" s="2"/>
      <c r="F125" s="2" t="s">
        <v>227</v>
      </c>
    </row>
    <row r="126" spans="1:6" x14ac:dyDescent="0.2">
      <c r="A126" s="2" t="s">
        <v>501</v>
      </c>
      <c r="B126" s="5" t="s">
        <v>235</v>
      </c>
      <c r="C126" s="2"/>
      <c r="D126" s="2"/>
      <c r="E126" s="2"/>
      <c r="F126" s="2" t="s">
        <v>227</v>
      </c>
    </row>
    <row r="127" spans="1:6" x14ac:dyDescent="0.2">
      <c r="A127" s="2" t="s">
        <v>502</v>
      </c>
      <c r="B127" s="5" t="s">
        <v>237</v>
      </c>
      <c r="C127" s="2"/>
      <c r="D127" s="2"/>
      <c r="E127" s="2"/>
      <c r="F127" s="2" t="s">
        <v>227</v>
      </c>
    </row>
    <row r="128" spans="1:6" x14ac:dyDescent="0.2">
      <c r="A128" s="2" t="s">
        <v>503</v>
      </c>
      <c r="B128" s="5" t="s">
        <v>239</v>
      </c>
      <c r="C128" s="2"/>
      <c r="D128" s="2"/>
      <c r="E128" s="2"/>
      <c r="F128" s="2" t="s">
        <v>227</v>
      </c>
    </row>
    <row r="129" spans="1:6" x14ac:dyDescent="0.2">
      <c r="A129" s="2" t="s">
        <v>504</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505</v>
      </c>
      <c r="B131" s="5" t="s">
        <v>243</v>
      </c>
      <c r="C131" s="2"/>
      <c r="D131" s="2"/>
      <c r="E131" s="2"/>
      <c r="F131" s="2" t="s">
        <v>227</v>
      </c>
    </row>
    <row r="132" spans="1:6" x14ac:dyDescent="0.2">
      <c r="A132" s="2" t="s">
        <v>506</v>
      </c>
      <c r="B132" s="5" t="s">
        <v>245</v>
      </c>
      <c r="C132" s="7">
        <v>1</v>
      </c>
      <c r="D132" s="2" t="s">
        <v>77</v>
      </c>
      <c r="E132" s="8"/>
      <c r="F132" s="16">
        <f>C132*E132</f>
        <v>0</v>
      </c>
    </row>
    <row r="133" spans="1:6" x14ac:dyDescent="0.2">
      <c r="A133" s="2" t="s">
        <v>507</v>
      </c>
      <c r="B133" s="5" t="s">
        <v>247</v>
      </c>
      <c r="C133" s="7">
        <v>1</v>
      </c>
      <c r="D133" s="2" t="s">
        <v>77</v>
      </c>
      <c r="E133" s="8"/>
      <c r="F133" s="16">
        <f t="shared" ref="F133:F158" si="10">C133*E133</f>
        <v>0</v>
      </c>
    </row>
    <row r="134" spans="1:6" x14ac:dyDescent="0.2">
      <c r="A134" s="2" t="s">
        <v>508</v>
      </c>
      <c r="B134" s="5" t="s">
        <v>249</v>
      </c>
      <c r="C134" s="7">
        <v>1</v>
      </c>
      <c r="D134" s="2" t="s">
        <v>77</v>
      </c>
      <c r="E134" s="8"/>
      <c r="F134" s="16">
        <f t="shared" si="10"/>
        <v>0</v>
      </c>
    </row>
    <row r="135" spans="1:6" x14ac:dyDescent="0.2">
      <c r="A135" s="2"/>
      <c r="B135" s="5" t="s">
        <v>250</v>
      </c>
      <c r="C135" s="2"/>
      <c r="D135" s="2"/>
      <c r="E135" s="2"/>
      <c r="F135" s="16"/>
    </row>
    <row r="136" spans="1:6" x14ac:dyDescent="0.2">
      <c r="A136" s="2" t="s">
        <v>509</v>
      </c>
      <c r="B136" s="5" t="s">
        <v>252</v>
      </c>
      <c r="C136" s="7">
        <v>1</v>
      </c>
      <c r="D136" s="2" t="s">
        <v>77</v>
      </c>
      <c r="E136" s="8"/>
      <c r="F136" s="16">
        <f t="shared" si="10"/>
        <v>0</v>
      </c>
    </row>
    <row r="137" spans="1:6" x14ac:dyDescent="0.2">
      <c r="A137" s="2" t="s">
        <v>510</v>
      </c>
      <c r="B137" s="5" t="s">
        <v>254</v>
      </c>
      <c r="C137" s="7">
        <v>1</v>
      </c>
      <c r="D137" s="2" t="s">
        <v>77</v>
      </c>
      <c r="E137" s="8"/>
      <c r="F137" s="16">
        <f t="shared" si="10"/>
        <v>0</v>
      </c>
    </row>
    <row r="138" spans="1:6" x14ac:dyDescent="0.2">
      <c r="A138" s="2" t="s">
        <v>511</v>
      </c>
      <c r="B138" s="5" t="s">
        <v>256</v>
      </c>
      <c r="C138" s="7">
        <v>1</v>
      </c>
      <c r="D138" s="2" t="s">
        <v>77</v>
      </c>
      <c r="E138" s="8"/>
      <c r="F138" s="16">
        <f t="shared" si="10"/>
        <v>0</v>
      </c>
    </row>
    <row r="139" spans="1:6" x14ac:dyDescent="0.2">
      <c r="A139" s="2" t="s">
        <v>512</v>
      </c>
      <c r="B139" s="5" t="s">
        <v>258</v>
      </c>
      <c r="C139" s="7">
        <v>1</v>
      </c>
      <c r="D139" s="2" t="s">
        <v>77</v>
      </c>
      <c r="E139" s="8"/>
      <c r="F139" s="16">
        <f t="shared" si="10"/>
        <v>0</v>
      </c>
    </row>
    <row r="140" spans="1:6" x14ac:dyDescent="0.2">
      <c r="A140" s="2" t="s">
        <v>513</v>
      </c>
      <c r="B140" s="5" t="s">
        <v>260</v>
      </c>
      <c r="C140" s="7">
        <v>1</v>
      </c>
      <c r="D140" s="2" t="s">
        <v>77</v>
      </c>
      <c r="E140" s="8"/>
      <c r="F140" s="16">
        <f t="shared" si="10"/>
        <v>0</v>
      </c>
    </row>
    <row r="141" spans="1:6" x14ac:dyDescent="0.2">
      <c r="A141" s="2"/>
      <c r="B141" s="5" t="s">
        <v>261</v>
      </c>
      <c r="C141" s="2"/>
      <c r="D141" s="2"/>
      <c r="E141" s="2"/>
      <c r="F141" s="16"/>
    </row>
    <row r="142" spans="1:6" x14ac:dyDescent="0.2">
      <c r="A142" s="2" t="s">
        <v>514</v>
      </c>
      <c r="B142" s="5" t="s">
        <v>263</v>
      </c>
      <c r="C142" s="7">
        <v>2</v>
      </c>
      <c r="D142" s="2" t="s">
        <v>77</v>
      </c>
      <c r="E142" s="8"/>
      <c r="F142" s="16">
        <f t="shared" si="10"/>
        <v>0</v>
      </c>
    </row>
    <row r="143" spans="1:6" x14ac:dyDescent="0.2">
      <c r="A143" s="2" t="s">
        <v>515</v>
      </c>
      <c r="B143" s="5" t="s">
        <v>252</v>
      </c>
      <c r="C143" s="7">
        <v>1</v>
      </c>
      <c r="D143" s="2" t="s">
        <v>77</v>
      </c>
      <c r="E143" s="8"/>
      <c r="F143" s="16">
        <f t="shared" si="10"/>
        <v>0</v>
      </c>
    </row>
    <row r="144" spans="1:6" x14ac:dyDescent="0.2">
      <c r="A144" s="2" t="s">
        <v>516</v>
      </c>
      <c r="B144" s="5" t="s">
        <v>254</v>
      </c>
      <c r="C144" s="7">
        <v>3</v>
      </c>
      <c r="D144" s="2" t="s">
        <v>77</v>
      </c>
      <c r="E144" s="8"/>
      <c r="F144" s="16">
        <f t="shared" si="10"/>
        <v>0</v>
      </c>
    </row>
    <row r="145" spans="1:6" x14ac:dyDescent="0.2">
      <c r="A145" s="2" t="s">
        <v>517</v>
      </c>
      <c r="B145" s="5" t="s">
        <v>267</v>
      </c>
      <c r="C145" s="7">
        <v>1</v>
      </c>
      <c r="D145" s="2" t="s">
        <v>77</v>
      </c>
      <c r="E145" s="8"/>
      <c r="F145" s="16">
        <f t="shared" si="10"/>
        <v>0</v>
      </c>
    </row>
    <row r="146" spans="1:6" x14ac:dyDescent="0.2">
      <c r="A146" s="2" t="s">
        <v>518</v>
      </c>
      <c r="B146" s="5" t="s">
        <v>269</v>
      </c>
      <c r="C146" s="7">
        <v>2</v>
      </c>
      <c r="D146" s="2" t="s">
        <v>77</v>
      </c>
      <c r="E146" s="8"/>
      <c r="F146" s="16">
        <f t="shared" si="10"/>
        <v>0</v>
      </c>
    </row>
    <row r="147" spans="1:6" x14ac:dyDescent="0.2">
      <c r="A147" s="2" t="s">
        <v>519</v>
      </c>
      <c r="B147" s="5" t="s">
        <v>256</v>
      </c>
      <c r="C147" s="7">
        <v>3</v>
      </c>
      <c r="D147" s="2" t="s">
        <v>77</v>
      </c>
      <c r="E147" s="8"/>
      <c r="F147" s="16">
        <f t="shared" si="10"/>
        <v>0</v>
      </c>
    </row>
    <row r="148" spans="1:6" x14ac:dyDescent="0.2">
      <c r="A148" s="2" t="s">
        <v>520</v>
      </c>
      <c r="B148" s="5" t="s">
        <v>272</v>
      </c>
      <c r="C148" s="7">
        <v>4</v>
      </c>
      <c r="D148" s="2" t="s">
        <v>77</v>
      </c>
      <c r="E148" s="8"/>
      <c r="F148" s="16">
        <f>C148*E148</f>
        <v>0</v>
      </c>
    </row>
    <row r="149" spans="1:6" x14ac:dyDescent="0.2">
      <c r="A149" s="2" t="s">
        <v>521</v>
      </c>
      <c r="B149" s="5" t="s">
        <v>274</v>
      </c>
      <c r="C149" s="7">
        <v>1</v>
      </c>
      <c r="D149" s="2" t="s">
        <v>77</v>
      </c>
      <c r="E149" s="8"/>
      <c r="F149" s="16">
        <f t="shared" si="10"/>
        <v>0</v>
      </c>
    </row>
    <row r="150" spans="1:6" x14ac:dyDescent="0.2">
      <c r="A150" s="2" t="s">
        <v>522</v>
      </c>
      <c r="B150" s="5" t="s">
        <v>276</v>
      </c>
      <c r="C150" s="7">
        <v>2</v>
      </c>
      <c r="D150" s="2" t="s">
        <v>77</v>
      </c>
      <c r="E150" s="8"/>
      <c r="F150" s="16">
        <f t="shared" si="10"/>
        <v>0</v>
      </c>
    </row>
    <row r="151" spans="1:6" ht="20" x14ac:dyDescent="0.2">
      <c r="A151" s="2" t="s">
        <v>523</v>
      </c>
      <c r="B151" s="5" t="s">
        <v>278</v>
      </c>
      <c r="C151" s="7">
        <v>1</v>
      </c>
      <c r="D151" s="2" t="s">
        <v>77</v>
      </c>
      <c r="E151" s="8"/>
      <c r="F151" s="16">
        <f t="shared" si="10"/>
        <v>0</v>
      </c>
    </row>
    <row r="152" spans="1:6" x14ac:dyDescent="0.2">
      <c r="A152" s="2" t="s">
        <v>524</v>
      </c>
      <c r="B152" s="5" t="s">
        <v>525</v>
      </c>
      <c r="C152" s="7">
        <v>1</v>
      </c>
      <c r="D152" s="2" t="s">
        <v>77</v>
      </c>
      <c r="E152" s="8"/>
      <c r="F152" s="16">
        <f t="shared" si="10"/>
        <v>0</v>
      </c>
    </row>
    <row r="153" spans="1:6" x14ac:dyDescent="0.2">
      <c r="A153" s="2" t="s">
        <v>526</v>
      </c>
      <c r="B153" s="5" t="s">
        <v>258</v>
      </c>
      <c r="C153" s="7">
        <v>1</v>
      </c>
      <c r="D153" s="2" t="s">
        <v>77</v>
      </c>
      <c r="E153" s="8"/>
      <c r="F153" s="16">
        <f t="shared" si="10"/>
        <v>0</v>
      </c>
    </row>
    <row r="154" spans="1:6" x14ac:dyDescent="0.2">
      <c r="A154" s="2" t="s">
        <v>527</v>
      </c>
      <c r="B154" s="5" t="s">
        <v>260</v>
      </c>
      <c r="C154" s="7">
        <v>1</v>
      </c>
      <c r="D154" s="2" t="s">
        <v>77</v>
      </c>
      <c r="E154" s="8"/>
      <c r="F154" s="16">
        <f t="shared" si="10"/>
        <v>0</v>
      </c>
    </row>
    <row r="155" spans="1:6" x14ac:dyDescent="0.2">
      <c r="A155" s="2" t="s">
        <v>528</v>
      </c>
      <c r="B155" s="5" t="s">
        <v>282</v>
      </c>
      <c r="C155" s="7">
        <v>1</v>
      </c>
      <c r="D155" s="2" t="s">
        <v>77</v>
      </c>
      <c r="E155" s="8"/>
      <c r="F155" s="16">
        <f>C155*E155</f>
        <v>0</v>
      </c>
    </row>
    <row r="156" spans="1:6" x14ac:dyDescent="0.2">
      <c r="A156" s="2" t="s">
        <v>529</v>
      </c>
      <c r="B156" s="5" t="s">
        <v>284</v>
      </c>
      <c r="C156" s="7">
        <v>2</v>
      </c>
      <c r="D156" s="2" t="s">
        <v>77</v>
      </c>
      <c r="E156" s="8"/>
      <c r="F156" s="16">
        <f t="shared" si="10"/>
        <v>0</v>
      </c>
    </row>
    <row r="157" spans="1:6" x14ac:dyDescent="0.2">
      <c r="A157" s="2"/>
      <c r="B157" s="5" t="s">
        <v>285</v>
      </c>
      <c r="C157" s="2"/>
      <c r="D157" s="2"/>
      <c r="E157" s="2"/>
      <c r="F157" s="16"/>
    </row>
    <row r="158" spans="1:6" ht="60" x14ac:dyDescent="0.2">
      <c r="A158" s="2" t="s">
        <v>530</v>
      </c>
      <c r="B158" s="5" t="s">
        <v>287</v>
      </c>
      <c r="C158" s="7">
        <v>6.58</v>
      </c>
      <c r="D158" s="2" t="s">
        <v>86</v>
      </c>
      <c r="E158" s="8"/>
      <c r="F158" s="16">
        <f t="shared" si="10"/>
        <v>0</v>
      </c>
    </row>
    <row r="159" spans="1:6" ht="13" x14ac:dyDescent="0.3">
      <c r="B159" s="20" t="s">
        <v>288</v>
      </c>
      <c r="C159" s="9"/>
      <c r="D159" s="3"/>
      <c r="E159" s="9"/>
      <c r="F159" s="18">
        <f>SUM(F121:F158)</f>
        <v>0</v>
      </c>
    </row>
    <row r="160" spans="1:6" ht="13" x14ac:dyDescent="0.3">
      <c r="F160" s="18"/>
    </row>
    <row r="161" spans="1:6" ht="10.5" x14ac:dyDescent="0.25">
      <c r="A161" s="6" t="s">
        <v>531</v>
      </c>
      <c r="B161" s="21" t="s">
        <v>290</v>
      </c>
    </row>
    <row r="162" spans="1:6" x14ac:dyDescent="0.2">
      <c r="A162" s="2"/>
      <c r="B162" s="5" t="s">
        <v>431</v>
      </c>
      <c r="C162" s="2"/>
      <c r="D162" s="2"/>
      <c r="E162" s="2"/>
    </row>
    <row r="163" spans="1:6" x14ac:dyDescent="0.2">
      <c r="A163" s="2"/>
      <c r="B163" s="5" t="s">
        <v>128</v>
      </c>
      <c r="C163" s="2"/>
      <c r="D163" s="2"/>
      <c r="E163" s="2"/>
      <c r="F163" s="16"/>
    </row>
    <row r="164" spans="1:6" ht="20" x14ac:dyDescent="0.2">
      <c r="A164" s="2"/>
      <c r="B164" s="5" t="s">
        <v>291</v>
      </c>
      <c r="C164" s="2"/>
      <c r="D164" s="2" t="s">
        <v>73</v>
      </c>
      <c r="E164" s="2"/>
      <c r="F164" s="16"/>
    </row>
    <row r="165" spans="1:6" ht="30" x14ac:dyDescent="0.2">
      <c r="A165" s="2"/>
      <c r="B165" s="5" t="s">
        <v>292</v>
      </c>
      <c r="C165" s="2"/>
      <c r="D165" s="2" t="s">
        <v>73</v>
      </c>
      <c r="E165" s="2"/>
    </row>
    <row r="166" spans="1:6" x14ac:dyDescent="0.2">
      <c r="A166" s="2"/>
      <c r="B166" s="5" t="s">
        <v>293</v>
      </c>
      <c r="C166" s="2"/>
      <c r="D166" s="2"/>
      <c r="E166" s="2"/>
      <c r="F166" s="16"/>
    </row>
    <row r="167" spans="1:6" ht="60" x14ac:dyDescent="0.2">
      <c r="A167" s="2" t="s">
        <v>532</v>
      </c>
      <c r="B167" s="5" t="s">
        <v>533</v>
      </c>
      <c r="C167" s="7">
        <v>59</v>
      </c>
      <c r="D167" s="2" t="s">
        <v>89</v>
      </c>
      <c r="E167" s="8"/>
      <c r="F167" s="16">
        <f>C167*E167</f>
        <v>0</v>
      </c>
    </row>
    <row r="168" spans="1:6" ht="50" x14ac:dyDescent="0.2">
      <c r="A168" s="2" t="s">
        <v>534</v>
      </c>
      <c r="B168" s="5" t="s">
        <v>297</v>
      </c>
      <c r="C168" s="7">
        <v>5</v>
      </c>
      <c r="D168" s="2" t="s">
        <v>86</v>
      </c>
      <c r="E168" s="8"/>
      <c r="F168" s="16">
        <f t="shared" ref="F168" si="11">C168*E168</f>
        <v>0</v>
      </c>
    </row>
    <row r="169" spans="1:6" x14ac:dyDescent="0.2">
      <c r="A169" s="2"/>
      <c r="B169" s="5" t="s">
        <v>298</v>
      </c>
      <c r="C169" s="2"/>
      <c r="D169" s="2"/>
      <c r="E169" s="2"/>
    </row>
    <row r="170" spans="1:6" ht="30" x14ac:dyDescent="0.2">
      <c r="A170" s="2" t="s">
        <v>535</v>
      </c>
      <c r="B170" s="5" t="s">
        <v>300</v>
      </c>
      <c r="C170" s="7">
        <v>2</v>
      </c>
      <c r="D170" s="2" t="s">
        <v>89</v>
      </c>
      <c r="E170" s="8"/>
      <c r="F170" s="16">
        <f>C170*E170</f>
        <v>0</v>
      </c>
    </row>
    <row r="171" spans="1:6" ht="13" x14ac:dyDescent="0.3">
      <c r="B171" s="20" t="s">
        <v>301</v>
      </c>
      <c r="C171" s="9"/>
      <c r="D171" s="3"/>
      <c r="E171" s="9"/>
      <c r="F171" s="18">
        <f>SUM(F167:F170)</f>
        <v>0</v>
      </c>
    </row>
    <row r="172" spans="1:6" ht="13" x14ac:dyDescent="0.3">
      <c r="F172" s="18"/>
    </row>
    <row r="173" spans="1:6" ht="10.5" x14ac:dyDescent="0.25">
      <c r="A173" s="6" t="s">
        <v>536</v>
      </c>
      <c r="B173" s="21" t="s">
        <v>303</v>
      </c>
    </row>
    <row r="174" spans="1:6" x14ac:dyDescent="0.2">
      <c r="A174" s="2"/>
      <c r="B174" s="5" t="s">
        <v>304</v>
      </c>
      <c r="C174" s="2"/>
      <c r="D174" s="2"/>
      <c r="E174" s="2"/>
    </row>
    <row r="175" spans="1:6" x14ac:dyDescent="0.2">
      <c r="A175" s="2"/>
      <c r="B175" s="5" t="s">
        <v>128</v>
      </c>
      <c r="C175" s="2"/>
      <c r="D175" s="2"/>
      <c r="E175" s="2"/>
    </row>
    <row r="176" spans="1:6" ht="40" x14ac:dyDescent="0.2">
      <c r="A176" s="2"/>
      <c r="B176" s="5" t="s">
        <v>305</v>
      </c>
      <c r="C176" s="2"/>
      <c r="D176" s="2" t="s">
        <v>73</v>
      </c>
      <c r="E176" s="2"/>
    </row>
    <row r="177" spans="1:6" ht="60" x14ac:dyDescent="0.2">
      <c r="A177" s="2"/>
      <c r="B177" s="5" t="s">
        <v>306</v>
      </c>
      <c r="C177" s="2"/>
      <c r="D177" s="2" t="s">
        <v>73</v>
      </c>
      <c r="E177" s="2"/>
    </row>
    <row r="178" spans="1:6" ht="50" x14ac:dyDescent="0.2">
      <c r="A178" s="2"/>
      <c r="B178" s="5" t="s">
        <v>307</v>
      </c>
      <c r="C178" s="2"/>
      <c r="D178" s="2" t="s">
        <v>73</v>
      </c>
      <c r="E178" s="2"/>
      <c r="F178" s="16"/>
    </row>
    <row r="179" spans="1:6" ht="51" x14ac:dyDescent="0.3">
      <c r="A179" s="2"/>
      <c r="B179" s="5" t="s">
        <v>308</v>
      </c>
      <c r="C179" s="2"/>
      <c r="D179" s="2" t="s">
        <v>73</v>
      </c>
      <c r="E179" s="2"/>
      <c r="F179" s="18"/>
    </row>
    <row r="180" spans="1:6" ht="40" x14ac:dyDescent="0.2">
      <c r="A180" s="2"/>
      <c r="B180" s="5" t="s">
        <v>309</v>
      </c>
      <c r="C180" s="2"/>
      <c r="D180" s="2" t="s">
        <v>73</v>
      </c>
      <c r="E180" s="2"/>
    </row>
    <row r="181" spans="1:6" x14ac:dyDescent="0.2">
      <c r="A181" s="2"/>
      <c r="B181" s="5" t="s">
        <v>310</v>
      </c>
      <c r="C181" s="2"/>
      <c r="D181" s="2"/>
      <c r="E181" s="2"/>
    </row>
    <row r="182" spans="1:6" ht="50" x14ac:dyDescent="0.2">
      <c r="A182" s="2" t="s">
        <v>537</v>
      </c>
      <c r="B182" s="5" t="s">
        <v>312</v>
      </c>
      <c r="C182" s="7">
        <v>181</v>
      </c>
      <c r="D182" s="2" t="s">
        <v>89</v>
      </c>
      <c r="E182" s="7"/>
      <c r="F182" s="16">
        <f>C182*E182</f>
        <v>0</v>
      </c>
    </row>
    <row r="183" spans="1:6" ht="13" x14ac:dyDescent="0.3">
      <c r="B183" s="20" t="s">
        <v>313</v>
      </c>
      <c r="C183" s="9"/>
      <c r="D183" s="3"/>
      <c r="E183" s="9"/>
      <c r="F183" s="18">
        <f>SUM(F182)</f>
        <v>0</v>
      </c>
    </row>
    <row r="184" spans="1:6" ht="13" x14ac:dyDescent="0.3">
      <c r="F184" s="18"/>
    </row>
    <row r="185" spans="1:6" ht="10.5" x14ac:dyDescent="0.25">
      <c r="A185" s="6" t="s">
        <v>538</v>
      </c>
      <c r="B185" s="21" t="s">
        <v>315</v>
      </c>
    </row>
    <row r="186" spans="1:6" x14ac:dyDescent="0.2">
      <c r="A186" s="2"/>
      <c r="B186" s="5" t="s">
        <v>316</v>
      </c>
      <c r="C186" s="2"/>
      <c r="D186" s="2"/>
      <c r="E186" s="2"/>
    </row>
    <row r="187" spans="1:6" x14ac:dyDescent="0.2">
      <c r="A187" s="2"/>
      <c r="B187" s="5" t="s">
        <v>128</v>
      </c>
      <c r="C187" s="2"/>
      <c r="D187" s="2"/>
      <c r="E187" s="2"/>
    </row>
    <row r="188" spans="1:6" ht="60" x14ac:dyDescent="0.2">
      <c r="A188" s="2"/>
      <c r="B188" s="5" t="s">
        <v>317</v>
      </c>
      <c r="C188" s="2"/>
      <c r="D188" s="2" t="s">
        <v>73</v>
      </c>
      <c r="E188" s="2"/>
    </row>
    <row r="189" spans="1:6" ht="70" x14ac:dyDescent="0.2">
      <c r="A189" s="2"/>
      <c r="B189" s="5" t="s">
        <v>318</v>
      </c>
      <c r="C189" s="2"/>
      <c r="D189" s="2" t="s">
        <v>73</v>
      </c>
      <c r="E189" s="2"/>
    </row>
    <row r="190" spans="1:6" ht="90" x14ac:dyDescent="0.2">
      <c r="A190" s="2"/>
      <c r="B190" s="5" t="s">
        <v>319</v>
      </c>
      <c r="C190" s="2"/>
      <c r="D190" s="2" t="s">
        <v>73</v>
      </c>
      <c r="E190" s="2"/>
    </row>
    <row r="191" spans="1:6" ht="80" x14ac:dyDescent="0.2">
      <c r="A191" s="2"/>
      <c r="B191" s="5" t="s">
        <v>320</v>
      </c>
      <c r="C191" s="2"/>
      <c r="D191" s="2" t="s">
        <v>73</v>
      </c>
      <c r="E191" s="2"/>
      <c r="F191" s="16"/>
    </row>
    <row r="192" spans="1:6" ht="71" x14ac:dyDescent="0.3">
      <c r="A192" s="2"/>
      <c r="B192" s="5" t="s">
        <v>321</v>
      </c>
      <c r="C192" s="2"/>
      <c r="D192" s="2" t="s">
        <v>73</v>
      </c>
      <c r="E192" s="2"/>
      <c r="F192" s="18"/>
    </row>
    <row r="193" spans="1:6" ht="70" x14ac:dyDescent="0.2">
      <c r="A193" s="2"/>
      <c r="B193" s="5" t="s">
        <v>322</v>
      </c>
      <c r="C193" s="2"/>
      <c r="D193" s="2" t="s">
        <v>73</v>
      </c>
      <c r="E193" s="2"/>
    </row>
    <row r="194" spans="1:6" x14ac:dyDescent="0.2">
      <c r="A194" s="2"/>
      <c r="B194" s="5" t="s">
        <v>323</v>
      </c>
      <c r="C194" s="2"/>
      <c r="D194" s="2"/>
      <c r="E194" s="2"/>
    </row>
    <row r="195" spans="1:6" ht="50" x14ac:dyDescent="0.2">
      <c r="A195" s="2" t="s">
        <v>539</v>
      </c>
      <c r="B195" s="5" t="s">
        <v>325</v>
      </c>
      <c r="C195" s="7">
        <v>181</v>
      </c>
      <c r="D195" s="2" t="s">
        <v>89</v>
      </c>
      <c r="E195" s="7"/>
      <c r="F195" s="16">
        <f>C195*E195</f>
        <v>0</v>
      </c>
    </row>
    <row r="196" spans="1:6" ht="13" x14ac:dyDescent="0.3">
      <c r="B196" s="20" t="s">
        <v>326</v>
      </c>
      <c r="C196" s="9"/>
      <c r="D196" s="3"/>
      <c r="E196" s="9"/>
      <c r="F196" s="18">
        <f>SUM(F195)</f>
        <v>0</v>
      </c>
    </row>
    <row r="197" spans="1:6" ht="13" x14ac:dyDescent="0.3">
      <c r="F197" s="18"/>
    </row>
    <row r="198" spans="1:6" ht="10.5" x14ac:dyDescent="0.25">
      <c r="A198" s="6" t="s">
        <v>540</v>
      </c>
      <c r="B198" s="21" t="s">
        <v>328</v>
      </c>
    </row>
    <row r="199" spans="1:6" ht="20" x14ac:dyDescent="0.2">
      <c r="A199" s="2"/>
      <c r="B199" s="5" t="s">
        <v>329</v>
      </c>
      <c r="C199" s="2"/>
      <c r="D199" s="2"/>
      <c r="E199" s="2"/>
    </row>
    <row r="200" spans="1:6" x14ac:dyDescent="0.2">
      <c r="A200" s="2"/>
      <c r="B200" s="5" t="s">
        <v>71</v>
      </c>
      <c r="C200" s="2"/>
      <c r="D200" s="2"/>
      <c r="E200" s="2"/>
    </row>
    <row r="201" spans="1:6" ht="70" x14ac:dyDescent="0.2">
      <c r="A201" s="2"/>
      <c r="B201" s="5" t="s">
        <v>330</v>
      </c>
      <c r="C201" s="2"/>
      <c r="D201" s="2" t="s">
        <v>73</v>
      </c>
      <c r="E201" s="2"/>
    </row>
    <row r="202" spans="1:6" ht="110" x14ac:dyDescent="0.2">
      <c r="A202" s="2"/>
      <c r="B202" s="5" t="s">
        <v>331</v>
      </c>
      <c r="C202" s="2"/>
      <c r="D202" s="2" t="s">
        <v>73</v>
      </c>
      <c r="E202" s="2"/>
    </row>
    <row r="203" spans="1:6" ht="180" x14ac:dyDescent="0.2">
      <c r="A203" s="2"/>
      <c r="B203" s="5" t="s">
        <v>332</v>
      </c>
      <c r="C203" s="2"/>
      <c r="D203" s="2" t="s">
        <v>73</v>
      </c>
      <c r="E203" s="2"/>
    </row>
    <row r="204" spans="1:6" ht="90" x14ac:dyDescent="0.2">
      <c r="A204" s="2"/>
      <c r="B204" s="5" t="s">
        <v>333</v>
      </c>
      <c r="C204" s="2"/>
      <c r="D204" s="2" t="s">
        <v>73</v>
      </c>
      <c r="E204" s="2"/>
    </row>
    <row r="205" spans="1:6" ht="80" x14ac:dyDescent="0.2">
      <c r="A205" s="2"/>
      <c r="B205" s="5" t="s">
        <v>334</v>
      </c>
      <c r="C205" s="2"/>
      <c r="D205" s="2" t="s">
        <v>73</v>
      </c>
      <c r="E205" s="2"/>
    </row>
    <row r="206" spans="1:6" ht="90" x14ac:dyDescent="0.2">
      <c r="A206" s="2"/>
      <c r="B206" s="5" t="s">
        <v>335</v>
      </c>
      <c r="C206" s="2"/>
      <c r="D206" s="2" t="s">
        <v>73</v>
      </c>
      <c r="E206" s="2"/>
    </row>
    <row r="207" spans="1:6" ht="60" x14ac:dyDescent="0.2">
      <c r="A207" s="2"/>
      <c r="B207" s="5" t="s">
        <v>336</v>
      </c>
      <c r="C207" s="2"/>
      <c r="D207" s="2" t="s">
        <v>73</v>
      </c>
      <c r="E207" s="2"/>
      <c r="F207" s="16"/>
    </row>
    <row r="208" spans="1:6" ht="61" x14ac:dyDescent="0.3">
      <c r="A208" s="2"/>
      <c r="B208" s="5" t="s">
        <v>337</v>
      </c>
      <c r="C208" s="2"/>
      <c r="D208" s="2" t="s">
        <v>73</v>
      </c>
      <c r="E208" s="2"/>
      <c r="F208" s="18"/>
    </row>
    <row r="209" spans="1:6" ht="81" x14ac:dyDescent="0.3">
      <c r="A209" s="2"/>
      <c r="B209" s="5" t="s">
        <v>338</v>
      </c>
      <c r="C209" s="2"/>
      <c r="D209" s="2" t="s">
        <v>73</v>
      </c>
      <c r="E209" s="2"/>
      <c r="F209" s="17"/>
    </row>
    <row r="210" spans="1:6" x14ac:dyDescent="0.2">
      <c r="A210" s="2"/>
      <c r="B210" s="5" t="s">
        <v>339</v>
      </c>
      <c r="C210" s="2"/>
      <c r="D210" s="2"/>
      <c r="E210" s="2"/>
    </row>
    <row r="211" spans="1:6" ht="50" x14ac:dyDescent="0.2">
      <c r="A211" s="2" t="s">
        <v>541</v>
      </c>
      <c r="B211" s="5" t="s">
        <v>341</v>
      </c>
      <c r="C211" s="7">
        <v>181</v>
      </c>
      <c r="D211" s="2" t="s">
        <v>89</v>
      </c>
      <c r="E211" s="7"/>
      <c r="F211" s="16">
        <f>C211*E211</f>
        <v>0</v>
      </c>
    </row>
    <row r="212" spans="1:6" ht="21.5" x14ac:dyDescent="0.3">
      <c r="B212" s="20" t="s">
        <v>342</v>
      </c>
      <c r="C212" s="9"/>
      <c r="D212" s="3"/>
      <c r="E212" s="9"/>
      <c r="F212" s="18">
        <f>SUM(F211)</f>
        <v>0</v>
      </c>
    </row>
    <row r="213" spans="1:6" ht="13" x14ac:dyDescent="0.3">
      <c r="B213" s="20" t="s">
        <v>542</v>
      </c>
      <c r="C213" s="9"/>
      <c r="D213" s="3"/>
      <c r="E213" s="9"/>
      <c r="F213" s="17">
        <f>F212+F196+F183+F171+F159+F116+F90+F80+F73+F60+F39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D0D4-B55C-4C64-9E74-D08A0E999AB4}">
  <sheetPr codeName="Sheet5">
    <pageSetUpPr fitToPage="1"/>
  </sheetPr>
  <dimension ref="A1:F212"/>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1810</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543</v>
      </c>
      <c r="B6" s="20" t="s">
        <v>50</v>
      </c>
    </row>
    <row r="7" spans="1:6" x14ac:dyDescent="0.2">
      <c r="A7" s="2"/>
      <c r="B7" s="5"/>
      <c r="C7" s="2"/>
      <c r="D7" s="2"/>
      <c r="E7" s="2"/>
    </row>
    <row r="8" spans="1:6" x14ac:dyDescent="0.2">
      <c r="A8" s="2"/>
      <c r="B8" s="5" t="s">
        <v>67</v>
      </c>
      <c r="C8" s="2"/>
      <c r="D8" s="2"/>
      <c r="E8" s="2"/>
    </row>
    <row r="10" spans="1:6" ht="10.5" x14ac:dyDescent="0.25">
      <c r="A10" s="6" t="s">
        <v>544</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545</v>
      </c>
      <c r="B15" s="5" t="s">
        <v>76</v>
      </c>
      <c r="C15" s="7">
        <v>15</v>
      </c>
      <c r="D15" s="2" t="s">
        <v>77</v>
      </c>
      <c r="E15" s="8"/>
      <c r="F15" s="16">
        <f>C15*E15</f>
        <v>0</v>
      </c>
    </row>
    <row r="16" spans="1:6" x14ac:dyDescent="0.2">
      <c r="A16" s="2" t="s">
        <v>546</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547</v>
      </c>
      <c r="B18" s="5" t="s">
        <v>83</v>
      </c>
      <c r="C18" s="7">
        <v>1</v>
      </c>
      <c r="D18" s="2" t="s">
        <v>80</v>
      </c>
      <c r="E18" s="8"/>
      <c r="F18" s="16">
        <f t="shared" si="0"/>
        <v>0</v>
      </c>
    </row>
    <row r="19" spans="1:6" x14ac:dyDescent="0.2">
      <c r="A19" s="2"/>
      <c r="B19" s="5" t="s">
        <v>69</v>
      </c>
      <c r="C19" s="2"/>
      <c r="D19" s="2"/>
      <c r="E19" s="2"/>
      <c r="F19" s="16"/>
    </row>
    <row r="20" spans="1:6" ht="20" x14ac:dyDescent="0.2">
      <c r="A20" s="2" t="s">
        <v>548</v>
      </c>
      <c r="B20" s="5" t="s">
        <v>85</v>
      </c>
      <c r="C20" s="7">
        <v>7</v>
      </c>
      <c r="D20" s="2" t="s">
        <v>86</v>
      </c>
      <c r="E20" s="8"/>
      <c r="F20" s="16">
        <f t="shared" si="0"/>
        <v>0</v>
      </c>
    </row>
    <row r="21" spans="1:6" x14ac:dyDescent="0.2">
      <c r="A21" s="2" t="s">
        <v>549</v>
      </c>
      <c r="B21" s="5" t="s">
        <v>88</v>
      </c>
      <c r="C21" s="7">
        <v>11</v>
      </c>
      <c r="D21" s="2" t="s">
        <v>89</v>
      </c>
      <c r="E21" s="8"/>
      <c r="F21" s="16">
        <f t="shared" si="0"/>
        <v>0</v>
      </c>
    </row>
    <row r="22" spans="1:6" ht="30" x14ac:dyDescent="0.2">
      <c r="A22" s="2" t="s">
        <v>550</v>
      </c>
      <c r="B22" s="5" t="s">
        <v>91</v>
      </c>
      <c r="C22" s="7">
        <v>35</v>
      </c>
      <c r="D22" s="2" t="s">
        <v>89</v>
      </c>
      <c r="E22" s="8"/>
      <c r="F22" s="16">
        <f t="shared" si="0"/>
        <v>0</v>
      </c>
    </row>
    <row r="23" spans="1:6" x14ac:dyDescent="0.2">
      <c r="A23" s="2" t="s">
        <v>551</v>
      </c>
      <c r="B23" s="5" t="s">
        <v>93</v>
      </c>
      <c r="C23" s="7">
        <v>12</v>
      </c>
      <c r="D23" s="2" t="s">
        <v>86</v>
      </c>
      <c r="E23" s="8"/>
      <c r="F23" s="16">
        <f t="shared" si="0"/>
        <v>0</v>
      </c>
    </row>
    <row r="24" spans="1:6" x14ac:dyDescent="0.2">
      <c r="A24" s="2" t="s">
        <v>552</v>
      </c>
      <c r="B24" s="5" t="s">
        <v>95</v>
      </c>
      <c r="C24" s="7">
        <v>13</v>
      </c>
      <c r="D24" s="2" t="s">
        <v>77</v>
      </c>
      <c r="E24" s="8"/>
      <c r="F24" s="16">
        <f t="shared" si="0"/>
        <v>0</v>
      </c>
    </row>
    <row r="25" spans="1:6" ht="20" x14ac:dyDescent="0.2">
      <c r="A25" s="2" t="s">
        <v>553</v>
      </c>
      <c r="B25" s="5" t="s">
        <v>97</v>
      </c>
      <c r="C25" s="7">
        <v>9</v>
      </c>
      <c r="D25" s="2" t="s">
        <v>86</v>
      </c>
      <c r="E25" s="8"/>
      <c r="F25" s="16">
        <f t="shared" si="0"/>
        <v>0</v>
      </c>
    </row>
    <row r="26" spans="1:6" x14ac:dyDescent="0.2">
      <c r="A26" s="2" t="s">
        <v>554</v>
      </c>
      <c r="B26" s="5" t="s">
        <v>99</v>
      </c>
      <c r="C26" s="7">
        <v>156</v>
      </c>
      <c r="D26" s="2" t="s">
        <v>89</v>
      </c>
      <c r="E26" s="8"/>
      <c r="F26" s="16">
        <f t="shared" si="0"/>
        <v>0</v>
      </c>
    </row>
    <row r="27" spans="1:6" x14ac:dyDescent="0.2">
      <c r="A27" s="2" t="s">
        <v>555</v>
      </c>
      <c r="B27" s="5" t="s">
        <v>101</v>
      </c>
      <c r="C27" s="7">
        <v>2</v>
      </c>
      <c r="D27" s="2" t="s">
        <v>77</v>
      </c>
      <c r="E27" s="8"/>
      <c r="F27" s="16">
        <f t="shared" si="0"/>
        <v>0</v>
      </c>
    </row>
    <row r="28" spans="1:6" x14ac:dyDescent="0.2">
      <c r="A28" s="2" t="s">
        <v>556</v>
      </c>
      <c r="B28" s="5" t="s">
        <v>103</v>
      </c>
      <c r="C28" s="7">
        <v>1</v>
      </c>
      <c r="D28" s="2" t="s">
        <v>104</v>
      </c>
      <c r="E28" s="8"/>
      <c r="F28" s="16">
        <f t="shared" si="0"/>
        <v>0</v>
      </c>
    </row>
    <row r="29" spans="1:6" x14ac:dyDescent="0.2">
      <c r="A29" s="2" t="s">
        <v>557</v>
      </c>
      <c r="B29" s="5" t="s">
        <v>106</v>
      </c>
      <c r="C29" s="7">
        <v>1</v>
      </c>
      <c r="D29" s="2" t="s">
        <v>77</v>
      </c>
      <c r="E29" s="8"/>
      <c r="F29" s="16">
        <f t="shared" si="0"/>
        <v>0</v>
      </c>
    </row>
    <row r="30" spans="1:6" x14ac:dyDescent="0.2">
      <c r="A30" s="2" t="s">
        <v>558</v>
      </c>
      <c r="B30" s="5" t="s">
        <v>108</v>
      </c>
      <c r="C30" s="7">
        <v>88</v>
      </c>
      <c r="D30" s="2" t="s">
        <v>89</v>
      </c>
      <c r="E30" s="8"/>
      <c r="F30" s="16">
        <f t="shared" si="0"/>
        <v>0</v>
      </c>
    </row>
    <row r="31" spans="1:6" ht="20" x14ac:dyDescent="0.2">
      <c r="A31" s="2" t="s">
        <v>559</v>
      </c>
      <c r="B31" s="5" t="s">
        <v>110</v>
      </c>
      <c r="C31" s="7">
        <v>1</v>
      </c>
      <c r="D31" s="2" t="s">
        <v>77</v>
      </c>
      <c r="E31" s="8"/>
      <c r="F31" s="16">
        <f t="shared" si="0"/>
        <v>0</v>
      </c>
    </row>
    <row r="32" spans="1:6" ht="20" x14ac:dyDescent="0.2">
      <c r="A32" s="2" t="s">
        <v>560</v>
      </c>
      <c r="B32" s="5" t="s">
        <v>112</v>
      </c>
      <c r="C32" s="7">
        <v>26</v>
      </c>
      <c r="D32" s="2" t="s">
        <v>86</v>
      </c>
      <c r="E32" s="8"/>
      <c r="F32" s="16">
        <f t="shared" si="0"/>
        <v>0</v>
      </c>
    </row>
    <row r="33" spans="1:6" ht="40" x14ac:dyDescent="0.2">
      <c r="A33" s="2" t="s">
        <v>561</v>
      </c>
      <c r="B33" s="5" t="s">
        <v>114</v>
      </c>
      <c r="C33" s="7">
        <v>38</v>
      </c>
      <c r="D33" s="2" t="s">
        <v>89</v>
      </c>
      <c r="E33" s="8"/>
      <c r="F33" s="16">
        <f t="shared" si="0"/>
        <v>0</v>
      </c>
    </row>
    <row r="34" spans="1:6" x14ac:dyDescent="0.2">
      <c r="A34" s="2"/>
      <c r="B34" s="5" t="s">
        <v>115</v>
      </c>
      <c r="C34" s="2"/>
      <c r="D34" s="2"/>
      <c r="E34" s="2"/>
      <c r="F34" s="16"/>
    </row>
    <row r="35" spans="1:6" ht="30" x14ac:dyDescent="0.2">
      <c r="A35" s="2" t="s">
        <v>562</v>
      </c>
      <c r="B35" s="5" t="s">
        <v>117</v>
      </c>
      <c r="C35" s="7">
        <v>1</v>
      </c>
      <c r="D35" s="2" t="s">
        <v>80</v>
      </c>
      <c r="E35" s="8"/>
      <c r="F35" s="16">
        <f t="shared" si="0"/>
        <v>0</v>
      </c>
    </row>
    <row r="36" spans="1:6" x14ac:dyDescent="0.2">
      <c r="A36" s="2" t="s">
        <v>563</v>
      </c>
      <c r="B36" s="5" t="s">
        <v>119</v>
      </c>
      <c r="C36" s="7">
        <v>1</v>
      </c>
      <c r="D36" s="2" t="s">
        <v>104</v>
      </c>
      <c r="E36" s="8"/>
      <c r="F36" s="16">
        <f t="shared" si="0"/>
        <v>0</v>
      </c>
    </row>
    <row r="37" spans="1:6" ht="20" x14ac:dyDescent="0.2">
      <c r="A37" s="2" t="s">
        <v>564</v>
      </c>
      <c r="B37" s="5" t="s">
        <v>121</v>
      </c>
      <c r="C37" s="7">
        <v>1</v>
      </c>
      <c r="D37" s="2" t="s">
        <v>104</v>
      </c>
      <c r="E37" s="8"/>
      <c r="F37" s="16">
        <f t="shared" si="0"/>
        <v>0</v>
      </c>
    </row>
    <row r="38" spans="1:6" x14ac:dyDescent="0.2">
      <c r="A38" s="2" t="s">
        <v>565</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566</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567</v>
      </c>
      <c r="B51" s="5" t="s">
        <v>137</v>
      </c>
      <c r="C51" s="7">
        <v>350</v>
      </c>
      <c r="D51" s="2" t="s">
        <v>89</v>
      </c>
      <c r="E51" s="8"/>
      <c r="F51" s="16">
        <f t="shared" ref="F51:F59" si="1">C51*E51</f>
        <v>0</v>
      </c>
    </row>
    <row r="52" spans="1:6" x14ac:dyDescent="0.2">
      <c r="A52" s="2"/>
      <c r="B52" s="5" t="s">
        <v>138</v>
      </c>
      <c r="C52" s="2"/>
      <c r="D52" s="2"/>
      <c r="E52" s="2"/>
      <c r="F52" s="16"/>
    </row>
    <row r="53" spans="1:6" ht="30" x14ac:dyDescent="0.2">
      <c r="A53" s="2" t="s">
        <v>568</v>
      </c>
      <c r="B53" s="5" t="s">
        <v>140</v>
      </c>
      <c r="C53" s="7">
        <v>71</v>
      </c>
      <c r="D53" s="2" t="s">
        <v>89</v>
      </c>
      <c r="E53" s="8"/>
      <c r="F53" s="16">
        <f t="shared" si="1"/>
        <v>0</v>
      </c>
    </row>
    <row r="54" spans="1:6" ht="30" x14ac:dyDescent="0.2">
      <c r="A54" s="2" t="s">
        <v>569</v>
      </c>
      <c r="B54" s="5" t="s">
        <v>142</v>
      </c>
      <c r="C54" s="7">
        <v>6</v>
      </c>
      <c r="D54" s="2" t="s">
        <v>89</v>
      </c>
      <c r="E54" s="8"/>
      <c r="F54" s="16">
        <f t="shared" si="1"/>
        <v>0</v>
      </c>
    </row>
    <row r="55" spans="1:6" ht="20" x14ac:dyDescent="0.2">
      <c r="A55" s="2" t="s">
        <v>570</v>
      </c>
      <c r="B55" s="5" t="s">
        <v>144</v>
      </c>
      <c r="C55" s="7">
        <v>94</v>
      </c>
      <c r="D55" s="2" t="s">
        <v>89</v>
      </c>
      <c r="E55" s="8"/>
      <c r="F55" s="16">
        <f t="shared" si="1"/>
        <v>0</v>
      </c>
    </row>
    <row r="56" spans="1:6" x14ac:dyDescent="0.2">
      <c r="A56" s="2"/>
      <c r="B56" s="5" t="s">
        <v>145</v>
      </c>
      <c r="C56" s="2"/>
      <c r="D56" s="2"/>
      <c r="E56" s="2"/>
      <c r="F56" s="16"/>
    </row>
    <row r="57" spans="1:6" ht="30" x14ac:dyDescent="0.2">
      <c r="A57" s="2" t="s">
        <v>571</v>
      </c>
      <c r="B57" s="5" t="s">
        <v>147</v>
      </c>
      <c r="C57" s="7">
        <v>126</v>
      </c>
      <c r="D57" s="2" t="s">
        <v>86</v>
      </c>
      <c r="E57" s="8"/>
      <c r="F57" s="16">
        <f t="shared" si="1"/>
        <v>0</v>
      </c>
    </row>
    <row r="58" spans="1:6" x14ac:dyDescent="0.2">
      <c r="A58" s="2"/>
      <c r="B58" s="5" t="s">
        <v>148</v>
      </c>
      <c r="C58" s="2"/>
      <c r="D58" s="2"/>
      <c r="E58" s="2"/>
      <c r="F58" s="16"/>
    </row>
    <row r="59" spans="1:6" ht="30" x14ac:dyDescent="0.2">
      <c r="A59" s="2" t="s">
        <v>572</v>
      </c>
      <c r="B59" s="5" t="s">
        <v>150</v>
      </c>
      <c r="C59" s="7">
        <v>13</v>
      </c>
      <c r="D59" s="2" t="s">
        <v>77</v>
      </c>
      <c r="E59" s="8"/>
      <c r="F59" s="16">
        <f t="shared" si="1"/>
        <v>0</v>
      </c>
    </row>
    <row r="60" spans="1:6" ht="13" x14ac:dyDescent="0.3">
      <c r="B60" s="20" t="s">
        <v>151</v>
      </c>
      <c r="C60" s="9"/>
      <c r="D60" s="3"/>
      <c r="E60" s="9"/>
      <c r="F60" s="18">
        <f>SUM(F50:F59)</f>
        <v>0</v>
      </c>
    </row>
    <row r="61" spans="1:6" ht="13" x14ac:dyDescent="0.3">
      <c r="F61" s="18"/>
    </row>
    <row r="62" spans="1:6" ht="10.5" x14ac:dyDescent="0.25">
      <c r="A62" s="6" t="s">
        <v>573</v>
      </c>
      <c r="B62" s="21" t="s">
        <v>153</v>
      </c>
    </row>
    <row r="63" spans="1:6" x14ac:dyDescent="0.2">
      <c r="A63" s="2"/>
      <c r="B63" s="5" t="s">
        <v>154</v>
      </c>
      <c r="C63" s="2"/>
      <c r="D63" s="2"/>
      <c r="E63" s="2"/>
    </row>
    <row r="64" spans="1:6" x14ac:dyDescent="0.2">
      <c r="A64" s="2"/>
      <c r="B64" s="5" t="s">
        <v>128</v>
      </c>
      <c r="C64" s="2"/>
      <c r="D64" s="2"/>
      <c r="E64" s="2"/>
    </row>
    <row r="65" spans="1:6" ht="40" x14ac:dyDescent="0.2">
      <c r="A65" s="2"/>
      <c r="B65" s="5" t="s">
        <v>155</v>
      </c>
      <c r="C65" s="2"/>
      <c r="D65" s="2" t="s">
        <v>73</v>
      </c>
      <c r="E65" s="2"/>
    </row>
    <row r="66" spans="1:6" ht="30" x14ac:dyDescent="0.2">
      <c r="A66" s="2"/>
      <c r="B66" s="5" t="s">
        <v>156</v>
      </c>
      <c r="C66" s="2"/>
      <c r="D66" s="2" t="s">
        <v>73</v>
      </c>
      <c r="E66" s="2"/>
    </row>
    <row r="67" spans="1:6" x14ac:dyDescent="0.2">
      <c r="A67" s="2"/>
      <c r="B67" s="5" t="s">
        <v>138</v>
      </c>
      <c r="C67" s="2"/>
      <c r="D67" s="2"/>
      <c r="E67" s="2"/>
    </row>
    <row r="68" spans="1:6" ht="40" x14ac:dyDescent="0.2">
      <c r="A68" s="2" t="s">
        <v>574</v>
      </c>
      <c r="B68" s="5" t="s">
        <v>158</v>
      </c>
      <c r="C68" s="7">
        <v>120</v>
      </c>
      <c r="D68" s="2" t="s">
        <v>89</v>
      </c>
      <c r="E68" s="8"/>
      <c r="F68" s="16">
        <f t="shared" ref="F68:F72" si="2">C68*E68</f>
        <v>0</v>
      </c>
    </row>
    <row r="69" spans="1:6" ht="40" x14ac:dyDescent="0.2">
      <c r="A69" s="2" t="s">
        <v>575</v>
      </c>
      <c r="B69" s="5" t="s">
        <v>160</v>
      </c>
      <c r="C69" s="7">
        <v>17</v>
      </c>
      <c r="D69" s="2" t="s">
        <v>89</v>
      </c>
      <c r="E69" s="8"/>
      <c r="F69" s="16">
        <f t="shared" si="2"/>
        <v>0</v>
      </c>
    </row>
    <row r="70" spans="1:6" x14ac:dyDescent="0.2">
      <c r="A70" s="2"/>
      <c r="B70" s="5" t="s">
        <v>161</v>
      </c>
      <c r="C70" s="2"/>
      <c r="D70" s="2"/>
      <c r="E70" s="2"/>
      <c r="F70" s="16"/>
    </row>
    <row r="71" spans="1:6" x14ac:dyDescent="0.2">
      <c r="A71" s="2" t="s">
        <v>576</v>
      </c>
      <c r="B71" s="5" t="s">
        <v>163</v>
      </c>
      <c r="C71" s="7">
        <v>12.8</v>
      </c>
      <c r="D71" s="2" t="s">
        <v>86</v>
      </c>
      <c r="E71" s="8"/>
      <c r="F71" s="16">
        <f t="shared" si="2"/>
        <v>0</v>
      </c>
    </row>
    <row r="72" spans="1:6" ht="20" x14ac:dyDescent="0.2">
      <c r="A72" s="2" t="s">
        <v>577</v>
      </c>
      <c r="B72" s="5" t="s">
        <v>165</v>
      </c>
      <c r="C72" s="7">
        <v>8</v>
      </c>
      <c r="D72" s="2" t="s">
        <v>89</v>
      </c>
      <c r="E72" s="8"/>
      <c r="F72" s="16">
        <f t="shared" si="2"/>
        <v>0</v>
      </c>
    </row>
    <row r="73" spans="1:6" ht="13" x14ac:dyDescent="0.3">
      <c r="B73" s="20" t="s">
        <v>166</v>
      </c>
      <c r="C73" s="9"/>
      <c r="D73" s="3"/>
      <c r="E73" s="9"/>
      <c r="F73" s="18">
        <f>SUM(F68:F72)</f>
        <v>0</v>
      </c>
    </row>
    <row r="74" spans="1:6" ht="13" x14ac:dyDescent="0.3">
      <c r="F74" s="18"/>
    </row>
    <row r="75" spans="1:6" ht="10.5" x14ac:dyDescent="0.25">
      <c r="A75" s="6" t="s">
        <v>578</v>
      </c>
      <c r="B75" s="21" t="s">
        <v>168</v>
      </c>
    </row>
    <row r="76" spans="1:6" x14ac:dyDescent="0.2">
      <c r="A76" s="2"/>
      <c r="B76" s="5" t="s">
        <v>169</v>
      </c>
      <c r="C76" s="2"/>
      <c r="D76" s="2"/>
      <c r="E76" s="2"/>
    </row>
    <row r="77" spans="1:6" x14ac:dyDescent="0.2">
      <c r="A77" s="2"/>
      <c r="B77" s="5" t="s">
        <v>128</v>
      </c>
      <c r="C77" s="2"/>
      <c r="D77" s="2"/>
      <c r="E77" s="2"/>
    </row>
    <row r="78" spans="1:6" x14ac:dyDescent="0.2">
      <c r="A78" s="2"/>
      <c r="B78" s="5" t="s">
        <v>170</v>
      </c>
      <c r="C78" s="2"/>
      <c r="D78" s="2"/>
      <c r="E78" s="2"/>
    </row>
    <row r="79" spans="1:6" ht="60" x14ac:dyDescent="0.2">
      <c r="A79" s="2" t="s">
        <v>579</v>
      </c>
      <c r="B79" s="5" t="s">
        <v>172</v>
      </c>
      <c r="C79" s="7">
        <v>155</v>
      </c>
      <c r="D79" s="2" t="s">
        <v>89</v>
      </c>
      <c r="E79" s="8"/>
      <c r="F79" s="16">
        <f t="shared" ref="F79" si="3">C79*E79</f>
        <v>0</v>
      </c>
    </row>
    <row r="80" spans="1:6" ht="13" x14ac:dyDescent="0.3">
      <c r="B80" s="20" t="s">
        <v>173</v>
      </c>
      <c r="C80" s="9"/>
      <c r="D80" s="3"/>
      <c r="E80" s="9"/>
      <c r="F80" s="18">
        <f>SUM(F79)</f>
        <v>0</v>
      </c>
    </row>
    <row r="81" spans="1:6" ht="13" x14ac:dyDescent="0.3">
      <c r="F81" s="18"/>
    </row>
    <row r="82" spans="1:6" ht="10.5" x14ac:dyDescent="0.25">
      <c r="A82" s="6" t="s">
        <v>580</v>
      </c>
      <c r="B82" s="21" t="s">
        <v>175</v>
      </c>
    </row>
    <row r="83" spans="1:6" x14ac:dyDescent="0.2">
      <c r="A83" s="2"/>
      <c r="B83" s="5" t="s">
        <v>176</v>
      </c>
      <c r="C83" s="2"/>
      <c r="D83" s="2"/>
      <c r="E83" s="2"/>
    </row>
    <row r="84" spans="1:6" x14ac:dyDescent="0.2">
      <c r="A84" s="2"/>
      <c r="B84" s="5" t="s">
        <v>128</v>
      </c>
      <c r="C84" s="2"/>
      <c r="D84" s="2"/>
      <c r="E84" s="2"/>
    </row>
    <row r="85" spans="1:6" ht="30" x14ac:dyDescent="0.2">
      <c r="A85" s="2"/>
      <c r="B85" s="5" t="s">
        <v>177</v>
      </c>
      <c r="C85" s="2"/>
      <c r="D85" s="2" t="s">
        <v>73</v>
      </c>
      <c r="E85" s="2"/>
    </row>
    <row r="86" spans="1:6" x14ac:dyDescent="0.2">
      <c r="A86" s="2"/>
      <c r="B86" s="5" t="s">
        <v>148</v>
      </c>
      <c r="C86" s="2"/>
      <c r="D86" s="2"/>
      <c r="E86" s="2"/>
    </row>
    <row r="87" spans="1:6" ht="40" x14ac:dyDescent="0.2">
      <c r="A87" s="2" t="s">
        <v>581</v>
      </c>
      <c r="B87" s="5" t="s">
        <v>179</v>
      </c>
      <c r="C87" s="7">
        <v>1</v>
      </c>
      <c r="D87" s="2" t="s">
        <v>77</v>
      </c>
      <c r="E87" s="8"/>
      <c r="F87" s="16">
        <f>C87*E87</f>
        <v>0</v>
      </c>
    </row>
    <row r="88" spans="1:6" ht="20" x14ac:dyDescent="0.2">
      <c r="A88" s="2" t="s">
        <v>582</v>
      </c>
      <c r="B88" s="5" t="s">
        <v>181</v>
      </c>
      <c r="C88" s="7">
        <v>13</v>
      </c>
      <c r="D88" s="2" t="s">
        <v>77</v>
      </c>
      <c r="E88" s="8"/>
      <c r="F88" s="16">
        <f>C88*E88</f>
        <v>0</v>
      </c>
    </row>
    <row r="89" spans="1:6" ht="30" x14ac:dyDescent="0.2">
      <c r="A89" s="2" t="s">
        <v>583</v>
      </c>
      <c r="B89" s="5" t="s">
        <v>183</v>
      </c>
      <c r="C89" s="7">
        <v>1</v>
      </c>
      <c r="D89" s="2" t="s">
        <v>77</v>
      </c>
      <c r="E89" s="8"/>
      <c r="F89" s="16">
        <f t="shared" ref="F89" si="4">C89*E89</f>
        <v>0</v>
      </c>
    </row>
    <row r="90" spans="1:6" ht="13" x14ac:dyDescent="0.3">
      <c r="B90" s="20" t="s">
        <v>184</v>
      </c>
      <c r="C90" s="9"/>
      <c r="D90" s="3"/>
      <c r="E90" s="9"/>
      <c r="F90" s="18">
        <f>SUM(F85:F89)</f>
        <v>0</v>
      </c>
    </row>
    <row r="91" spans="1:6" ht="13" x14ac:dyDescent="0.3">
      <c r="F91" s="18"/>
    </row>
    <row r="92" spans="1:6" ht="10.5" x14ac:dyDescent="0.25">
      <c r="A92" s="6" t="s">
        <v>584</v>
      </c>
      <c r="B92" s="21" t="s">
        <v>186</v>
      </c>
    </row>
    <row r="93" spans="1:6" x14ac:dyDescent="0.2">
      <c r="A93" s="2"/>
      <c r="B93" s="5" t="s">
        <v>187</v>
      </c>
      <c r="C93" s="2"/>
      <c r="D93" s="2"/>
      <c r="E93" s="2"/>
    </row>
    <row r="94" spans="1:6" x14ac:dyDescent="0.2">
      <c r="A94" s="2"/>
      <c r="B94" s="5" t="s">
        <v>71</v>
      </c>
      <c r="C94" s="2"/>
      <c r="D94" s="2"/>
      <c r="E94" s="2"/>
    </row>
    <row r="95" spans="1:6" ht="50" x14ac:dyDescent="0.2">
      <c r="A95" s="2"/>
      <c r="B95" s="5" t="s">
        <v>188</v>
      </c>
      <c r="C95" s="2"/>
      <c r="D95" s="2" t="s">
        <v>73</v>
      </c>
      <c r="E95" s="2"/>
    </row>
    <row r="96" spans="1:6" ht="40" x14ac:dyDescent="0.2">
      <c r="A96" s="2"/>
      <c r="B96" s="5" t="s">
        <v>189</v>
      </c>
      <c r="C96" s="2"/>
      <c r="D96" s="2" t="s">
        <v>73</v>
      </c>
      <c r="E96" s="2"/>
    </row>
    <row r="97" spans="1:6" ht="50" x14ac:dyDescent="0.2">
      <c r="A97" s="2"/>
      <c r="B97" s="5" t="s">
        <v>190</v>
      </c>
      <c r="C97" s="2"/>
      <c r="D97" s="2" t="s">
        <v>73</v>
      </c>
      <c r="E97" s="2"/>
    </row>
    <row r="98" spans="1:6" ht="40" x14ac:dyDescent="0.2">
      <c r="A98" s="2"/>
      <c r="B98" s="5" t="s">
        <v>191</v>
      </c>
      <c r="C98" s="2"/>
      <c r="D98" s="2" t="s">
        <v>73</v>
      </c>
      <c r="E98" s="2"/>
    </row>
    <row r="99" spans="1:6" x14ac:dyDescent="0.2">
      <c r="A99" s="2"/>
      <c r="B99" s="5" t="s">
        <v>192</v>
      </c>
      <c r="C99" s="2"/>
      <c r="D99" s="2"/>
      <c r="E99" s="2"/>
    </row>
    <row r="100" spans="1:6" ht="50" x14ac:dyDescent="0.2">
      <c r="A100" s="2" t="s">
        <v>585</v>
      </c>
      <c r="B100" s="5" t="s">
        <v>194</v>
      </c>
      <c r="C100" s="7">
        <v>9.64</v>
      </c>
      <c r="D100" s="2" t="s">
        <v>86</v>
      </c>
      <c r="E100" s="8"/>
      <c r="F100" s="16">
        <f>C100*E100</f>
        <v>0</v>
      </c>
    </row>
    <row r="101" spans="1:6" x14ac:dyDescent="0.2">
      <c r="A101" s="2"/>
      <c r="B101" s="5" t="s">
        <v>195</v>
      </c>
      <c r="C101" s="2"/>
      <c r="D101" s="2"/>
      <c r="E101" s="2"/>
      <c r="F101" s="16"/>
    </row>
    <row r="102" spans="1:6" ht="50" x14ac:dyDescent="0.2">
      <c r="A102" s="2" t="s">
        <v>586</v>
      </c>
      <c r="B102" s="5" t="s">
        <v>197</v>
      </c>
      <c r="C102" s="7">
        <v>4.2</v>
      </c>
      <c r="D102" s="2" t="s">
        <v>86</v>
      </c>
      <c r="E102" s="8"/>
      <c r="F102" s="16">
        <f t="shared" ref="F102:F112" si="5">C102*E102</f>
        <v>0</v>
      </c>
    </row>
    <row r="103" spans="1:6" x14ac:dyDescent="0.2">
      <c r="A103" s="2"/>
      <c r="B103" s="5" t="s">
        <v>198</v>
      </c>
      <c r="C103" s="2"/>
      <c r="D103" s="2"/>
      <c r="E103" s="2"/>
      <c r="F103" s="16"/>
    </row>
    <row r="104" spans="1:6" ht="40" x14ac:dyDescent="0.2">
      <c r="A104" s="2" t="s">
        <v>587</v>
      </c>
      <c r="B104" s="5" t="s">
        <v>200</v>
      </c>
      <c r="C104" s="7">
        <v>5.99</v>
      </c>
      <c r="D104" s="2" t="s">
        <v>86</v>
      </c>
      <c r="E104" s="8"/>
      <c r="F104" s="16">
        <f t="shared" si="5"/>
        <v>0</v>
      </c>
    </row>
    <row r="105" spans="1:6" ht="40" x14ac:dyDescent="0.2">
      <c r="A105" s="2" t="s">
        <v>588</v>
      </c>
      <c r="B105" s="5" t="s">
        <v>202</v>
      </c>
      <c r="C105" s="7">
        <v>1.46</v>
      </c>
      <c r="D105" s="2" t="s">
        <v>86</v>
      </c>
      <c r="E105" s="8"/>
      <c r="F105" s="16">
        <f t="shared" si="5"/>
        <v>0</v>
      </c>
    </row>
    <row r="106" spans="1:6" x14ac:dyDescent="0.2">
      <c r="A106" s="2"/>
      <c r="B106" s="5" t="s">
        <v>203</v>
      </c>
      <c r="C106" s="2"/>
      <c r="D106" s="2"/>
      <c r="E106" s="2"/>
      <c r="F106" s="16"/>
    </row>
    <row r="107" spans="1:6" ht="30" x14ac:dyDescent="0.2">
      <c r="A107" s="2" t="s">
        <v>589</v>
      </c>
      <c r="B107" s="5" t="s">
        <v>205</v>
      </c>
      <c r="C107" s="7">
        <v>2.68</v>
      </c>
      <c r="D107" s="2" t="s">
        <v>86</v>
      </c>
      <c r="E107" s="8"/>
      <c r="F107" s="16">
        <f t="shared" si="5"/>
        <v>0</v>
      </c>
    </row>
    <row r="108" spans="1:6" x14ac:dyDescent="0.2">
      <c r="A108" s="2"/>
      <c r="B108" s="5" t="s">
        <v>206</v>
      </c>
      <c r="C108" s="2"/>
      <c r="D108" s="2"/>
      <c r="E108" s="2"/>
      <c r="F108" s="16"/>
    </row>
    <row r="109" spans="1:6" ht="30" x14ac:dyDescent="0.2">
      <c r="A109" s="2" t="s">
        <v>590</v>
      </c>
      <c r="B109" s="5" t="s">
        <v>208</v>
      </c>
      <c r="C109" s="7">
        <v>1.83</v>
      </c>
      <c r="D109" s="2" t="s">
        <v>86</v>
      </c>
      <c r="E109" s="8"/>
      <c r="F109" s="16">
        <f t="shared" si="5"/>
        <v>0</v>
      </c>
    </row>
    <row r="110" spans="1:6" x14ac:dyDescent="0.2">
      <c r="A110" s="2"/>
      <c r="B110" s="5" t="s">
        <v>209</v>
      </c>
      <c r="C110" s="2"/>
      <c r="D110" s="2"/>
      <c r="E110" s="2"/>
      <c r="F110" s="16"/>
    </row>
    <row r="111" spans="1:6" ht="20" x14ac:dyDescent="0.2">
      <c r="A111" s="2" t="s">
        <v>591</v>
      </c>
      <c r="B111" s="5" t="s">
        <v>211</v>
      </c>
      <c r="C111" s="7">
        <v>2</v>
      </c>
      <c r="D111" s="2" t="s">
        <v>77</v>
      </c>
      <c r="E111" s="8"/>
      <c r="F111" s="16">
        <f t="shared" si="5"/>
        <v>0</v>
      </c>
    </row>
    <row r="112" spans="1:6" ht="20" x14ac:dyDescent="0.2">
      <c r="A112" s="2" t="s">
        <v>592</v>
      </c>
      <c r="B112" s="5" t="s">
        <v>213</v>
      </c>
      <c r="C112" s="7">
        <v>2</v>
      </c>
      <c r="D112" s="2" t="s">
        <v>77</v>
      </c>
      <c r="E112" s="8"/>
      <c r="F112" s="16">
        <f t="shared" si="5"/>
        <v>0</v>
      </c>
    </row>
    <row r="113" spans="1:6" x14ac:dyDescent="0.2">
      <c r="A113" s="2"/>
      <c r="B113" s="5" t="s">
        <v>214</v>
      </c>
      <c r="C113" s="2"/>
      <c r="D113" s="2"/>
      <c r="E113" s="2"/>
      <c r="F113" s="16"/>
    </row>
    <row r="114" spans="1:6" x14ac:dyDescent="0.2">
      <c r="A114" s="2" t="s">
        <v>593</v>
      </c>
      <c r="B114" s="5" t="s">
        <v>216</v>
      </c>
      <c r="C114" s="7">
        <v>2</v>
      </c>
      <c r="D114" s="2" t="s">
        <v>77</v>
      </c>
      <c r="E114" s="8"/>
      <c r="F114" s="16">
        <f t="shared" ref="F114:F115" si="6">C114*E114</f>
        <v>0</v>
      </c>
    </row>
    <row r="115" spans="1:6" x14ac:dyDescent="0.2">
      <c r="A115" s="2" t="s">
        <v>594</v>
      </c>
      <c r="B115" s="5" t="s">
        <v>218</v>
      </c>
      <c r="C115" s="7">
        <v>2</v>
      </c>
      <c r="D115" s="2" t="s">
        <v>77</v>
      </c>
      <c r="E115" s="8"/>
      <c r="F115" s="16">
        <f t="shared" si="6"/>
        <v>0</v>
      </c>
    </row>
    <row r="116" spans="1:6" ht="13" x14ac:dyDescent="0.3">
      <c r="B116" s="20" t="s">
        <v>219</v>
      </c>
      <c r="C116" s="9"/>
      <c r="D116" s="3"/>
      <c r="E116" s="9"/>
      <c r="F116" s="18">
        <f>SUM(F100:F115)</f>
        <v>0</v>
      </c>
    </row>
    <row r="117" spans="1:6" x14ac:dyDescent="0.2">
      <c r="F117" s="16"/>
    </row>
    <row r="118" spans="1:6" ht="13" x14ac:dyDescent="0.3">
      <c r="A118" s="6" t="s">
        <v>595</v>
      </c>
      <c r="B118" s="21" t="s">
        <v>221</v>
      </c>
      <c r="F118" s="18"/>
    </row>
    <row r="119" spans="1:6" ht="13" x14ac:dyDescent="0.3">
      <c r="A119" s="2"/>
      <c r="B119" s="5" t="s">
        <v>222</v>
      </c>
      <c r="C119" s="2"/>
      <c r="D119" s="2"/>
      <c r="E119" s="2"/>
      <c r="F119" s="18"/>
    </row>
    <row r="120" spans="1:6" x14ac:dyDescent="0.2">
      <c r="A120" s="2"/>
      <c r="B120" s="5" t="s">
        <v>192</v>
      </c>
      <c r="C120" s="2"/>
      <c r="D120" s="2"/>
      <c r="E120" s="2"/>
    </row>
    <row r="121" spans="1:6" x14ac:dyDescent="0.2">
      <c r="A121" s="2" t="s">
        <v>596</v>
      </c>
      <c r="B121" s="5" t="s">
        <v>224</v>
      </c>
      <c r="C121" s="7">
        <v>1</v>
      </c>
      <c r="D121" s="2" t="s">
        <v>77</v>
      </c>
      <c r="E121" s="8"/>
      <c r="F121" s="16">
        <f>C121*E121</f>
        <v>0</v>
      </c>
    </row>
    <row r="122" spans="1:6" x14ac:dyDescent="0.2">
      <c r="A122" s="2" t="s">
        <v>597</v>
      </c>
      <c r="B122" s="5" t="s">
        <v>226</v>
      </c>
      <c r="C122" s="2"/>
      <c r="D122" s="2"/>
      <c r="E122" s="2"/>
      <c r="F122" s="2" t="s">
        <v>227</v>
      </c>
    </row>
    <row r="123" spans="1:6" x14ac:dyDescent="0.2">
      <c r="A123" s="2" t="s">
        <v>598</v>
      </c>
      <c r="B123" s="5" t="s">
        <v>229</v>
      </c>
      <c r="C123" s="7">
        <v>1</v>
      </c>
      <c r="D123" s="2" t="s">
        <v>77</v>
      </c>
      <c r="E123" s="8"/>
      <c r="F123" s="16">
        <f t="shared" ref="F123" si="7">C123*E123</f>
        <v>0</v>
      </c>
    </row>
    <row r="124" spans="1:6" x14ac:dyDescent="0.2">
      <c r="A124" s="2" t="s">
        <v>599</v>
      </c>
      <c r="B124" s="5" t="s">
        <v>231</v>
      </c>
      <c r="C124" s="7">
        <v>1</v>
      </c>
      <c r="D124" s="2" t="s">
        <v>77</v>
      </c>
      <c r="E124" s="8"/>
      <c r="F124" s="16">
        <f>C124*E124</f>
        <v>0</v>
      </c>
    </row>
    <row r="125" spans="1:6" x14ac:dyDescent="0.2">
      <c r="A125" s="2" t="s">
        <v>600</v>
      </c>
      <c r="B125" s="5" t="s">
        <v>233</v>
      </c>
      <c r="C125" s="2"/>
      <c r="D125" s="2"/>
      <c r="E125" s="2"/>
      <c r="F125" s="2" t="s">
        <v>227</v>
      </c>
    </row>
    <row r="126" spans="1:6" x14ac:dyDescent="0.2">
      <c r="A126" s="2" t="s">
        <v>601</v>
      </c>
      <c r="B126" s="5" t="s">
        <v>235</v>
      </c>
      <c r="C126" s="2"/>
      <c r="D126" s="2"/>
      <c r="E126" s="2"/>
      <c r="F126" s="2" t="s">
        <v>227</v>
      </c>
    </row>
    <row r="127" spans="1:6" x14ac:dyDescent="0.2">
      <c r="A127" s="2" t="s">
        <v>602</v>
      </c>
      <c r="B127" s="5" t="s">
        <v>237</v>
      </c>
      <c r="C127" s="2"/>
      <c r="D127" s="2"/>
      <c r="E127" s="2"/>
      <c r="F127" s="2" t="s">
        <v>227</v>
      </c>
    </row>
    <row r="128" spans="1:6" x14ac:dyDescent="0.2">
      <c r="A128" s="2" t="s">
        <v>603</v>
      </c>
      <c r="B128" s="5" t="s">
        <v>239</v>
      </c>
      <c r="C128" s="2"/>
      <c r="D128" s="2"/>
      <c r="E128" s="2"/>
      <c r="F128" s="2" t="s">
        <v>227</v>
      </c>
    </row>
    <row r="129" spans="1:6" x14ac:dyDescent="0.2">
      <c r="A129" s="2" t="s">
        <v>604</v>
      </c>
      <c r="B129" s="5" t="s">
        <v>241</v>
      </c>
      <c r="C129" s="7">
        <v>1</v>
      </c>
      <c r="D129" s="2" t="s">
        <v>77</v>
      </c>
      <c r="E129" s="8"/>
      <c r="F129" s="16">
        <f t="shared" ref="F129" si="8">C129*E129</f>
        <v>0</v>
      </c>
    </row>
    <row r="130" spans="1:6" x14ac:dyDescent="0.2">
      <c r="A130" s="2"/>
      <c r="B130" s="5" t="s">
        <v>195</v>
      </c>
      <c r="C130" s="2"/>
      <c r="D130" s="2"/>
      <c r="E130" s="2"/>
    </row>
    <row r="131" spans="1:6" x14ac:dyDescent="0.2">
      <c r="A131" s="2" t="s">
        <v>605</v>
      </c>
      <c r="B131" s="5" t="s">
        <v>243</v>
      </c>
      <c r="C131" s="2"/>
      <c r="D131" s="2"/>
      <c r="E131" s="2"/>
      <c r="F131" s="2" t="s">
        <v>227</v>
      </c>
    </row>
    <row r="132" spans="1:6" x14ac:dyDescent="0.2">
      <c r="A132" s="2" t="s">
        <v>606</v>
      </c>
      <c r="B132" s="5" t="s">
        <v>245</v>
      </c>
      <c r="C132" s="7">
        <v>1</v>
      </c>
      <c r="D132" s="2" t="s">
        <v>77</v>
      </c>
      <c r="E132" s="8"/>
      <c r="F132" s="16">
        <f>C132*E132</f>
        <v>0</v>
      </c>
    </row>
    <row r="133" spans="1:6" x14ac:dyDescent="0.2">
      <c r="A133" s="2" t="s">
        <v>607</v>
      </c>
      <c r="B133" s="5" t="s">
        <v>247</v>
      </c>
      <c r="C133" s="7">
        <v>1</v>
      </c>
      <c r="D133" s="2" t="s">
        <v>77</v>
      </c>
      <c r="E133" s="8"/>
      <c r="F133" s="16">
        <f t="shared" ref="F133:F157" si="9">C133*E133</f>
        <v>0</v>
      </c>
    </row>
    <row r="134" spans="1:6" x14ac:dyDescent="0.2">
      <c r="A134" s="2" t="s">
        <v>608</v>
      </c>
      <c r="B134" s="5" t="s">
        <v>249</v>
      </c>
      <c r="C134" s="7">
        <v>1</v>
      </c>
      <c r="D134" s="2" t="s">
        <v>77</v>
      </c>
      <c r="E134" s="8"/>
      <c r="F134" s="16">
        <f t="shared" si="9"/>
        <v>0</v>
      </c>
    </row>
    <row r="135" spans="1:6" x14ac:dyDescent="0.2">
      <c r="A135" s="2"/>
      <c r="B135" s="5" t="s">
        <v>250</v>
      </c>
      <c r="C135" s="2"/>
      <c r="D135" s="2"/>
      <c r="E135" s="2"/>
      <c r="F135" s="16"/>
    </row>
    <row r="136" spans="1:6" x14ac:dyDescent="0.2">
      <c r="A136" s="2" t="s">
        <v>609</v>
      </c>
      <c r="B136" s="5" t="s">
        <v>252</v>
      </c>
      <c r="C136" s="7">
        <v>1</v>
      </c>
      <c r="D136" s="2" t="s">
        <v>77</v>
      </c>
      <c r="E136" s="8"/>
      <c r="F136" s="16">
        <f t="shared" si="9"/>
        <v>0</v>
      </c>
    </row>
    <row r="137" spans="1:6" x14ac:dyDescent="0.2">
      <c r="A137" s="2" t="s">
        <v>610</v>
      </c>
      <c r="B137" s="5" t="s">
        <v>254</v>
      </c>
      <c r="C137" s="7">
        <v>1</v>
      </c>
      <c r="D137" s="2" t="s">
        <v>77</v>
      </c>
      <c r="E137" s="8"/>
      <c r="F137" s="16">
        <f t="shared" si="9"/>
        <v>0</v>
      </c>
    </row>
    <row r="138" spans="1:6" x14ac:dyDescent="0.2">
      <c r="A138" s="2" t="s">
        <v>611</v>
      </c>
      <c r="B138" s="5" t="s">
        <v>256</v>
      </c>
      <c r="C138" s="7">
        <v>1</v>
      </c>
      <c r="D138" s="2" t="s">
        <v>77</v>
      </c>
      <c r="E138" s="8"/>
      <c r="F138" s="16">
        <f t="shared" si="9"/>
        <v>0</v>
      </c>
    </row>
    <row r="139" spans="1:6" x14ac:dyDescent="0.2">
      <c r="A139" s="2" t="s">
        <v>612</v>
      </c>
      <c r="B139" s="5" t="s">
        <v>258</v>
      </c>
      <c r="C139" s="7">
        <v>1</v>
      </c>
      <c r="D139" s="2" t="s">
        <v>77</v>
      </c>
      <c r="E139" s="8"/>
      <c r="F139" s="16">
        <f t="shared" si="9"/>
        <v>0</v>
      </c>
    </row>
    <row r="140" spans="1:6" x14ac:dyDescent="0.2">
      <c r="A140" s="2" t="s">
        <v>613</v>
      </c>
      <c r="B140" s="5" t="s">
        <v>260</v>
      </c>
      <c r="C140" s="7">
        <v>1</v>
      </c>
      <c r="D140" s="2" t="s">
        <v>77</v>
      </c>
      <c r="E140" s="8"/>
      <c r="F140" s="16">
        <f t="shared" si="9"/>
        <v>0</v>
      </c>
    </row>
    <row r="141" spans="1:6" x14ac:dyDescent="0.2">
      <c r="A141" s="2"/>
      <c r="B141" s="5" t="s">
        <v>261</v>
      </c>
      <c r="C141" s="2"/>
      <c r="D141" s="2"/>
      <c r="E141" s="2"/>
      <c r="F141" s="16"/>
    </row>
    <row r="142" spans="1:6" x14ac:dyDescent="0.2">
      <c r="A142" s="2" t="s">
        <v>614</v>
      </c>
      <c r="B142" s="5" t="s">
        <v>263</v>
      </c>
      <c r="C142" s="7">
        <v>2</v>
      </c>
      <c r="D142" s="2" t="s">
        <v>77</v>
      </c>
      <c r="E142" s="8"/>
      <c r="F142" s="16">
        <f t="shared" si="9"/>
        <v>0</v>
      </c>
    </row>
    <row r="143" spans="1:6" x14ac:dyDescent="0.2">
      <c r="A143" s="2" t="s">
        <v>615</v>
      </c>
      <c r="B143" s="5" t="s">
        <v>252</v>
      </c>
      <c r="C143" s="7">
        <v>1</v>
      </c>
      <c r="D143" s="2" t="s">
        <v>77</v>
      </c>
      <c r="E143" s="8"/>
      <c r="F143" s="16">
        <f t="shared" si="9"/>
        <v>0</v>
      </c>
    </row>
    <row r="144" spans="1:6" x14ac:dyDescent="0.2">
      <c r="A144" s="2" t="s">
        <v>616</v>
      </c>
      <c r="B144" s="5" t="s">
        <v>254</v>
      </c>
      <c r="C144" s="7">
        <v>3</v>
      </c>
      <c r="D144" s="2" t="s">
        <v>77</v>
      </c>
      <c r="E144" s="8"/>
      <c r="F144" s="16">
        <f t="shared" si="9"/>
        <v>0</v>
      </c>
    </row>
    <row r="145" spans="1:6" x14ac:dyDescent="0.2">
      <c r="A145" s="2" t="s">
        <v>617</v>
      </c>
      <c r="B145" s="5" t="s">
        <v>267</v>
      </c>
      <c r="C145" s="7">
        <v>1</v>
      </c>
      <c r="D145" s="2" t="s">
        <v>77</v>
      </c>
      <c r="E145" s="8"/>
      <c r="F145" s="16">
        <f t="shared" si="9"/>
        <v>0</v>
      </c>
    </row>
    <row r="146" spans="1:6" x14ac:dyDescent="0.2">
      <c r="A146" s="2" t="s">
        <v>618</v>
      </c>
      <c r="B146" s="5" t="s">
        <v>269</v>
      </c>
      <c r="C146" s="7">
        <v>2</v>
      </c>
      <c r="D146" s="2" t="s">
        <v>77</v>
      </c>
      <c r="E146" s="8"/>
      <c r="F146" s="16">
        <f t="shared" si="9"/>
        <v>0</v>
      </c>
    </row>
    <row r="147" spans="1:6" x14ac:dyDescent="0.2">
      <c r="A147" s="2" t="s">
        <v>619</v>
      </c>
      <c r="B147" s="5" t="s">
        <v>256</v>
      </c>
      <c r="C147" s="7">
        <v>3</v>
      </c>
      <c r="D147" s="2" t="s">
        <v>77</v>
      </c>
      <c r="E147" s="8"/>
      <c r="F147" s="16">
        <f t="shared" si="9"/>
        <v>0</v>
      </c>
    </row>
    <row r="148" spans="1:6" x14ac:dyDescent="0.2">
      <c r="A148" s="2" t="s">
        <v>620</v>
      </c>
      <c r="B148" s="5" t="s">
        <v>272</v>
      </c>
      <c r="C148" s="7">
        <v>4</v>
      </c>
      <c r="D148" s="2" t="s">
        <v>77</v>
      </c>
      <c r="E148" s="8"/>
      <c r="F148" s="16">
        <f>C148*E148</f>
        <v>0</v>
      </c>
    </row>
    <row r="149" spans="1:6" x14ac:dyDescent="0.2">
      <c r="A149" s="2" t="s">
        <v>621</v>
      </c>
      <c r="B149" s="5" t="s">
        <v>274</v>
      </c>
      <c r="C149" s="7">
        <v>2</v>
      </c>
      <c r="D149" s="2" t="s">
        <v>77</v>
      </c>
      <c r="E149" s="8"/>
      <c r="F149" s="16">
        <f t="shared" si="9"/>
        <v>0</v>
      </c>
    </row>
    <row r="150" spans="1:6" x14ac:dyDescent="0.2">
      <c r="A150" s="2" t="s">
        <v>622</v>
      </c>
      <c r="B150" s="5" t="s">
        <v>276</v>
      </c>
      <c r="C150" s="7">
        <v>2</v>
      </c>
      <c r="D150" s="2" t="s">
        <v>77</v>
      </c>
      <c r="E150" s="8"/>
      <c r="F150" s="16">
        <f t="shared" si="9"/>
        <v>0</v>
      </c>
    </row>
    <row r="151" spans="1:6" ht="20" x14ac:dyDescent="0.2">
      <c r="A151" s="2" t="s">
        <v>623</v>
      </c>
      <c r="B151" s="5" t="s">
        <v>278</v>
      </c>
      <c r="C151" s="7">
        <v>2</v>
      </c>
      <c r="D151" s="2" t="s">
        <v>77</v>
      </c>
      <c r="E151" s="8"/>
      <c r="F151" s="16">
        <f t="shared" si="9"/>
        <v>0</v>
      </c>
    </row>
    <row r="152" spans="1:6" x14ac:dyDescent="0.2">
      <c r="A152" s="2" t="s">
        <v>624</v>
      </c>
      <c r="B152" s="5" t="s">
        <v>258</v>
      </c>
      <c r="C152" s="7">
        <v>1</v>
      </c>
      <c r="D152" s="2" t="s">
        <v>77</v>
      </c>
      <c r="E152" s="8"/>
      <c r="F152" s="16">
        <f t="shared" si="9"/>
        <v>0</v>
      </c>
    </row>
    <row r="153" spans="1:6" x14ac:dyDescent="0.2">
      <c r="A153" s="2" t="s">
        <v>625</v>
      </c>
      <c r="B153" s="5" t="s">
        <v>260</v>
      </c>
      <c r="C153" s="7">
        <v>1</v>
      </c>
      <c r="D153" s="2" t="s">
        <v>77</v>
      </c>
      <c r="E153" s="8"/>
      <c r="F153" s="16">
        <f t="shared" si="9"/>
        <v>0</v>
      </c>
    </row>
    <row r="154" spans="1:6" x14ac:dyDescent="0.2">
      <c r="A154" s="2" t="s">
        <v>626</v>
      </c>
      <c r="B154" s="5" t="s">
        <v>282</v>
      </c>
      <c r="C154" s="7">
        <v>1</v>
      </c>
      <c r="D154" s="2" t="s">
        <v>77</v>
      </c>
      <c r="E154" s="8"/>
      <c r="F154" s="16">
        <f t="shared" si="9"/>
        <v>0</v>
      </c>
    </row>
    <row r="155" spans="1:6" x14ac:dyDescent="0.2">
      <c r="A155" s="2" t="s">
        <v>627</v>
      </c>
      <c r="B155" s="5" t="s">
        <v>284</v>
      </c>
      <c r="C155" s="7">
        <v>2</v>
      </c>
      <c r="D155" s="2" t="s">
        <v>77</v>
      </c>
      <c r="E155" s="8"/>
      <c r="F155" s="16">
        <f>C155*E155</f>
        <v>0</v>
      </c>
    </row>
    <row r="156" spans="1:6" x14ac:dyDescent="0.2">
      <c r="A156" s="2"/>
      <c r="B156" s="5" t="s">
        <v>285</v>
      </c>
      <c r="C156" s="2"/>
      <c r="D156" s="2"/>
      <c r="E156" s="2"/>
      <c r="F156" s="16"/>
    </row>
    <row r="157" spans="1:6" ht="60" x14ac:dyDescent="0.2">
      <c r="A157" s="2" t="s">
        <v>628</v>
      </c>
      <c r="B157" s="5" t="s">
        <v>287</v>
      </c>
      <c r="C157" s="7">
        <v>6.58</v>
      </c>
      <c r="D157" s="2" t="s">
        <v>86</v>
      </c>
      <c r="E157" s="8"/>
      <c r="F157" s="16">
        <f t="shared" si="9"/>
        <v>0</v>
      </c>
    </row>
    <row r="158" spans="1:6" ht="13" x14ac:dyDescent="0.3">
      <c r="B158" s="20" t="s">
        <v>288</v>
      </c>
      <c r="C158" s="9"/>
      <c r="D158" s="3"/>
      <c r="E158" s="9"/>
      <c r="F158" s="18">
        <f>SUM(F120:F157)</f>
        <v>0</v>
      </c>
    </row>
    <row r="159" spans="1:6" ht="13" x14ac:dyDescent="0.3">
      <c r="F159" s="18"/>
    </row>
    <row r="160" spans="1:6" ht="13" x14ac:dyDescent="0.3">
      <c r="A160" s="6" t="s">
        <v>629</v>
      </c>
      <c r="B160" s="21" t="s">
        <v>290</v>
      </c>
      <c r="F160" s="18"/>
    </row>
    <row r="161" spans="1:6" x14ac:dyDescent="0.2">
      <c r="A161" s="2"/>
      <c r="B161" s="5" t="s">
        <v>431</v>
      </c>
      <c r="C161" s="2"/>
      <c r="D161" s="2"/>
      <c r="E161" s="2"/>
    </row>
    <row r="162" spans="1:6" ht="20" x14ac:dyDescent="0.2">
      <c r="A162" s="2"/>
      <c r="B162" s="5" t="s">
        <v>291</v>
      </c>
      <c r="C162" s="2"/>
      <c r="D162" s="2" t="s">
        <v>73</v>
      </c>
      <c r="E162" s="2"/>
    </row>
    <row r="163" spans="1:6" ht="30" x14ac:dyDescent="0.2">
      <c r="A163" s="2"/>
      <c r="B163" s="5" t="s">
        <v>292</v>
      </c>
      <c r="C163" s="2"/>
      <c r="D163" s="2" t="s">
        <v>73</v>
      </c>
      <c r="E163" s="2"/>
      <c r="F163" s="16"/>
    </row>
    <row r="164" spans="1:6" x14ac:dyDescent="0.2">
      <c r="A164" s="2"/>
      <c r="B164" s="5" t="s">
        <v>293</v>
      </c>
      <c r="C164" s="2"/>
      <c r="D164" s="2"/>
      <c r="E164" s="2"/>
      <c r="F164" s="16"/>
    </row>
    <row r="165" spans="1:6" ht="50" x14ac:dyDescent="0.2">
      <c r="A165" s="2" t="s">
        <v>630</v>
      </c>
      <c r="B165" s="5" t="s">
        <v>295</v>
      </c>
      <c r="C165" s="7">
        <v>44</v>
      </c>
      <c r="D165" s="2" t="s">
        <v>89</v>
      </c>
      <c r="E165" s="8"/>
      <c r="F165" s="16">
        <f>C165*E165</f>
        <v>0</v>
      </c>
    </row>
    <row r="166" spans="1:6" ht="50" x14ac:dyDescent="0.2">
      <c r="A166" s="2" t="s">
        <v>631</v>
      </c>
      <c r="B166" s="5" t="s">
        <v>297</v>
      </c>
      <c r="C166" s="7">
        <v>5</v>
      </c>
      <c r="D166" s="2" t="s">
        <v>86</v>
      </c>
      <c r="E166" s="8"/>
      <c r="F166" s="16">
        <f t="shared" ref="F166" si="10">C166*E166</f>
        <v>0</v>
      </c>
    </row>
    <row r="167" spans="1:6" x14ac:dyDescent="0.2">
      <c r="A167" s="2"/>
      <c r="B167" s="5" t="s">
        <v>298</v>
      </c>
      <c r="C167" s="2"/>
      <c r="D167" s="2"/>
      <c r="E167" s="2"/>
    </row>
    <row r="168" spans="1:6" ht="30" x14ac:dyDescent="0.2">
      <c r="A168" s="2" t="s">
        <v>632</v>
      </c>
      <c r="B168" s="5" t="s">
        <v>300</v>
      </c>
      <c r="C168" s="7">
        <v>3</v>
      </c>
      <c r="D168" s="2" t="s">
        <v>89</v>
      </c>
      <c r="E168" s="8"/>
      <c r="F168" s="16">
        <f>C168*E168</f>
        <v>0</v>
      </c>
    </row>
    <row r="169" spans="1:6" ht="13" x14ac:dyDescent="0.3">
      <c r="B169" s="20" t="s">
        <v>301</v>
      </c>
      <c r="C169" s="9"/>
      <c r="D169" s="3"/>
      <c r="E169" s="9"/>
      <c r="F169" s="18">
        <f>SUM(F165:F168)</f>
        <v>0</v>
      </c>
    </row>
    <row r="170" spans="1:6" x14ac:dyDescent="0.2">
      <c r="F170" s="16"/>
    </row>
    <row r="171" spans="1:6" ht="13" x14ac:dyDescent="0.3">
      <c r="A171" s="6" t="s">
        <v>633</v>
      </c>
      <c r="B171" s="21" t="s">
        <v>303</v>
      </c>
      <c r="F171" s="18"/>
    </row>
    <row r="172" spans="1:6" x14ac:dyDescent="0.2">
      <c r="A172" s="2"/>
      <c r="B172" s="5" t="s">
        <v>304</v>
      </c>
      <c r="C172" s="2"/>
      <c r="D172" s="2"/>
      <c r="E172" s="2"/>
    </row>
    <row r="173" spans="1:6" x14ac:dyDescent="0.2">
      <c r="A173" s="2"/>
      <c r="B173" s="5" t="s">
        <v>128</v>
      </c>
      <c r="C173" s="2"/>
      <c r="D173" s="2"/>
      <c r="E173" s="2"/>
    </row>
    <row r="174" spans="1:6" ht="40" x14ac:dyDescent="0.2">
      <c r="A174" s="2"/>
      <c r="B174" s="5" t="s">
        <v>305</v>
      </c>
      <c r="C174" s="2"/>
      <c r="D174" s="2" t="s">
        <v>73</v>
      </c>
      <c r="E174" s="2"/>
    </row>
    <row r="175" spans="1:6" ht="60" x14ac:dyDescent="0.2">
      <c r="A175" s="2"/>
      <c r="B175" s="5" t="s">
        <v>306</v>
      </c>
      <c r="C175" s="2"/>
      <c r="D175" s="2" t="s">
        <v>73</v>
      </c>
      <c r="E175" s="2"/>
    </row>
    <row r="176" spans="1:6" ht="50" x14ac:dyDescent="0.2">
      <c r="A176" s="2"/>
      <c r="B176" s="5" t="s">
        <v>307</v>
      </c>
      <c r="C176" s="2"/>
      <c r="D176" s="2" t="s">
        <v>73</v>
      </c>
      <c r="E176" s="2"/>
    </row>
    <row r="177" spans="1:6" ht="50" x14ac:dyDescent="0.2">
      <c r="A177" s="2"/>
      <c r="B177" s="5" t="s">
        <v>308</v>
      </c>
      <c r="C177" s="2"/>
      <c r="D177" s="2" t="s">
        <v>73</v>
      </c>
      <c r="E177" s="2"/>
      <c r="F177" s="16"/>
    </row>
    <row r="178" spans="1:6" ht="41" x14ac:dyDescent="0.3">
      <c r="A178" s="2"/>
      <c r="B178" s="5" t="s">
        <v>309</v>
      </c>
      <c r="C178" s="2"/>
      <c r="D178" s="2" t="s">
        <v>73</v>
      </c>
      <c r="E178" s="2"/>
      <c r="F178" s="18"/>
    </row>
    <row r="179" spans="1:6" x14ac:dyDescent="0.2">
      <c r="A179" s="2"/>
      <c r="B179" s="5" t="s">
        <v>310</v>
      </c>
      <c r="C179" s="2"/>
      <c r="D179" s="2"/>
      <c r="E179" s="2"/>
    </row>
    <row r="180" spans="1:6" ht="50" x14ac:dyDescent="0.2">
      <c r="A180" s="2" t="s">
        <v>634</v>
      </c>
      <c r="B180" s="5" t="s">
        <v>312</v>
      </c>
      <c r="C180" s="7">
        <v>180</v>
      </c>
      <c r="D180" s="2" t="s">
        <v>89</v>
      </c>
      <c r="E180" s="7"/>
      <c r="F180" s="16">
        <f>C180*E180</f>
        <v>0</v>
      </c>
    </row>
    <row r="181" spans="1:6" ht="13" x14ac:dyDescent="0.3">
      <c r="B181" s="20" t="s">
        <v>313</v>
      </c>
      <c r="C181" s="9"/>
      <c r="D181" s="3"/>
      <c r="E181" s="9"/>
      <c r="F181" s="18">
        <f>SUM(F180)</f>
        <v>0</v>
      </c>
    </row>
    <row r="182" spans="1:6" x14ac:dyDescent="0.2">
      <c r="F182" s="16"/>
    </row>
    <row r="183" spans="1:6" ht="13" x14ac:dyDescent="0.3">
      <c r="A183" s="6" t="s">
        <v>635</v>
      </c>
      <c r="B183" s="21" t="s">
        <v>315</v>
      </c>
      <c r="F183" s="18"/>
    </row>
    <row r="184" spans="1:6" x14ac:dyDescent="0.2">
      <c r="A184" s="2"/>
      <c r="B184" s="5" t="s">
        <v>316</v>
      </c>
      <c r="C184" s="2"/>
      <c r="D184" s="2"/>
      <c r="E184" s="2"/>
    </row>
    <row r="185" spans="1:6" x14ac:dyDescent="0.2">
      <c r="A185" s="2"/>
      <c r="B185" s="5" t="s">
        <v>128</v>
      </c>
      <c r="C185" s="2"/>
      <c r="D185" s="2"/>
      <c r="E185" s="2"/>
    </row>
    <row r="186" spans="1:6" ht="60" x14ac:dyDescent="0.2">
      <c r="A186" s="2"/>
      <c r="B186" s="5" t="s">
        <v>317</v>
      </c>
      <c r="C186" s="2"/>
      <c r="D186" s="2" t="s">
        <v>73</v>
      </c>
      <c r="E186" s="2"/>
    </row>
    <row r="187" spans="1:6" ht="70" x14ac:dyDescent="0.2">
      <c r="A187" s="2"/>
      <c r="B187" s="5" t="s">
        <v>318</v>
      </c>
      <c r="C187" s="2"/>
      <c r="D187" s="2" t="s">
        <v>73</v>
      </c>
      <c r="E187" s="2"/>
    </row>
    <row r="188" spans="1:6" ht="90" x14ac:dyDescent="0.2">
      <c r="A188" s="2"/>
      <c r="B188" s="5" t="s">
        <v>319</v>
      </c>
      <c r="C188" s="2"/>
      <c r="D188" s="2" t="s">
        <v>73</v>
      </c>
      <c r="E188" s="2"/>
    </row>
    <row r="189" spans="1:6" ht="80" x14ac:dyDescent="0.2">
      <c r="A189" s="2"/>
      <c r="B189" s="5" t="s">
        <v>320</v>
      </c>
      <c r="C189" s="2"/>
      <c r="D189" s="2" t="s">
        <v>73</v>
      </c>
      <c r="E189" s="2"/>
    </row>
    <row r="190" spans="1:6" ht="70" x14ac:dyDescent="0.2">
      <c r="A190" s="2"/>
      <c r="B190" s="5" t="s">
        <v>321</v>
      </c>
      <c r="C190" s="2"/>
      <c r="D190" s="2" t="s">
        <v>73</v>
      </c>
      <c r="E190" s="2"/>
      <c r="F190" s="16"/>
    </row>
    <row r="191" spans="1:6" ht="71" x14ac:dyDescent="0.3">
      <c r="A191" s="2"/>
      <c r="B191" s="5" t="s">
        <v>322</v>
      </c>
      <c r="C191" s="2"/>
      <c r="D191" s="2" t="s">
        <v>73</v>
      </c>
      <c r="E191" s="2"/>
      <c r="F191" s="18"/>
    </row>
    <row r="192" spans="1:6" x14ac:dyDescent="0.2">
      <c r="A192" s="2"/>
      <c r="B192" s="5" t="s">
        <v>323</v>
      </c>
      <c r="C192" s="2"/>
      <c r="D192" s="2"/>
      <c r="E192" s="2"/>
    </row>
    <row r="193" spans="1:6" ht="50" x14ac:dyDescent="0.2">
      <c r="A193" s="2" t="s">
        <v>636</v>
      </c>
      <c r="B193" s="5" t="s">
        <v>325</v>
      </c>
      <c r="C193" s="7">
        <v>180</v>
      </c>
      <c r="D193" s="2" t="s">
        <v>89</v>
      </c>
      <c r="E193" s="7"/>
      <c r="F193" s="16">
        <f>C193*E193</f>
        <v>0</v>
      </c>
    </row>
    <row r="194" spans="1:6" ht="13" x14ac:dyDescent="0.3">
      <c r="B194" s="20" t="s">
        <v>326</v>
      </c>
      <c r="C194" s="9"/>
      <c r="D194" s="3"/>
      <c r="E194" s="9"/>
      <c r="F194" s="18">
        <f>SUM(F193)</f>
        <v>0</v>
      </c>
    </row>
    <row r="195" spans="1:6" ht="13" x14ac:dyDescent="0.3">
      <c r="F195" s="18"/>
    </row>
    <row r="196" spans="1:6" ht="10.5" x14ac:dyDescent="0.25">
      <c r="A196" s="6" t="s">
        <v>637</v>
      </c>
      <c r="B196" s="21" t="s">
        <v>328</v>
      </c>
      <c r="F196" s="16"/>
    </row>
    <row r="197" spans="1:6" ht="21" x14ac:dyDescent="0.3">
      <c r="A197" s="2"/>
      <c r="B197" s="5" t="s">
        <v>329</v>
      </c>
      <c r="C197" s="2"/>
      <c r="D197" s="2"/>
      <c r="E197" s="2"/>
      <c r="F197" s="18"/>
    </row>
    <row r="198" spans="1:6" x14ac:dyDescent="0.2">
      <c r="A198" s="2"/>
      <c r="B198" s="5" t="s">
        <v>71</v>
      </c>
      <c r="C198" s="2"/>
      <c r="D198" s="2"/>
      <c r="E198" s="2"/>
    </row>
    <row r="199" spans="1:6" ht="70" x14ac:dyDescent="0.2">
      <c r="A199" s="2"/>
      <c r="B199" s="5" t="s">
        <v>330</v>
      </c>
      <c r="C199" s="2"/>
      <c r="D199" s="2" t="s">
        <v>73</v>
      </c>
      <c r="E199" s="2"/>
    </row>
    <row r="200" spans="1:6" ht="110" x14ac:dyDescent="0.2">
      <c r="A200" s="2"/>
      <c r="B200" s="5" t="s">
        <v>331</v>
      </c>
      <c r="C200" s="2"/>
      <c r="D200" s="2" t="s">
        <v>73</v>
      </c>
      <c r="E200" s="2"/>
    </row>
    <row r="201" spans="1:6" ht="180" x14ac:dyDescent="0.2">
      <c r="A201" s="2"/>
      <c r="B201" s="5" t="s">
        <v>332</v>
      </c>
      <c r="C201" s="2"/>
      <c r="D201" s="2" t="s">
        <v>73</v>
      </c>
      <c r="E201" s="2"/>
    </row>
    <row r="202" spans="1:6" ht="90" x14ac:dyDescent="0.2">
      <c r="A202" s="2"/>
      <c r="B202" s="5" t="s">
        <v>333</v>
      </c>
      <c r="C202" s="2"/>
      <c r="D202" s="2" t="s">
        <v>73</v>
      </c>
      <c r="E202" s="2"/>
    </row>
    <row r="203" spans="1:6" ht="80" x14ac:dyDescent="0.2">
      <c r="A203" s="2"/>
      <c r="B203" s="5" t="s">
        <v>334</v>
      </c>
      <c r="C203" s="2"/>
      <c r="D203" s="2" t="s">
        <v>73</v>
      </c>
      <c r="E203" s="2"/>
    </row>
    <row r="204" spans="1:6" ht="90" x14ac:dyDescent="0.2">
      <c r="A204" s="2"/>
      <c r="B204" s="5" t="s">
        <v>335</v>
      </c>
      <c r="C204" s="2"/>
      <c r="D204" s="2" t="s">
        <v>73</v>
      </c>
      <c r="E204" s="2"/>
    </row>
    <row r="205" spans="1:6" ht="60" x14ac:dyDescent="0.2">
      <c r="A205" s="2"/>
      <c r="B205" s="5" t="s">
        <v>336</v>
      </c>
      <c r="C205" s="2"/>
      <c r="D205" s="2" t="s">
        <v>73</v>
      </c>
      <c r="E205" s="2"/>
    </row>
    <row r="206" spans="1:6" ht="60" x14ac:dyDescent="0.2">
      <c r="A206" s="2"/>
      <c r="B206" s="5" t="s">
        <v>337</v>
      </c>
      <c r="C206" s="2"/>
      <c r="D206" s="2" t="s">
        <v>73</v>
      </c>
      <c r="E206" s="2"/>
    </row>
    <row r="207" spans="1:6" ht="80" x14ac:dyDescent="0.2">
      <c r="A207" s="2"/>
      <c r="B207" s="5" t="s">
        <v>338</v>
      </c>
      <c r="C207" s="2"/>
      <c r="D207" s="2" t="s">
        <v>73</v>
      </c>
      <c r="E207" s="2"/>
      <c r="F207" s="16"/>
    </row>
    <row r="208" spans="1:6" ht="13" x14ac:dyDescent="0.3">
      <c r="A208" s="2"/>
      <c r="B208" s="5" t="s">
        <v>339</v>
      </c>
      <c r="C208" s="2"/>
      <c r="D208" s="2"/>
      <c r="E208" s="2"/>
      <c r="F208" s="18"/>
    </row>
    <row r="209" spans="1:6" ht="50" x14ac:dyDescent="0.2">
      <c r="A209" s="2" t="s">
        <v>638</v>
      </c>
      <c r="B209" s="5" t="s">
        <v>341</v>
      </c>
      <c r="C209" s="7">
        <v>180</v>
      </c>
      <c r="D209" s="2" t="s">
        <v>89</v>
      </c>
      <c r="E209" s="7"/>
      <c r="F209" s="16">
        <f>C209*E209</f>
        <v>0</v>
      </c>
    </row>
    <row r="210" spans="1:6" ht="21.5" x14ac:dyDescent="0.3">
      <c r="B210" s="20" t="s">
        <v>342</v>
      </c>
      <c r="C210" s="9"/>
      <c r="D210" s="3"/>
      <c r="E210" s="9"/>
      <c r="F210" s="18">
        <f>SUM(F209)</f>
        <v>0</v>
      </c>
    </row>
    <row r="211" spans="1:6" ht="13" x14ac:dyDescent="0.3">
      <c r="B211" s="20" t="s">
        <v>639</v>
      </c>
      <c r="C211" s="9"/>
      <c r="D211" s="3"/>
      <c r="E211" s="9"/>
      <c r="F211" s="17">
        <f>F210+F194+F181+F169+F158+F116+F90+F80+F73+F60+F39</f>
        <v>0</v>
      </c>
    </row>
    <row r="212" spans="1:6" ht="13" x14ac:dyDescent="0.3">
      <c r="F212" s="17"/>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B338-E1AE-433E-98DA-AFBD9881A783}">
  <sheetPr codeName="Sheet6">
    <pageSetUpPr fitToPage="1"/>
  </sheetPr>
  <dimension ref="A1:F212"/>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1811</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640</v>
      </c>
      <c r="B6" s="20" t="s">
        <v>51</v>
      </c>
    </row>
    <row r="7" spans="1:6" x14ac:dyDescent="0.2">
      <c r="A7" s="2"/>
      <c r="B7" s="5"/>
      <c r="C7" s="2"/>
      <c r="D7" s="2"/>
      <c r="E7" s="2"/>
    </row>
    <row r="8" spans="1:6" x14ac:dyDescent="0.2">
      <c r="A8" s="2"/>
      <c r="B8" s="5" t="s">
        <v>67</v>
      </c>
      <c r="C8" s="2"/>
      <c r="D8" s="2"/>
      <c r="E8" s="2"/>
    </row>
    <row r="10" spans="1:6" ht="10.5" x14ac:dyDescent="0.25">
      <c r="A10" s="6" t="s">
        <v>641</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642</v>
      </c>
      <c r="B15" s="5" t="s">
        <v>76</v>
      </c>
      <c r="C15" s="7">
        <v>15</v>
      </c>
      <c r="D15" s="2" t="s">
        <v>77</v>
      </c>
      <c r="E15" s="8"/>
      <c r="F15" s="16">
        <f>C15*E15</f>
        <v>0</v>
      </c>
    </row>
    <row r="16" spans="1:6" x14ac:dyDescent="0.2">
      <c r="A16" s="2" t="s">
        <v>643</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644</v>
      </c>
      <c r="B18" s="5" t="s">
        <v>83</v>
      </c>
      <c r="C18" s="7">
        <v>1</v>
      </c>
      <c r="D18" s="2" t="s">
        <v>80</v>
      </c>
      <c r="E18" s="8"/>
      <c r="F18" s="16">
        <f t="shared" si="0"/>
        <v>0</v>
      </c>
    </row>
    <row r="19" spans="1:6" x14ac:dyDescent="0.2">
      <c r="A19" s="2"/>
      <c r="B19" s="5" t="s">
        <v>69</v>
      </c>
      <c r="C19" s="2"/>
      <c r="D19" s="2"/>
      <c r="E19" s="2"/>
      <c r="F19" s="16"/>
    </row>
    <row r="20" spans="1:6" ht="20" x14ac:dyDescent="0.2">
      <c r="A20" s="2" t="s">
        <v>645</v>
      </c>
      <c r="B20" s="5" t="s">
        <v>85</v>
      </c>
      <c r="C20" s="7">
        <v>7</v>
      </c>
      <c r="D20" s="2" t="s">
        <v>86</v>
      </c>
      <c r="E20" s="8"/>
      <c r="F20" s="16">
        <f t="shared" si="0"/>
        <v>0</v>
      </c>
    </row>
    <row r="21" spans="1:6" x14ac:dyDescent="0.2">
      <c r="A21" s="2" t="s">
        <v>646</v>
      </c>
      <c r="B21" s="5" t="s">
        <v>88</v>
      </c>
      <c r="C21" s="7">
        <v>7</v>
      </c>
      <c r="D21" s="2" t="s">
        <v>89</v>
      </c>
      <c r="E21" s="8"/>
      <c r="F21" s="16">
        <f t="shared" si="0"/>
        <v>0</v>
      </c>
    </row>
    <row r="22" spans="1:6" ht="30" x14ac:dyDescent="0.2">
      <c r="A22" s="2" t="s">
        <v>647</v>
      </c>
      <c r="B22" s="5" t="s">
        <v>91</v>
      </c>
      <c r="C22" s="7">
        <v>40</v>
      </c>
      <c r="D22" s="2" t="s">
        <v>89</v>
      </c>
      <c r="E22" s="8"/>
      <c r="F22" s="16">
        <f t="shared" si="0"/>
        <v>0</v>
      </c>
    </row>
    <row r="23" spans="1:6" x14ac:dyDescent="0.2">
      <c r="A23" s="2" t="s">
        <v>648</v>
      </c>
      <c r="B23" s="5" t="s">
        <v>93</v>
      </c>
      <c r="C23" s="7">
        <v>11</v>
      </c>
      <c r="D23" s="2" t="s">
        <v>86</v>
      </c>
      <c r="E23" s="8"/>
      <c r="F23" s="16">
        <f t="shared" si="0"/>
        <v>0</v>
      </c>
    </row>
    <row r="24" spans="1:6" x14ac:dyDescent="0.2">
      <c r="A24" s="2" t="s">
        <v>649</v>
      </c>
      <c r="B24" s="5" t="s">
        <v>95</v>
      </c>
      <c r="C24" s="7">
        <v>13</v>
      </c>
      <c r="D24" s="2" t="s">
        <v>77</v>
      </c>
      <c r="E24" s="8"/>
      <c r="F24" s="16">
        <f t="shared" si="0"/>
        <v>0</v>
      </c>
    </row>
    <row r="25" spans="1:6" ht="20" x14ac:dyDescent="0.2">
      <c r="A25" s="2" t="s">
        <v>650</v>
      </c>
      <c r="B25" s="5" t="s">
        <v>97</v>
      </c>
      <c r="C25" s="7">
        <v>9</v>
      </c>
      <c r="D25" s="2" t="s">
        <v>86</v>
      </c>
      <c r="E25" s="8"/>
      <c r="F25" s="16">
        <f t="shared" si="0"/>
        <v>0</v>
      </c>
    </row>
    <row r="26" spans="1:6" x14ac:dyDescent="0.2">
      <c r="A26" s="2" t="s">
        <v>651</v>
      </c>
      <c r="B26" s="5" t="s">
        <v>99</v>
      </c>
      <c r="C26" s="7">
        <v>151</v>
      </c>
      <c r="D26" s="2" t="s">
        <v>89</v>
      </c>
      <c r="E26" s="8"/>
      <c r="F26" s="16">
        <f t="shared" si="0"/>
        <v>0</v>
      </c>
    </row>
    <row r="27" spans="1:6" x14ac:dyDescent="0.2">
      <c r="A27" s="2" t="s">
        <v>652</v>
      </c>
      <c r="B27" s="5" t="s">
        <v>101</v>
      </c>
      <c r="C27" s="7">
        <v>2</v>
      </c>
      <c r="D27" s="2" t="s">
        <v>77</v>
      </c>
      <c r="E27" s="8"/>
      <c r="F27" s="16">
        <f t="shared" si="0"/>
        <v>0</v>
      </c>
    </row>
    <row r="28" spans="1:6" x14ac:dyDescent="0.2">
      <c r="A28" s="2" t="s">
        <v>653</v>
      </c>
      <c r="B28" s="5" t="s">
        <v>103</v>
      </c>
      <c r="C28" s="7">
        <v>1</v>
      </c>
      <c r="D28" s="2" t="s">
        <v>104</v>
      </c>
      <c r="E28" s="8"/>
      <c r="F28" s="16">
        <f t="shared" si="0"/>
        <v>0</v>
      </c>
    </row>
    <row r="29" spans="1:6" x14ac:dyDescent="0.2">
      <c r="A29" s="2" t="s">
        <v>654</v>
      </c>
      <c r="B29" s="5" t="s">
        <v>106</v>
      </c>
      <c r="C29" s="7">
        <v>1</v>
      </c>
      <c r="D29" s="2" t="s">
        <v>77</v>
      </c>
      <c r="E29" s="8"/>
      <c r="F29" s="16">
        <f t="shared" si="0"/>
        <v>0</v>
      </c>
    </row>
    <row r="30" spans="1:6" x14ac:dyDescent="0.2">
      <c r="A30" s="2" t="s">
        <v>655</v>
      </c>
      <c r="B30" s="5" t="s">
        <v>108</v>
      </c>
      <c r="C30" s="7">
        <v>69</v>
      </c>
      <c r="D30" s="2" t="s">
        <v>89</v>
      </c>
      <c r="E30" s="8"/>
      <c r="F30" s="16">
        <f t="shared" si="0"/>
        <v>0</v>
      </c>
    </row>
    <row r="31" spans="1:6" ht="20" x14ac:dyDescent="0.2">
      <c r="A31" s="2" t="s">
        <v>656</v>
      </c>
      <c r="B31" s="5" t="s">
        <v>110</v>
      </c>
      <c r="C31" s="7">
        <v>1</v>
      </c>
      <c r="D31" s="2" t="s">
        <v>77</v>
      </c>
      <c r="E31" s="8"/>
      <c r="F31" s="16">
        <f t="shared" si="0"/>
        <v>0</v>
      </c>
    </row>
    <row r="32" spans="1:6" ht="20" x14ac:dyDescent="0.2">
      <c r="A32" s="2" t="s">
        <v>657</v>
      </c>
      <c r="B32" s="5" t="s">
        <v>112</v>
      </c>
      <c r="C32" s="7">
        <v>26</v>
      </c>
      <c r="D32" s="2" t="s">
        <v>86</v>
      </c>
      <c r="E32" s="8"/>
      <c r="F32" s="16">
        <f t="shared" si="0"/>
        <v>0</v>
      </c>
    </row>
    <row r="33" spans="1:6" ht="40" x14ac:dyDescent="0.2">
      <c r="A33" s="2" t="s">
        <v>658</v>
      </c>
      <c r="B33" s="5" t="s">
        <v>114</v>
      </c>
      <c r="C33" s="7">
        <v>41</v>
      </c>
      <c r="D33" s="2" t="s">
        <v>89</v>
      </c>
      <c r="E33" s="8"/>
      <c r="F33" s="16">
        <f t="shared" si="0"/>
        <v>0</v>
      </c>
    </row>
    <row r="34" spans="1:6" x14ac:dyDescent="0.2">
      <c r="A34" s="2"/>
      <c r="B34" s="5" t="s">
        <v>115</v>
      </c>
      <c r="C34" s="2"/>
      <c r="D34" s="2"/>
      <c r="E34" s="2"/>
      <c r="F34" s="16"/>
    </row>
    <row r="35" spans="1:6" ht="30" x14ac:dyDescent="0.2">
      <c r="A35" s="2" t="s">
        <v>659</v>
      </c>
      <c r="B35" s="5" t="s">
        <v>117</v>
      </c>
      <c r="C35" s="7">
        <v>1</v>
      </c>
      <c r="D35" s="2" t="s">
        <v>80</v>
      </c>
      <c r="E35" s="8"/>
      <c r="F35" s="16">
        <f t="shared" si="0"/>
        <v>0</v>
      </c>
    </row>
    <row r="36" spans="1:6" x14ac:dyDescent="0.2">
      <c r="A36" s="2" t="s">
        <v>660</v>
      </c>
      <c r="B36" s="5" t="s">
        <v>119</v>
      </c>
      <c r="C36" s="7">
        <v>1</v>
      </c>
      <c r="D36" s="2" t="s">
        <v>104</v>
      </c>
      <c r="E36" s="8"/>
      <c r="F36" s="16">
        <f t="shared" si="0"/>
        <v>0</v>
      </c>
    </row>
    <row r="37" spans="1:6" ht="20" x14ac:dyDescent="0.2">
      <c r="A37" s="2" t="s">
        <v>661</v>
      </c>
      <c r="B37" s="5" t="s">
        <v>121</v>
      </c>
      <c r="C37" s="7">
        <v>1</v>
      </c>
      <c r="D37" s="2" t="s">
        <v>104</v>
      </c>
      <c r="E37" s="8"/>
      <c r="F37" s="16">
        <f t="shared" si="0"/>
        <v>0</v>
      </c>
    </row>
    <row r="38" spans="1:6" x14ac:dyDescent="0.2">
      <c r="A38" s="2" t="s">
        <v>662</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663</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664</v>
      </c>
      <c r="B51" s="5" t="s">
        <v>137</v>
      </c>
      <c r="C51" s="7">
        <v>359</v>
      </c>
      <c r="D51" s="2" t="s">
        <v>89</v>
      </c>
      <c r="E51" s="8"/>
      <c r="F51" s="16">
        <f t="shared" ref="F51:F59" si="1">C51*E51</f>
        <v>0</v>
      </c>
    </row>
    <row r="52" spans="1:6" x14ac:dyDescent="0.2">
      <c r="A52" s="2"/>
      <c r="B52" s="5" t="s">
        <v>138</v>
      </c>
      <c r="C52" s="2"/>
      <c r="D52" s="2"/>
      <c r="E52" s="2"/>
      <c r="F52" s="16"/>
    </row>
    <row r="53" spans="1:6" ht="30" x14ac:dyDescent="0.2">
      <c r="A53" s="2" t="s">
        <v>665</v>
      </c>
      <c r="B53" s="5" t="s">
        <v>140</v>
      </c>
      <c r="C53" s="7">
        <v>66</v>
      </c>
      <c r="D53" s="2" t="s">
        <v>89</v>
      </c>
      <c r="E53" s="8"/>
      <c r="F53" s="16">
        <f t="shared" si="1"/>
        <v>0</v>
      </c>
    </row>
    <row r="54" spans="1:6" ht="30" x14ac:dyDescent="0.2">
      <c r="A54" s="2" t="s">
        <v>666</v>
      </c>
      <c r="B54" s="5" t="s">
        <v>142</v>
      </c>
      <c r="C54" s="7">
        <v>6</v>
      </c>
      <c r="D54" s="2" t="s">
        <v>89</v>
      </c>
      <c r="E54" s="8"/>
      <c r="F54" s="16">
        <f t="shared" si="1"/>
        <v>0</v>
      </c>
    </row>
    <row r="55" spans="1:6" ht="20" x14ac:dyDescent="0.2">
      <c r="A55" s="2" t="s">
        <v>667</v>
      </c>
      <c r="B55" s="5" t="s">
        <v>144</v>
      </c>
      <c r="C55" s="7">
        <v>88</v>
      </c>
      <c r="D55" s="2" t="s">
        <v>89</v>
      </c>
      <c r="E55" s="8"/>
      <c r="F55" s="16">
        <f t="shared" si="1"/>
        <v>0</v>
      </c>
    </row>
    <row r="56" spans="1:6" x14ac:dyDescent="0.2">
      <c r="A56" s="2"/>
      <c r="B56" s="5" t="s">
        <v>145</v>
      </c>
      <c r="C56" s="2"/>
      <c r="D56" s="2"/>
      <c r="E56" s="2"/>
      <c r="F56" s="16"/>
    </row>
    <row r="57" spans="1:6" ht="30" x14ac:dyDescent="0.2">
      <c r="A57" s="2" t="s">
        <v>668</v>
      </c>
      <c r="B57" s="5" t="s">
        <v>147</v>
      </c>
      <c r="C57" s="7">
        <v>130</v>
      </c>
      <c r="D57" s="2" t="s">
        <v>86</v>
      </c>
      <c r="E57" s="8"/>
      <c r="F57" s="16">
        <f t="shared" si="1"/>
        <v>0</v>
      </c>
    </row>
    <row r="58" spans="1:6" x14ac:dyDescent="0.2">
      <c r="A58" s="2"/>
      <c r="B58" s="5" t="s">
        <v>148</v>
      </c>
      <c r="C58" s="2"/>
      <c r="D58" s="2"/>
      <c r="E58" s="2"/>
      <c r="F58" s="16"/>
    </row>
    <row r="59" spans="1:6" ht="30" x14ac:dyDescent="0.2">
      <c r="A59" s="2" t="s">
        <v>669</v>
      </c>
      <c r="B59" s="5" t="s">
        <v>150</v>
      </c>
      <c r="C59" s="7">
        <v>13</v>
      </c>
      <c r="D59" s="2" t="s">
        <v>77</v>
      </c>
      <c r="E59" s="8"/>
      <c r="F59" s="16">
        <f t="shared" si="1"/>
        <v>0</v>
      </c>
    </row>
    <row r="60" spans="1:6" ht="13" x14ac:dyDescent="0.3">
      <c r="B60" s="20" t="s">
        <v>151</v>
      </c>
      <c r="C60" s="9"/>
      <c r="D60" s="3"/>
      <c r="E60" s="9"/>
      <c r="F60" s="18">
        <f>SUM(F50:F59)</f>
        <v>0</v>
      </c>
    </row>
    <row r="61" spans="1:6" ht="13" x14ac:dyDescent="0.3">
      <c r="F61" s="18"/>
    </row>
    <row r="62" spans="1:6" ht="10.5" x14ac:dyDescent="0.25">
      <c r="A62" s="6" t="s">
        <v>670</v>
      </c>
      <c r="B62" s="21" t="s">
        <v>153</v>
      </c>
    </row>
    <row r="63" spans="1:6" x14ac:dyDescent="0.2">
      <c r="A63" s="2"/>
      <c r="B63" s="5" t="s">
        <v>154</v>
      </c>
      <c r="C63" s="2"/>
      <c r="D63" s="2"/>
      <c r="E63" s="2"/>
    </row>
    <row r="64" spans="1:6" x14ac:dyDescent="0.2">
      <c r="A64" s="2"/>
      <c r="B64" s="5" t="s">
        <v>128</v>
      </c>
      <c r="C64" s="2"/>
      <c r="D64" s="2"/>
      <c r="E64" s="2"/>
    </row>
    <row r="65" spans="1:6" ht="40" x14ac:dyDescent="0.2">
      <c r="A65" s="2"/>
      <c r="B65" s="5" t="s">
        <v>155</v>
      </c>
      <c r="C65" s="2"/>
      <c r="D65" s="2" t="s">
        <v>73</v>
      </c>
      <c r="E65" s="2"/>
    </row>
    <row r="66" spans="1:6" ht="30" x14ac:dyDescent="0.2">
      <c r="A66" s="2"/>
      <c r="B66" s="5" t="s">
        <v>156</v>
      </c>
      <c r="C66" s="2"/>
      <c r="D66" s="2" t="s">
        <v>73</v>
      </c>
      <c r="E66" s="2"/>
    </row>
    <row r="67" spans="1:6" x14ac:dyDescent="0.2">
      <c r="A67" s="2"/>
      <c r="B67" s="5" t="s">
        <v>138</v>
      </c>
      <c r="C67" s="2"/>
      <c r="D67" s="2"/>
      <c r="E67" s="2"/>
    </row>
    <row r="68" spans="1:6" ht="40" x14ac:dyDescent="0.2">
      <c r="A68" s="2" t="s">
        <v>671</v>
      </c>
      <c r="B68" s="5" t="s">
        <v>158</v>
      </c>
      <c r="C68" s="7">
        <v>126</v>
      </c>
      <c r="D68" s="2" t="s">
        <v>89</v>
      </c>
      <c r="E68" s="8"/>
      <c r="F68" s="16">
        <f t="shared" ref="F68:F72" si="2">C68*E68</f>
        <v>0</v>
      </c>
    </row>
    <row r="69" spans="1:6" ht="40" x14ac:dyDescent="0.2">
      <c r="A69" s="2" t="s">
        <v>672</v>
      </c>
      <c r="B69" s="5" t="s">
        <v>160</v>
      </c>
      <c r="C69" s="7">
        <v>16</v>
      </c>
      <c r="D69" s="2" t="s">
        <v>89</v>
      </c>
      <c r="E69" s="8"/>
      <c r="F69" s="16">
        <f t="shared" si="2"/>
        <v>0</v>
      </c>
    </row>
    <row r="70" spans="1:6" x14ac:dyDescent="0.2">
      <c r="A70" s="2"/>
      <c r="B70" s="5" t="s">
        <v>161</v>
      </c>
      <c r="C70" s="2"/>
      <c r="D70" s="2"/>
      <c r="E70" s="2"/>
      <c r="F70" s="16"/>
    </row>
    <row r="71" spans="1:6" x14ac:dyDescent="0.2">
      <c r="A71" s="2" t="s">
        <v>673</v>
      </c>
      <c r="B71" s="5" t="s">
        <v>163</v>
      </c>
      <c r="C71" s="7">
        <v>12.8</v>
      </c>
      <c r="D71" s="2" t="s">
        <v>86</v>
      </c>
      <c r="E71" s="8"/>
      <c r="F71" s="16">
        <f t="shared" si="2"/>
        <v>0</v>
      </c>
    </row>
    <row r="72" spans="1:6" ht="20" x14ac:dyDescent="0.2">
      <c r="A72" s="2" t="s">
        <v>674</v>
      </c>
      <c r="B72" s="5" t="s">
        <v>165</v>
      </c>
      <c r="C72" s="7">
        <v>8</v>
      </c>
      <c r="D72" s="2" t="s">
        <v>89</v>
      </c>
      <c r="E72" s="8"/>
      <c r="F72" s="16">
        <f t="shared" si="2"/>
        <v>0</v>
      </c>
    </row>
    <row r="73" spans="1:6" ht="13" x14ac:dyDescent="0.3">
      <c r="B73" s="20" t="s">
        <v>166</v>
      </c>
      <c r="C73" s="9"/>
      <c r="D73" s="3"/>
      <c r="E73" s="9"/>
      <c r="F73" s="18">
        <f>SUM(F68:F72)</f>
        <v>0</v>
      </c>
    </row>
    <row r="74" spans="1:6" ht="13" x14ac:dyDescent="0.3">
      <c r="F74" s="18"/>
    </row>
    <row r="75" spans="1:6" ht="10.5" x14ac:dyDescent="0.25">
      <c r="A75" s="6" t="s">
        <v>675</v>
      </c>
      <c r="B75" s="21" t="s">
        <v>168</v>
      </c>
    </row>
    <row r="76" spans="1:6" x14ac:dyDescent="0.2">
      <c r="A76" s="2"/>
      <c r="B76" s="5" t="s">
        <v>169</v>
      </c>
      <c r="C76" s="2"/>
      <c r="D76" s="2"/>
      <c r="E76" s="2"/>
    </row>
    <row r="77" spans="1:6" x14ac:dyDescent="0.2">
      <c r="A77" s="2"/>
      <c r="B77" s="5" t="s">
        <v>128</v>
      </c>
      <c r="C77" s="2"/>
      <c r="D77" s="2"/>
      <c r="E77" s="2"/>
    </row>
    <row r="78" spans="1:6" x14ac:dyDescent="0.2">
      <c r="A78" s="2"/>
      <c r="B78" s="5" t="s">
        <v>170</v>
      </c>
      <c r="C78" s="2"/>
      <c r="D78" s="2"/>
      <c r="E78" s="2"/>
    </row>
    <row r="79" spans="1:6" ht="60" x14ac:dyDescent="0.2">
      <c r="A79" s="2" t="s">
        <v>676</v>
      </c>
      <c r="B79" s="5" t="s">
        <v>172</v>
      </c>
      <c r="C79" s="7">
        <v>161</v>
      </c>
      <c r="D79" s="2" t="s">
        <v>89</v>
      </c>
      <c r="E79" s="8"/>
      <c r="F79" s="16">
        <f t="shared" ref="F79" si="3">C79*E79</f>
        <v>0</v>
      </c>
    </row>
    <row r="80" spans="1:6" ht="13" x14ac:dyDescent="0.3">
      <c r="B80" s="20" t="s">
        <v>173</v>
      </c>
      <c r="C80" s="9"/>
      <c r="D80" s="3"/>
      <c r="E80" s="9"/>
      <c r="F80" s="18">
        <f>SUM(F79)</f>
        <v>0</v>
      </c>
    </row>
    <row r="81" spans="1:6" ht="13" x14ac:dyDescent="0.3">
      <c r="F81" s="18"/>
    </row>
    <row r="82" spans="1:6" ht="10.5" x14ac:dyDescent="0.25">
      <c r="A82" s="6" t="s">
        <v>677</v>
      </c>
      <c r="B82" s="21" t="s">
        <v>175</v>
      </c>
    </row>
    <row r="83" spans="1:6" x14ac:dyDescent="0.2">
      <c r="A83" s="2"/>
      <c r="B83" s="5" t="s">
        <v>176</v>
      </c>
      <c r="C83" s="2"/>
      <c r="D83" s="2"/>
      <c r="E83" s="2"/>
    </row>
    <row r="84" spans="1:6" x14ac:dyDescent="0.2">
      <c r="A84" s="2"/>
      <c r="B84" s="5" t="s">
        <v>128</v>
      </c>
      <c r="C84" s="2"/>
      <c r="D84" s="2"/>
      <c r="E84" s="2"/>
    </row>
    <row r="85" spans="1:6" ht="30" x14ac:dyDescent="0.2">
      <c r="A85" s="2"/>
      <c r="B85" s="5" t="s">
        <v>177</v>
      </c>
      <c r="C85" s="2"/>
      <c r="D85" s="2" t="s">
        <v>73</v>
      </c>
      <c r="E85" s="2"/>
    </row>
    <row r="86" spans="1:6" x14ac:dyDescent="0.2">
      <c r="A86" s="2"/>
      <c r="B86" s="5" t="s">
        <v>148</v>
      </c>
      <c r="C86" s="2"/>
      <c r="D86" s="2"/>
      <c r="E86" s="2"/>
    </row>
    <row r="87" spans="1:6" ht="40" x14ac:dyDescent="0.2">
      <c r="A87" s="2" t="s">
        <v>678</v>
      </c>
      <c r="B87" s="5" t="s">
        <v>179</v>
      </c>
      <c r="C87" s="7">
        <v>1</v>
      </c>
      <c r="D87" s="2" t="s">
        <v>77</v>
      </c>
      <c r="E87" s="8"/>
      <c r="F87" s="16">
        <f>C87*E87</f>
        <v>0</v>
      </c>
    </row>
    <row r="88" spans="1:6" ht="20" x14ac:dyDescent="0.2">
      <c r="A88" s="2" t="s">
        <v>679</v>
      </c>
      <c r="B88" s="5" t="s">
        <v>181</v>
      </c>
      <c r="C88" s="7">
        <v>13</v>
      </c>
      <c r="D88" s="2" t="s">
        <v>77</v>
      </c>
      <c r="E88" s="8"/>
      <c r="F88" s="16">
        <f>C88*E88</f>
        <v>0</v>
      </c>
    </row>
    <row r="89" spans="1:6" ht="30" x14ac:dyDescent="0.2">
      <c r="A89" s="2" t="s">
        <v>680</v>
      </c>
      <c r="B89" s="5" t="s">
        <v>183</v>
      </c>
      <c r="C89" s="7">
        <v>1</v>
      </c>
      <c r="D89" s="2" t="s">
        <v>77</v>
      </c>
      <c r="E89" s="8"/>
      <c r="F89" s="16">
        <f t="shared" ref="F89" si="4">C89*E89</f>
        <v>0</v>
      </c>
    </row>
    <row r="90" spans="1:6" ht="13" x14ac:dyDescent="0.3">
      <c r="B90" s="20" t="s">
        <v>184</v>
      </c>
      <c r="C90" s="9"/>
      <c r="D90" s="3"/>
      <c r="E90" s="9"/>
      <c r="F90" s="18">
        <f>SUM(F85:F89)</f>
        <v>0</v>
      </c>
    </row>
    <row r="91" spans="1:6" ht="13" x14ac:dyDescent="0.3">
      <c r="F91" s="18"/>
    </row>
    <row r="92" spans="1:6" ht="10.5" x14ac:dyDescent="0.25">
      <c r="A92" s="6" t="s">
        <v>681</v>
      </c>
      <c r="B92" s="21" t="s">
        <v>186</v>
      </c>
    </row>
    <row r="93" spans="1:6" x14ac:dyDescent="0.2">
      <c r="A93" s="2"/>
      <c r="B93" s="5" t="s">
        <v>187</v>
      </c>
      <c r="C93" s="2"/>
      <c r="D93" s="2"/>
      <c r="E93" s="2"/>
    </row>
    <row r="94" spans="1:6" x14ac:dyDescent="0.2">
      <c r="A94" s="2"/>
      <c r="B94" s="5" t="s">
        <v>71</v>
      </c>
      <c r="C94" s="2"/>
      <c r="D94" s="2"/>
      <c r="E94" s="2"/>
    </row>
    <row r="95" spans="1:6" ht="50" x14ac:dyDescent="0.2">
      <c r="A95" s="2"/>
      <c r="B95" s="5" t="s">
        <v>188</v>
      </c>
      <c r="C95" s="2"/>
      <c r="D95" s="2" t="s">
        <v>73</v>
      </c>
      <c r="E95" s="2"/>
    </row>
    <row r="96" spans="1:6" ht="40" x14ac:dyDescent="0.2">
      <c r="A96" s="2"/>
      <c r="B96" s="5" t="s">
        <v>189</v>
      </c>
      <c r="C96" s="2"/>
      <c r="D96" s="2" t="s">
        <v>73</v>
      </c>
      <c r="E96" s="2"/>
    </row>
    <row r="97" spans="1:6" ht="50" x14ac:dyDescent="0.2">
      <c r="A97" s="2"/>
      <c r="B97" s="5" t="s">
        <v>190</v>
      </c>
      <c r="C97" s="2"/>
      <c r="D97" s="2" t="s">
        <v>73</v>
      </c>
      <c r="E97" s="2"/>
    </row>
    <row r="98" spans="1:6" ht="40" x14ac:dyDescent="0.2">
      <c r="A98" s="2"/>
      <c r="B98" s="5" t="s">
        <v>191</v>
      </c>
      <c r="C98" s="2"/>
      <c r="D98" s="2" t="s">
        <v>73</v>
      </c>
      <c r="E98" s="2"/>
    </row>
    <row r="99" spans="1:6" x14ac:dyDescent="0.2">
      <c r="A99" s="2"/>
      <c r="B99" s="5" t="s">
        <v>192</v>
      </c>
      <c r="C99" s="2"/>
      <c r="D99" s="2"/>
      <c r="E99" s="2"/>
    </row>
    <row r="100" spans="1:6" ht="50" x14ac:dyDescent="0.2">
      <c r="A100" s="2" t="s">
        <v>682</v>
      </c>
      <c r="B100" s="5" t="s">
        <v>194</v>
      </c>
      <c r="C100" s="7">
        <v>9.64</v>
      </c>
      <c r="D100" s="2" t="s">
        <v>86</v>
      </c>
      <c r="E100" s="8"/>
      <c r="F100" s="16">
        <f>C100*E100</f>
        <v>0</v>
      </c>
    </row>
    <row r="101" spans="1:6" x14ac:dyDescent="0.2">
      <c r="A101" s="2"/>
      <c r="B101" s="5" t="s">
        <v>195</v>
      </c>
      <c r="C101" s="2"/>
      <c r="D101" s="2"/>
      <c r="E101" s="2"/>
      <c r="F101" s="16"/>
    </row>
    <row r="102" spans="1:6" ht="50" x14ac:dyDescent="0.2">
      <c r="A102" s="2" t="s">
        <v>683</v>
      </c>
      <c r="B102" s="5" t="s">
        <v>197</v>
      </c>
      <c r="C102" s="7">
        <v>4.2</v>
      </c>
      <c r="D102" s="2" t="s">
        <v>86</v>
      </c>
      <c r="E102" s="8"/>
      <c r="F102" s="16">
        <f t="shared" ref="F102:F112" si="5">C102*E102</f>
        <v>0</v>
      </c>
    </row>
    <row r="103" spans="1:6" x14ac:dyDescent="0.2">
      <c r="A103" s="2"/>
      <c r="B103" s="5" t="s">
        <v>198</v>
      </c>
      <c r="C103" s="2"/>
      <c r="D103" s="2"/>
      <c r="E103" s="2"/>
      <c r="F103" s="16"/>
    </row>
    <row r="104" spans="1:6" ht="40" x14ac:dyDescent="0.2">
      <c r="A104" s="2" t="s">
        <v>684</v>
      </c>
      <c r="B104" s="5" t="s">
        <v>200</v>
      </c>
      <c r="C104" s="7">
        <v>2.98</v>
      </c>
      <c r="D104" s="2" t="s">
        <v>86</v>
      </c>
      <c r="E104" s="8"/>
      <c r="F104" s="16">
        <f t="shared" si="5"/>
        <v>0</v>
      </c>
    </row>
    <row r="105" spans="1:6" ht="40" x14ac:dyDescent="0.2">
      <c r="A105" s="2" t="s">
        <v>685</v>
      </c>
      <c r="B105" s="5" t="s">
        <v>202</v>
      </c>
      <c r="C105" s="7">
        <v>3.75</v>
      </c>
      <c r="D105" s="2" t="s">
        <v>86</v>
      </c>
      <c r="E105" s="8"/>
      <c r="F105" s="16">
        <f t="shared" si="5"/>
        <v>0</v>
      </c>
    </row>
    <row r="106" spans="1:6" x14ac:dyDescent="0.2">
      <c r="A106" s="2"/>
      <c r="B106" s="5" t="s">
        <v>203</v>
      </c>
      <c r="C106" s="2"/>
      <c r="D106" s="2"/>
      <c r="E106" s="2"/>
      <c r="F106" s="16"/>
    </row>
    <row r="107" spans="1:6" ht="30" x14ac:dyDescent="0.2">
      <c r="A107" s="2" t="s">
        <v>686</v>
      </c>
      <c r="B107" s="5" t="s">
        <v>205</v>
      </c>
      <c r="C107" s="7">
        <v>2.68</v>
      </c>
      <c r="D107" s="2" t="s">
        <v>86</v>
      </c>
      <c r="E107" s="8"/>
      <c r="F107" s="16">
        <f t="shared" si="5"/>
        <v>0</v>
      </c>
    </row>
    <row r="108" spans="1:6" x14ac:dyDescent="0.2">
      <c r="A108" s="2"/>
      <c r="B108" s="5" t="s">
        <v>206</v>
      </c>
      <c r="C108" s="2"/>
      <c r="D108" s="2"/>
      <c r="E108" s="2"/>
      <c r="F108" s="16"/>
    </row>
    <row r="109" spans="1:6" ht="30" x14ac:dyDescent="0.2">
      <c r="A109" s="2" t="s">
        <v>687</v>
      </c>
      <c r="B109" s="5" t="s">
        <v>208</v>
      </c>
      <c r="C109" s="7">
        <v>1.83</v>
      </c>
      <c r="D109" s="2" t="s">
        <v>86</v>
      </c>
      <c r="E109" s="8"/>
      <c r="F109" s="16">
        <f t="shared" si="5"/>
        <v>0</v>
      </c>
    </row>
    <row r="110" spans="1:6" x14ac:dyDescent="0.2">
      <c r="A110" s="2"/>
      <c r="B110" s="5" t="s">
        <v>209</v>
      </c>
      <c r="C110" s="2"/>
      <c r="D110" s="2"/>
      <c r="E110" s="2"/>
      <c r="F110" s="16"/>
    </row>
    <row r="111" spans="1:6" ht="20" x14ac:dyDescent="0.2">
      <c r="A111" s="2" t="s">
        <v>688</v>
      </c>
      <c r="B111" s="5" t="s">
        <v>211</v>
      </c>
      <c r="C111" s="7">
        <v>2</v>
      </c>
      <c r="D111" s="2" t="s">
        <v>77</v>
      </c>
      <c r="E111" s="8"/>
      <c r="F111" s="16">
        <f t="shared" si="5"/>
        <v>0</v>
      </c>
    </row>
    <row r="112" spans="1:6" ht="20" x14ac:dyDescent="0.2">
      <c r="A112" s="2" t="s">
        <v>689</v>
      </c>
      <c r="B112" s="5" t="s">
        <v>213</v>
      </c>
      <c r="C112" s="7">
        <v>2</v>
      </c>
      <c r="D112" s="2" t="s">
        <v>77</v>
      </c>
      <c r="E112" s="8"/>
      <c r="F112" s="16">
        <f t="shared" si="5"/>
        <v>0</v>
      </c>
    </row>
    <row r="113" spans="1:6" x14ac:dyDescent="0.2">
      <c r="A113" s="2"/>
      <c r="B113" s="5" t="s">
        <v>214</v>
      </c>
      <c r="C113" s="2"/>
      <c r="D113" s="2"/>
      <c r="E113" s="2"/>
      <c r="F113" s="16"/>
    </row>
    <row r="114" spans="1:6" x14ac:dyDescent="0.2">
      <c r="A114" s="2" t="s">
        <v>690</v>
      </c>
      <c r="B114" s="5" t="s">
        <v>216</v>
      </c>
      <c r="C114" s="7">
        <v>2</v>
      </c>
      <c r="D114" s="2" t="s">
        <v>77</v>
      </c>
      <c r="E114" s="8"/>
      <c r="F114" s="16">
        <f t="shared" ref="F114:F115" si="6">C114*E114</f>
        <v>0</v>
      </c>
    </row>
    <row r="115" spans="1:6" x14ac:dyDescent="0.2">
      <c r="A115" s="2" t="s">
        <v>691</v>
      </c>
      <c r="B115" s="5" t="s">
        <v>218</v>
      </c>
      <c r="C115" s="7">
        <v>2</v>
      </c>
      <c r="D115" s="2" t="s">
        <v>77</v>
      </c>
      <c r="E115" s="8"/>
      <c r="F115" s="16">
        <f t="shared" si="6"/>
        <v>0</v>
      </c>
    </row>
    <row r="116" spans="1:6" ht="13" x14ac:dyDescent="0.3">
      <c r="B116" s="20" t="s">
        <v>219</v>
      </c>
      <c r="C116" s="9"/>
      <c r="D116" s="3"/>
      <c r="E116" s="9"/>
      <c r="F116" s="18">
        <f>SUM(F100:F115)</f>
        <v>0</v>
      </c>
    </row>
    <row r="117" spans="1:6" x14ac:dyDescent="0.2">
      <c r="F117" s="16"/>
    </row>
    <row r="118" spans="1:6" ht="13" x14ac:dyDescent="0.3">
      <c r="A118" s="6" t="s">
        <v>692</v>
      </c>
      <c r="B118" s="21" t="s">
        <v>221</v>
      </c>
      <c r="F118" s="18"/>
    </row>
    <row r="119" spans="1:6" ht="13" x14ac:dyDescent="0.3">
      <c r="A119" s="2"/>
      <c r="B119" s="5" t="s">
        <v>222</v>
      </c>
      <c r="C119" s="2"/>
      <c r="D119" s="2"/>
      <c r="E119" s="2"/>
      <c r="F119" s="18"/>
    </row>
    <row r="120" spans="1:6" x14ac:dyDescent="0.2">
      <c r="A120" s="2"/>
      <c r="B120" s="5" t="s">
        <v>192</v>
      </c>
      <c r="C120" s="2"/>
      <c r="D120" s="2"/>
      <c r="E120" s="2"/>
    </row>
    <row r="121" spans="1:6" x14ac:dyDescent="0.2">
      <c r="A121" s="2" t="s">
        <v>693</v>
      </c>
      <c r="B121" s="5" t="s">
        <v>224</v>
      </c>
      <c r="C121" s="7">
        <v>1</v>
      </c>
      <c r="D121" s="2" t="s">
        <v>77</v>
      </c>
      <c r="E121" s="8"/>
      <c r="F121" s="16">
        <f>C121*E121</f>
        <v>0</v>
      </c>
    </row>
    <row r="122" spans="1:6" x14ac:dyDescent="0.2">
      <c r="A122" s="2" t="s">
        <v>694</v>
      </c>
      <c r="B122" s="5" t="s">
        <v>226</v>
      </c>
      <c r="C122" s="2"/>
      <c r="D122" s="2"/>
      <c r="E122" s="2"/>
      <c r="F122" s="2" t="s">
        <v>227</v>
      </c>
    </row>
    <row r="123" spans="1:6" x14ac:dyDescent="0.2">
      <c r="A123" s="2" t="s">
        <v>695</v>
      </c>
      <c r="B123" s="5" t="s">
        <v>229</v>
      </c>
      <c r="C123" s="7">
        <v>1</v>
      </c>
      <c r="D123" s="2" t="s">
        <v>77</v>
      </c>
      <c r="E123" s="8"/>
      <c r="F123" s="16">
        <f t="shared" ref="F123" si="7">C123*E123</f>
        <v>0</v>
      </c>
    </row>
    <row r="124" spans="1:6" x14ac:dyDescent="0.2">
      <c r="A124" s="2" t="s">
        <v>696</v>
      </c>
      <c r="B124" s="5" t="s">
        <v>231</v>
      </c>
      <c r="C124" s="7">
        <v>1</v>
      </c>
      <c r="D124" s="2" t="s">
        <v>77</v>
      </c>
      <c r="E124" s="8"/>
      <c r="F124" s="16">
        <f>C124*E124</f>
        <v>0</v>
      </c>
    </row>
    <row r="125" spans="1:6" x14ac:dyDescent="0.2">
      <c r="A125" s="2" t="s">
        <v>697</v>
      </c>
      <c r="B125" s="5" t="s">
        <v>233</v>
      </c>
      <c r="C125" s="2"/>
      <c r="D125" s="2"/>
      <c r="E125" s="2"/>
      <c r="F125" s="2" t="s">
        <v>227</v>
      </c>
    </row>
    <row r="126" spans="1:6" x14ac:dyDescent="0.2">
      <c r="A126" s="2" t="s">
        <v>698</v>
      </c>
      <c r="B126" s="5" t="s">
        <v>235</v>
      </c>
      <c r="C126" s="2"/>
      <c r="D126" s="2"/>
      <c r="E126" s="2"/>
      <c r="F126" s="2" t="s">
        <v>227</v>
      </c>
    </row>
    <row r="127" spans="1:6" x14ac:dyDescent="0.2">
      <c r="A127" s="2" t="s">
        <v>699</v>
      </c>
      <c r="B127" s="5" t="s">
        <v>237</v>
      </c>
      <c r="C127" s="2"/>
      <c r="D127" s="2"/>
      <c r="E127" s="2"/>
      <c r="F127" s="2" t="s">
        <v>227</v>
      </c>
    </row>
    <row r="128" spans="1:6" x14ac:dyDescent="0.2">
      <c r="A128" s="2" t="s">
        <v>700</v>
      </c>
      <c r="B128" s="5" t="s">
        <v>239</v>
      </c>
      <c r="C128" s="2"/>
      <c r="D128" s="2"/>
      <c r="E128" s="2"/>
      <c r="F128" s="2" t="s">
        <v>227</v>
      </c>
    </row>
    <row r="129" spans="1:6" x14ac:dyDescent="0.2">
      <c r="A129" s="2" t="s">
        <v>701</v>
      </c>
      <c r="B129" s="5" t="s">
        <v>241</v>
      </c>
      <c r="C129" s="7">
        <v>1</v>
      </c>
      <c r="D129" s="2" t="s">
        <v>77</v>
      </c>
      <c r="E129" s="8"/>
      <c r="F129" s="16">
        <f t="shared" ref="F129" si="8">C129*E129</f>
        <v>0</v>
      </c>
    </row>
    <row r="130" spans="1:6" x14ac:dyDescent="0.2">
      <c r="A130" s="2"/>
      <c r="B130" s="5" t="s">
        <v>195</v>
      </c>
      <c r="C130" s="2"/>
      <c r="D130" s="2"/>
      <c r="E130" s="2"/>
    </row>
    <row r="131" spans="1:6" x14ac:dyDescent="0.2">
      <c r="A131" s="2" t="s">
        <v>702</v>
      </c>
      <c r="B131" s="5" t="s">
        <v>243</v>
      </c>
      <c r="C131" s="2"/>
      <c r="D131" s="2"/>
      <c r="E131" s="2"/>
      <c r="F131" s="2" t="s">
        <v>227</v>
      </c>
    </row>
    <row r="132" spans="1:6" x14ac:dyDescent="0.2">
      <c r="A132" s="2" t="s">
        <v>703</v>
      </c>
      <c r="B132" s="5" t="s">
        <v>245</v>
      </c>
      <c r="C132" s="7">
        <v>1</v>
      </c>
      <c r="D132" s="2" t="s">
        <v>77</v>
      </c>
      <c r="E132" s="8"/>
      <c r="F132" s="16">
        <f>C132*E132</f>
        <v>0</v>
      </c>
    </row>
    <row r="133" spans="1:6" x14ac:dyDescent="0.2">
      <c r="A133" s="2" t="s">
        <v>704</v>
      </c>
      <c r="B133" s="5" t="s">
        <v>247</v>
      </c>
      <c r="C133" s="7">
        <v>1</v>
      </c>
      <c r="D133" s="2" t="s">
        <v>77</v>
      </c>
      <c r="E133" s="8"/>
      <c r="F133" s="16">
        <f t="shared" ref="F133:F158" si="9">C133*E133</f>
        <v>0</v>
      </c>
    </row>
    <row r="134" spans="1:6" x14ac:dyDescent="0.2">
      <c r="A134" s="2" t="s">
        <v>705</v>
      </c>
      <c r="B134" s="5" t="s">
        <v>249</v>
      </c>
      <c r="C134" s="7">
        <v>1</v>
      </c>
      <c r="D134" s="2" t="s">
        <v>77</v>
      </c>
      <c r="E134" s="8"/>
      <c r="F134" s="16">
        <f t="shared" si="9"/>
        <v>0</v>
      </c>
    </row>
    <row r="135" spans="1:6" x14ac:dyDescent="0.2">
      <c r="A135" s="2"/>
      <c r="B135" s="5" t="s">
        <v>250</v>
      </c>
      <c r="C135" s="2"/>
      <c r="D135" s="2"/>
      <c r="E135" s="2"/>
      <c r="F135" s="16"/>
    </row>
    <row r="136" spans="1:6" x14ac:dyDescent="0.2">
      <c r="A136" s="2" t="s">
        <v>706</v>
      </c>
      <c r="B136" s="5" t="s">
        <v>252</v>
      </c>
      <c r="C136" s="7">
        <v>1</v>
      </c>
      <c r="D136" s="2" t="s">
        <v>77</v>
      </c>
      <c r="E136" s="8"/>
      <c r="F136" s="16">
        <f t="shared" si="9"/>
        <v>0</v>
      </c>
    </row>
    <row r="137" spans="1:6" x14ac:dyDescent="0.2">
      <c r="A137" s="2" t="s">
        <v>707</v>
      </c>
      <c r="B137" s="5" t="s">
        <v>254</v>
      </c>
      <c r="C137" s="7">
        <v>1</v>
      </c>
      <c r="D137" s="2" t="s">
        <v>77</v>
      </c>
      <c r="E137" s="8"/>
      <c r="F137" s="16">
        <f t="shared" si="9"/>
        <v>0</v>
      </c>
    </row>
    <row r="138" spans="1:6" x14ac:dyDescent="0.2">
      <c r="A138" s="2" t="s">
        <v>708</v>
      </c>
      <c r="B138" s="5" t="s">
        <v>256</v>
      </c>
      <c r="C138" s="7">
        <v>1</v>
      </c>
      <c r="D138" s="2" t="s">
        <v>77</v>
      </c>
      <c r="E138" s="8"/>
      <c r="F138" s="16">
        <f t="shared" si="9"/>
        <v>0</v>
      </c>
    </row>
    <row r="139" spans="1:6" x14ac:dyDescent="0.2">
      <c r="A139" s="2" t="s">
        <v>709</v>
      </c>
      <c r="B139" s="5" t="s">
        <v>258</v>
      </c>
      <c r="C139" s="7">
        <v>1</v>
      </c>
      <c r="D139" s="2" t="s">
        <v>77</v>
      </c>
      <c r="E139" s="8"/>
      <c r="F139" s="16">
        <f t="shared" si="9"/>
        <v>0</v>
      </c>
    </row>
    <row r="140" spans="1:6" x14ac:dyDescent="0.2">
      <c r="A140" s="2" t="s">
        <v>710</v>
      </c>
      <c r="B140" s="5" t="s">
        <v>260</v>
      </c>
      <c r="C140" s="7">
        <v>1</v>
      </c>
      <c r="D140" s="2" t="s">
        <v>77</v>
      </c>
      <c r="E140" s="8"/>
      <c r="F140" s="16">
        <f t="shared" si="9"/>
        <v>0</v>
      </c>
    </row>
    <row r="141" spans="1:6" x14ac:dyDescent="0.2">
      <c r="A141" s="2"/>
      <c r="B141" s="5" t="s">
        <v>261</v>
      </c>
      <c r="C141" s="2"/>
      <c r="D141" s="2"/>
      <c r="E141" s="2"/>
      <c r="F141" s="16"/>
    </row>
    <row r="142" spans="1:6" x14ac:dyDescent="0.2">
      <c r="A142" s="2" t="s">
        <v>711</v>
      </c>
      <c r="B142" s="5" t="s">
        <v>263</v>
      </c>
      <c r="C142" s="7">
        <v>2</v>
      </c>
      <c r="D142" s="2" t="s">
        <v>77</v>
      </c>
      <c r="E142" s="8"/>
      <c r="F142" s="16">
        <f t="shared" si="9"/>
        <v>0</v>
      </c>
    </row>
    <row r="143" spans="1:6" x14ac:dyDescent="0.2">
      <c r="A143" s="2" t="s">
        <v>712</v>
      </c>
      <c r="B143" s="5" t="s">
        <v>252</v>
      </c>
      <c r="C143" s="7">
        <v>2</v>
      </c>
      <c r="D143" s="2" t="s">
        <v>77</v>
      </c>
      <c r="E143" s="8"/>
      <c r="F143" s="16">
        <f t="shared" si="9"/>
        <v>0</v>
      </c>
    </row>
    <row r="144" spans="1:6" x14ac:dyDescent="0.2">
      <c r="A144" s="2" t="s">
        <v>713</v>
      </c>
      <c r="B144" s="5" t="s">
        <v>254</v>
      </c>
      <c r="C144" s="7">
        <v>3</v>
      </c>
      <c r="D144" s="2" t="s">
        <v>77</v>
      </c>
      <c r="E144" s="8"/>
      <c r="F144" s="16">
        <f t="shared" si="9"/>
        <v>0</v>
      </c>
    </row>
    <row r="145" spans="1:6" x14ac:dyDescent="0.2">
      <c r="A145" s="2" t="s">
        <v>714</v>
      </c>
      <c r="B145" s="5" t="s">
        <v>267</v>
      </c>
      <c r="C145" s="7">
        <v>1</v>
      </c>
      <c r="D145" s="2" t="s">
        <v>77</v>
      </c>
      <c r="E145" s="8"/>
      <c r="F145" s="16">
        <f t="shared" si="9"/>
        <v>0</v>
      </c>
    </row>
    <row r="146" spans="1:6" x14ac:dyDescent="0.2">
      <c r="A146" s="2" t="s">
        <v>715</v>
      </c>
      <c r="B146" s="5" t="s">
        <v>269</v>
      </c>
      <c r="C146" s="7">
        <v>2</v>
      </c>
      <c r="D146" s="2" t="s">
        <v>77</v>
      </c>
      <c r="E146" s="8"/>
      <c r="F146" s="16">
        <f t="shared" si="9"/>
        <v>0</v>
      </c>
    </row>
    <row r="147" spans="1:6" x14ac:dyDescent="0.2">
      <c r="A147" s="2" t="s">
        <v>716</v>
      </c>
      <c r="B147" s="5" t="s">
        <v>256</v>
      </c>
      <c r="C147" s="7">
        <v>3</v>
      </c>
      <c r="D147" s="2" t="s">
        <v>77</v>
      </c>
      <c r="E147" s="8"/>
      <c r="F147" s="16">
        <f t="shared" si="9"/>
        <v>0</v>
      </c>
    </row>
    <row r="148" spans="1:6" x14ac:dyDescent="0.2">
      <c r="A148" s="2" t="s">
        <v>717</v>
      </c>
      <c r="B148" s="5" t="s">
        <v>272</v>
      </c>
      <c r="C148" s="7">
        <v>4</v>
      </c>
      <c r="D148" s="2" t="s">
        <v>77</v>
      </c>
      <c r="E148" s="8"/>
      <c r="F148" s="16">
        <f>C148*E148</f>
        <v>0</v>
      </c>
    </row>
    <row r="149" spans="1:6" x14ac:dyDescent="0.2">
      <c r="A149" s="2" t="s">
        <v>718</v>
      </c>
      <c r="B149" s="5" t="s">
        <v>274</v>
      </c>
      <c r="C149" s="7">
        <v>1</v>
      </c>
      <c r="D149" s="2" t="s">
        <v>77</v>
      </c>
      <c r="E149" s="8"/>
      <c r="F149" s="16">
        <f t="shared" si="9"/>
        <v>0</v>
      </c>
    </row>
    <row r="150" spans="1:6" x14ac:dyDescent="0.2">
      <c r="A150" s="2" t="s">
        <v>719</v>
      </c>
      <c r="B150" s="5" t="s">
        <v>276</v>
      </c>
      <c r="C150" s="7">
        <v>2</v>
      </c>
      <c r="D150" s="2" t="s">
        <v>77</v>
      </c>
      <c r="E150" s="8"/>
      <c r="F150" s="16">
        <f t="shared" si="9"/>
        <v>0</v>
      </c>
    </row>
    <row r="151" spans="1:6" ht="20" x14ac:dyDescent="0.2">
      <c r="A151" s="2" t="s">
        <v>720</v>
      </c>
      <c r="B151" s="5" t="s">
        <v>278</v>
      </c>
      <c r="C151" s="7">
        <v>1</v>
      </c>
      <c r="D151" s="2" t="s">
        <v>77</v>
      </c>
      <c r="E151" s="8"/>
      <c r="F151" s="16">
        <f t="shared" si="9"/>
        <v>0</v>
      </c>
    </row>
    <row r="152" spans="1:6" x14ac:dyDescent="0.2">
      <c r="A152" s="2" t="s">
        <v>721</v>
      </c>
      <c r="B152" s="5" t="s">
        <v>525</v>
      </c>
      <c r="C152" s="7">
        <v>1</v>
      </c>
      <c r="D152" s="2" t="s">
        <v>77</v>
      </c>
      <c r="E152" s="8"/>
      <c r="F152" s="16">
        <f t="shared" si="9"/>
        <v>0</v>
      </c>
    </row>
    <row r="153" spans="1:6" x14ac:dyDescent="0.2">
      <c r="A153" s="2" t="s">
        <v>722</v>
      </c>
      <c r="B153" s="5" t="s">
        <v>258</v>
      </c>
      <c r="C153" s="7">
        <v>1</v>
      </c>
      <c r="D153" s="2" t="s">
        <v>77</v>
      </c>
      <c r="E153" s="8"/>
      <c r="F153" s="16">
        <f t="shared" si="9"/>
        <v>0</v>
      </c>
    </row>
    <row r="154" spans="1:6" x14ac:dyDescent="0.2">
      <c r="A154" s="2" t="s">
        <v>723</v>
      </c>
      <c r="B154" s="5" t="s">
        <v>260</v>
      </c>
      <c r="C154" s="7">
        <v>1</v>
      </c>
      <c r="D154" s="2" t="s">
        <v>77</v>
      </c>
      <c r="E154" s="8"/>
      <c r="F154" s="16">
        <f t="shared" si="9"/>
        <v>0</v>
      </c>
    </row>
    <row r="155" spans="1:6" x14ac:dyDescent="0.2">
      <c r="A155" s="2" t="s">
        <v>724</v>
      </c>
      <c r="B155" s="5" t="s">
        <v>282</v>
      </c>
      <c r="C155" s="7">
        <v>1</v>
      </c>
      <c r="D155" s="2" t="s">
        <v>77</v>
      </c>
      <c r="E155" s="8"/>
      <c r="F155" s="16">
        <f>C155*E155</f>
        <v>0</v>
      </c>
    </row>
    <row r="156" spans="1:6" x14ac:dyDescent="0.2">
      <c r="A156" s="2" t="s">
        <v>725</v>
      </c>
      <c r="B156" s="5" t="s">
        <v>284</v>
      </c>
      <c r="C156" s="7">
        <v>2</v>
      </c>
      <c r="D156" s="2" t="s">
        <v>77</v>
      </c>
      <c r="E156" s="8"/>
      <c r="F156" s="16">
        <f t="shared" si="9"/>
        <v>0</v>
      </c>
    </row>
    <row r="157" spans="1:6" ht="13" x14ac:dyDescent="0.3">
      <c r="A157" s="2"/>
      <c r="B157" s="5" t="s">
        <v>285</v>
      </c>
      <c r="C157" s="2"/>
      <c r="D157" s="2"/>
      <c r="E157" s="2"/>
      <c r="F157" s="18"/>
    </row>
    <row r="158" spans="1:6" ht="60" x14ac:dyDescent="0.2">
      <c r="A158" s="2" t="s">
        <v>726</v>
      </c>
      <c r="B158" s="5" t="s">
        <v>287</v>
      </c>
      <c r="C158" s="7">
        <v>6.58</v>
      </c>
      <c r="D158" s="2" t="s">
        <v>86</v>
      </c>
      <c r="E158" s="8"/>
      <c r="F158" s="16">
        <f t="shared" si="9"/>
        <v>0</v>
      </c>
    </row>
    <row r="159" spans="1:6" ht="13" x14ac:dyDescent="0.3">
      <c r="B159" s="20" t="s">
        <v>288</v>
      </c>
      <c r="C159" s="9"/>
      <c r="D159" s="3"/>
      <c r="E159" s="9"/>
      <c r="F159" s="18">
        <f>SUM(F121:F158)</f>
        <v>0</v>
      </c>
    </row>
    <row r="160" spans="1:6" ht="13" x14ac:dyDescent="0.3">
      <c r="F160" s="18"/>
    </row>
    <row r="161" spans="1:6" ht="10.5" x14ac:dyDescent="0.25">
      <c r="A161" s="6" t="s">
        <v>727</v>
      </c>
      <c r="B161" s="21" t="s">
        <v>290</v>
      </c>
    </row>
    <row r="162" spans="1:6" x14ac:dyDescent="0.2">
      <c r="A162" s="2"/>
      <c r="B162" s="5" t="s">
        <v>431</v>
      </c>
      <c r="C162" s="2"/>
      <c r="D162" s="2"/>
      <c r="E162" s="2"/>
    </row>
    <row r="163" spans="1:6" ht="20" x14ac:dyDescent="0.2">
      <c r="A163" s="2"/>
      <c r="B163" s="5" t="s">
        <v>291</v>
      </c>
      <c r="C163" s="2"/>
      <c r="D163" s="2" t="s">
        <v>73</v>
      </c>
      <c r="E163" s="2"/>
      <c r="F163" s="16"/>
    </row>
    <row r="164" spans="1:6" ht="30" x14ac:dyDescent="0.2">
      <c r="A164" s="2"/>
      <c r="B164" s="5" t="s">
        <v>292</v>
      </c>
      <c r="C164" s="2"/>
      <c r="D164" s="2" t="s">
        <v>73</v>
      </c>
      <c r="E164" s="2"/>
      <c r="F164" s="16"/>
    </row>
    <row r="165" spans="1:6" x14ac:dyDescent="0.2">
      <c r="A165" s="2"/>
      <c r="B165" s="5" t="s">
        <v>293</v>
      </c>
      <c r="C165" s="2"/>
      <c r="D165" s="2"/>
      <c r="E165" s="2"/>
    </row>
    <row r="166" spans="1:6" ht="60" x14ac:dyDescent="0.2">
      <c r="A166" s="2" t="s">
        <v>728</v>
      </c>
      <c r="B166" s="5" t="s">
        <v>533</v>
      </c>
      <c r="C166" s="7">
        <v>45</v>
      </c>
      <c r="D166" s="2" t="s">
        <v>89</v>
      </c>
      <c r="E166" s="8"/>
      <c r="F166" s="16">
        <f>C166*E166</f>
        <v>0</v>
      </c>
    </row>
    <row r="167" spans="1:6" ht="50" x14ac:dyDescent="0.2">
      <c r="A167" s="2" t="s">
        <v>729</v>
      </c>
      <c r="B167" s="5" t="s">
        <v>297</v>
      </c>
      <c r="C167" s="7">
        <v>5</v>
      </c>
      <c r="D167" s="2" t="s">
        <v>86</v>
      </c>
      <c r="E167" s="8"/>
      <c r="F167" s="16">
        <f t="shared" ref="F167" si="10">C167*E167</f>
        <v>0</v>
      </c>
    </row>
    <row r="168" spans="1:6" x14ac:dyDescent="0.2">
      <c r="A168" s="2"/>
      <c r="B168" s="5" t="s">
        <v>298</v>
      </c>
      <c r="C168" s="2"/>
      <c r="D168" s="2"/>
      <c r="E168" s="2"/>
    </row>
    <row r="169" spans="1:6" ht="30" x14ac:dyDescent="0.2">
      <c r="A169" s="2" t="s">
        <v>730</v>
      </c>
      <c r="B169" s="5" t="s">
        <v>300</v>
      </c>
      <c r="C169" s="7">
        <v>4</v>
      </c>
      <c r="D169" s="2" t="s">
        <v>89</v>
      </c>
      <c r="E169" s="8"/>
      <c r="F169" s="16">
        <f>C169*E169</f>
        <v>0</v>
      </c>
    </row>
    <row r="170" spans="1:6" ht="13" x14ac:dyDescent="0.3">
      <c r="B170" s="20" t="s">
        <v>301</v>
      </c>
      <c r="C170" s="9"/>
      <c r="D170" s="3"/>
      <c r="E170" s="9"/>
      <c r="F170" s="18">
        <f>SUM(F166:F169)</f>
        <v>0</v>
      </c>
    </row>
    <row r="171" spans="1:6" x14ac:dyDescent="0.2">
      <c r="F171" s="16"/>
    </row>
    <row r="172" spans="1:6" ht="13" x14ac:dyDescent="0.3">
      <c r="A172" s="6" t="s">
        <v>731</v>
      </c>
      <c r="B172" s="21" t="s">
        <v>303</v>
      </c>
      <c r="F172" s="18"/>
    </row>
    <row r="173" spans="1:6" x14ac:dyDescent="0.2">
      <c r="A173" s="2"/>
      <c r="B173" s="5" t="s">
        <v>304</v>
      </c>
      <c r="C173" s="2"/>
      <c r="D173" s="2"/>
      <c r="E173" s="2"/>
    </row>
    <row r="174" spans="1:6" x14ac:dyDescent="0.2">
      <c r="A174" s="2"/>
      <c r="B174" s="5" t="s">
        <v>128</v>
      </c>
      <c r="C174" s="2"/>
      <c r="D174" s="2"/>
      <c r="E174" s="2"/>
    </row>
    <row r="175" spans="1:6" ht="40" x14ac:dyDescent="0.2">
      <c r="A175" s="2"/>
      <c r="B175" s="5" t="s">
        <v>305</v>
      </c>
      <c r="C175" s="2"/>
      <c r="D175" s="2" t="s">
        <v>73</v>
      </c>
      <c r="E175" s="2"/>
    </row>
    <row r="176" spans="1:6" ht="60" x14ac:dyDescent="0.2">
      <c r="A176" s="2"/>
      <c r="B176" s="5" t="s">
        <v>306</v>
      </c>
      <c r="C176" s="2"/>
      <c r="D176" s="2" t="s">
        <v>73</v>
      </c>
      <c r="E176" s="2"/>
    </row>
    <row r="177" spans="1:6" ht="50" x14ac:dyDescent="0.2">
      <c r="A177" s="2"/>
      <c r="B177" s="5" t="s">
        <v>307</v>
      </c>
      <c r="C177" s="2"/>
      <c r="D177" s="2" t="s">
        <v>73</v>
      </c>
      <c r="E177" s="2"/>
    </row>
    <row r="178" spans="1:6" ht="50" x14ac:dyDescent="0.2">
      <c r="A178" s="2"/>
      <c r="B178" s="5" t="s">
        <v>308</v>
      </c>
      <c r="C178" s="2"/>
      <c r="D178" s="2" t="s">
        <v>73</v>
      </c>
      <c r="E178" s="2"/>
      <c r="F178" s="16"/>
    </row>
    <row r="179" spans="1:6" ht="41" x14ac:dyDescent="0.3">
      <c r="A179" s="2"/>
      <c r="B179" s="5" t="s">
        <v>309</v>
      </c>
      <c r="C179" s="2"/>
      <c r="D179" s="2" t="s">
        <v>73</v>
      </c>
      <c r="E179" s="2"/>
      <c r="F179" s="18"/>
    </row>
    <row r="180" spans="1:6" x14ac:dyDescent="0.2">
      <c r="A180" s="2"/>
      <c r="B180" s="5" t="s">
        <v>310</v>
      </c>
      <c r="C180" s="2"/>
      <c r="D180" s="2"/>
      <c r="E180" s="2"/>
    </row>
    <row r="181" spans="1:6" ht="50" x14ac:dyDescent="0.2">
      <c r="A181" s="2" t="s">
        <v>732</v>
      </c>
      <c r="B181" s="5" t="s">
        <v>312</v>
      </c>
      <c r="C181" s="7">
        <v>186</v>
      </c>
      <c r="D181" s="2" t="s">
        <v>89</v>
      </c>
      <c r="E181" s="7"/>
      <c r="F181" s="16">
        <f>C181*E181</f>
        <v>0</v>
      </c>
    </row>
    <row r="182" spans="1:6" ht="13" x14ac:dyDescent="0.3">
      <c r="B182" s="20" t="s">
        <v>313</v>
      </c>
      <c r="C182" s="9"/>
      <c r="D182" s="3"/>
      <c r="E182" s="9"/>
      <c r="F182" s="18">
        <f>SUM(F181)</f>
        <v>0</v>
      </c>
    </row>
    <row r="183" spans="1:6" x14ac:dyDescent="0.2">
      <c r="F183" s="16"/>
    </row>
    <row r="184" spans="1:6" ht="13" x14ac:dyDescent="0.3">
      <c r="A184" s="6" t="s">
        <v>733</v>
      </c>
      <c r="B184" s="21" t="s">
        <v>315</v>
      </c>
      <c r="F184" s="18"/>
    </row>
    <row r="185" spans="1:6" x14ac:dyDescent="0.2">
      <c r="A185" s="2"/>
      <c r="B185" s="5" t="s">
        <v>316</v>
      </c>
      <c r="C185" s="2"/>
      <c r="D185" s="2"/>
      <c r="E185" s="2"/>
    </row>
    <row r="186" spans="1:6" x14ac:dyDescent="0.2">
      <c r="A186" s="2"/>
      <c r="B186" s="5" t="s">
        <v>128</v>
      </c>
      <c r="C186" s="2"/>
      <c r="D186" s="2"/>
      <c r="E186" s="2"/>
    </row>
    <row r="187" spans="1:6" ht="60" x14ac:dyDescent="0.2">
      <c r="A187" s="2"/>
      <c r="B187" s="5" t="s">
        <v>317</v>
      </c>
      <c r="C187" s="2"/>
      <c r="D187" s="2" t="s">
        <v>73</v>
      </c>
      <c r="E187" s="2"/>
    </row>
    <row r="188" spans="1:6" ht="70" x14ac:dyDescent="0.2">
      <c r="A188" s="2"/>
      <c r="B188" s="5" t="s">
        <v>318</v>
      </c>
      <c r="C188" s="2"/>
      <c r="D188" s="2" t="s">
        <v>73</v>
      </c>
      <c r="E188" s="2"/>
    </row>
    <row r="189" spans="1:6" ht="90" x14ac:dyDescent="0.2">
      <c r="A189" s="2"/>
      <c r="B189" s="5" t="s">
        <v>319</v>
      </c>
      <c r="C189" s="2"/>
      <c r="D189" s="2" t="s">
        <v>73</v>
      </c>
      <c r="E189" s="2"/>
    </row>
    <row r="190" spans="1:6" ht="80" x14ac:dyDescent="0.2">
      <c r="A190" s="2"/>
      <c r="B190" s="5" t="s">
        <v>320</v>
      </c>
      <c r="C190" s="2"/>
      <c r="D190" s="2" t="s">
        <v>73</v>
      </c>
      <c r="E190" s="2"/>
    </row>
    <row r="191" spans="1:6" ht="70" x14ac:dyDescent="0.2">
      <c r="A191" s="2"/>
      <c r="B191" s="5" t="s">
        <v>321</v>
      </c>
      <c r="C191" s="2"/>
      <c r="D191" s="2" t="s">
        <v>73</v>
      </c>
      <c r="E191" s="2"/>
      <c r="F191" s="16"/>
    </row>
    <row r="192" spans="1:6" ht="71" x14ac:dyDescent="0.3">
      <c r="A192" s="2"/>
      <c r="B192" s="5" t="s">
        <v>322</v>
      </c>
      <c r="C192" s="2"/>
      <c r="D192" s="2" t="s">
        <v>73</v>
      </c>
      <c r="E192" s="2"/>
      <c r="F192" s="18"/>
    </row>
    <row r="193" spans="1:6" x14ac:dyDescent="0.2">
      <c r="A193" s="2"/>
      <c r="B193" s="5" t="s">
        <v>323</v>
      </c>
      <c r="C193" s="2"/>
      <c r="D193" s="2"/>
      <c r="E193" s="2"/>
    </row>
    <row r="194" spans="1:6" ht="50" x14ac:dyDescent="0.2">
      <c r="A194" s="2" t="s">
        <v>734</v>
      </c>
      <c r="B194" s="5" t="s">
        <v>325</v>
      </c>
      <c r="C194" s="7">
        <v>186</v>
      </c>
      <c r="D194" s="2" t="s">
        <v>89</v>
      </c>
      <c r="E194" s="7"/>
      <c r="F194" s="16">
        <f>C194*E194</f>
        <v>0</v>
      </c>
    </row>
    <row r="195" spans="1:6" ht="13" x14ac:dyDescent="0.3">
      <c r="B195" s="20" t="s">
        <v>326</v>
      </c>
      <c r="C195" s="9"/>
      <c r="D195" s="3"/>
      <c r="E195" s="9"/>
      <c r="F195" s="18">
        <f>SUM(F194)</f>
        <v>0</v>
      </c>
    </row>
    <row r="196" spans="1:6" x14ac:dyDescent="0.2">
      <c r="F196" s="16"/>
    </row>
    <row r="197" spans="1:6" ht="13" x14ac:dyDescent="0.3">
      <c r="A197" s="6" t="s">
        <v>735</v>
      </c>
      <c r="B197" s="21" t="s">
        <v>328</v>
      </c>
      <c r="F197" s="18"/>
    </row>
    <row r="198" spans="1:6" ht="20" x14ac:dyDescent="0.2">
      <c r="A198" s="2"/>
      <c r="B198" s="5" t="s">
        <v>329</v>
      </c>
      <c r="C198" s="2"/>
      <c r="D198" s="2"/>
      <c r="E198" s="2"/>
    </row>
    <row r="199" spans="1:6" x14ac:dyDescent="0.2">
      <c r="A199" s="2"/>
      <c r="B199" s="5" t="s">
        <v>71</v>
      </c>
      <c r="C199" s="2"/>
      <c r="D199" s="2"/>
      <c r="E199" s="2"/>
    </row>
    <row r="200" spans="1:6" ht="70" x14ac:dyDescent="0.2">
      <c r="A200" s="2"/>
      <c r="B200" s="5" t="s">
        <v>330</v>
      </c>
      <c r="C200" s="2"/>
      <c r="D200" s="2" t="s">
        <v>73</v>
      </c>
      <c r="E200" s="2"/>
    </row>
    <row r="201" spans="1:6" ht="110" x14ac:dyDescent="0.2">
      <c r="A201" s="2"/>
      <c r="B201" s="5" t="s">
        <v>331</v>
      </c>
      <c r="C201" s="2"/>
      <c r="D201" s="2" t="s">
        <v>73</v>
      </c>
      <c r="E201" s="2"/>
    </row>
    <row r="202" spans="1:6" ht="180" x14ac:dyDescent="0.2">
      <c r="A202" s="2"/>
      <c r="B202" s="5" t="s">
        <v>332</v>
      </c>
      <c r="C202" s="2"/>
      <c r="D202" s="2" t="s">
        <v>73</v>
      </c>
      <c r="E202" s="2"/>
    </row>
    <row r="203" spans="1:6" ht="90" x14ac:dyDescent="0.2">
      <c r="A203" s="2"/>
      <c r="B203" s="5" t="s">
        <v>333</v>
      </c>
      <c r="C203" s="2"/>
      <c r="D203" s="2" t="s">
        <v>73</v>
      </c>
      <c r="E203" s="2"/>
    </row>
    <row r="204" spans="1:6" ht="80" x14ac:dyDescent="0.2">
      <c r="A204" s="2"/>
      <c r="B204" s="5" t="s">
        <v>334</v>
      </c>
      <c r="C204" s="2"/>
      <c r="D204" s="2" t="s">
        <v>73</v>
      </c>
      <c r="E204" s="2"/>
    </row>
    <row r="205" spans="1:6" ht="90" x14ac:dyDescent="0.2">
      <c r="A205" s="2"/>
      <c r="B205" s="5" t="s">
        <v>335</v>
      </c>
      <c r="C205" s="2"/>
      <c r="D205" s="2" t="s">
        <v>73</v>
      </c>
      <c r="E205" s="2"/>
    </row>
    <row r="206" spans="1:6" ht="60" x14ac:dyDescent="0.2">
      <c r="A206" s="2"/>
      <c r="B206" s="5" t="s">
        <v>336</v>
      </c>
      <c r="C206" s="2"/>
      <c r="D206" s="2" t="s">
        <v>73</v>
      </c>
      <c r="E206" s="2"/>
    </row>
    <row r="207" spans="1:6" ht="60" x14ac:dyDescent="0.2">
      <c r="A207" s="2"/>
      <c r="B207" s="5" t="s">
        <v>337</v>
      </c>
      <c r="C207" s="2"/>
      <c r="D207" s="2" t="s">
        <v>73</v>
      </c>
      <c r="E207" s="2"/>
      <c r="F207" s="16"/>
    </row>
    <row r="208" spans="1:6" ht="81" x14ac:dyDescent="0.3">
      <c r="A208" s="2"/>
      <c r="B208" s="5" t="s">
        <v>338</v>
      </c>
      <c r="C208" s="2"/>
      <c r="D208" s="2" t="s">
        <v>73</v>
      </c>
      <c r="E208" s="2"/>
      <c r="F208" s="18"/>
    </row>
    <row r="209" spans="1:6" ht="13" x14ac:dyDescent="0.3">
      <c r="A209" s="2"/>
      <c r="B209" s="5" t="s">
        <v>339</v>
      </c>
      <c r="C209" s="2"/>
      <c r="D209" s="2"/>
      <c r="E209" s="2"/>
      <c r="F209" s="17"/>
    </row>
    <row r="210" spans="1:6" ht="50" x14ac:dyDescent="0.2">
      <c r="A210" s="2" t="s">
        <v>736</v>
      </c>
      <c r="B210" s="5" t="s">
        <v>341</v>
      </c>
      <c r="C210" s="7">
        <v>186</v>
      </c>
      <c r="D210" s="2" t="s">
        <v>89</v>
      </c>
      <c r="E210" s="7"/>
      <c r="F210" s="16">
        <f>C210*E210</f>
        <v>0</v>
      </c>
    </row>
    <row r="211" spans="1:6" ht="21.5" x14ac:dyDescent="0.3">
      <c r="B211" s="20" t="s">
        <v>342</v>
      </c>
      <c r="C211" s="9"/>
      <c r="D211" s="3"/>
      <c r="E211" s="9"/>
      <c r="F211" s="18">
        <f>SUM(F210)</f>
        <v>0</v>
      </c>
    </row>
    <row r="212" spans="1:6" ht="13" x14ac:dyDescent="0.3">
      <c r="B212" s="20" t="s">
        <v>737</v>
      </c>
      <c r="C212" s="9"/>
      <c r="D212" s="3"/>
      <c r="E212" s="9"/>
      <c r="F212" s="17">
        <f>F211+F195+F182+F170+F159+F116+F90+F80+F73+F60+F39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16A8-44CD-4D16-B3B7-581DEEF7C738}">
  <sheetPr codeName="Sheet7">
    <pageSetUpPr fitToPage="1"/>
  </sheetPr>
  <dimension ref="A1:F214"/>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1812</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738</v>
      </c>
      <c r="B6" s="20" t="s">
        <v>739</v>
      </c>
    </row>
    <row r="7" spans="1:6" x14ac:dyDescent="0.2">
      <c r="A7" s="2"/>
      <c r="B7" s="5"/>
      <c r="C7" s="2"/>
      <c r="D7" s="2"/>
      <c r="E7" s="2"/>
    </row>
    <row r="8" spans="1:6" x14ac:dyDescent="0.2">
      <c r="A8" s="2"/>
      <c r="B8" s="5" t="s">
        <v>67</v>
      </c>
      <c r="C8" s="2"/>
      <c r="D8" s="2"/>
      <c r="E8" s="2"/>
    </row>
    <row r="10" spans="1:6" ht="10.5" x14ac:dyDescent="0.25">
      <c r="A10" s="6" t="s">
        <v>740</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741</v>
      </c>
      <c r="B15" s="5" t="s">
        <v>76</v>
      </c>
      <c r="C15" s="7">
        <v>15</v>
      </c>
      <c r="D15" s="2" t="s">
        <v>77</v>
      </c>
      <c r="E15" s="8"/>
      <c r="F15" s="16">
        <f>C15*E15</f>
        <v>0</v>
      </c>
    </row>
    <row r="16" spans="1:6" x14ac:dyDescent="0.2">
      <c r="A16" s="2" t="s">
        <v>742</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743</v>
      </c>
      <c r="B18" s="5" t="s">
        <v>83</v>
      </c>
      <c r="C18" s="7">
        <v>1</v>
      </c>
      <c r="D18" s="2" t="s">
        <v>80</v>
      </c>
      <c r="E18" s="8"/>
      <c r="F18" s="16">
        <f t="shared" si="0"/>
        <v>0</v>
      </c>
    </row>
    <row r="19" spans="1:6" x14ac:dyDescent="0.2">
      <c r="A19" s="2"/>
      <c r="B19" s="5" t="s">
        <v>69</v>
      </c>
      <c r="C19" s="2"/>
      <c r="D19" s="2"/>
      <c r="E19" s="2"/>
      <c r="F19" s="16"/>
    </row>
    <row r="20" spans="1:6" ht="20" x14ac:dyDescent="0.2">
      <c r="A20" s="2" t="s">
        <v>744</v>
      </c>
      <c r="B20" s="5" t="s">
        <v>85</v>
      </c>
      <c r="C20" s="7">
        <v>7</v>
      </c>
      <c r="D20" s="2" t="s">
        <v>86</v>
      </c>
      <c r="E20" s="8"/>
      <c r="F20" s="16">
        <f t="shared" si="0"/>
        <v>0</v>
      </c>
    </row>
    <row r="21" spans="1:6" x14ac:dyDescent="0.2">
      <c r="A21" s="2" t="s">
        <v>745</v>
      </c>
      <c r="B21" s="5" t="s">
        <v>88</v>
      </c>
      <c r="C21" s="7">
        <v>7</v>
      </c>
      <c r="D21" s="2" t="s">
        <v>89</v>
      </c>
      <c r="E21" s="8"/>
      <c r="F21" s="16">
        <f t="shared" si="0"/>
        <v>0</v>
      </c>
    </row>
    <row r="22" spans="1:6" ht="30" x14ac:dyDescent="0.2">
      <c r="A22" s="2" t="s">
        <v>746</v>
      </c>
      <c r="B22" s="5" t="s">
        <v>91</v>
      </c>
      <c r="C22" s="7">
        <v>44</v>
      </c>
      <c r="D22" s="2" t="s">
        <v>89</v>
      </c>
      <c r="E22" s="8"/>
      <c r="F22" s="16">
        <f t="shared" si="0"/>
        <v>0</v>
      </c>
    </row>
    <row r="23" spans="1:6" x14ac:dyDescent="0.2">
      <c r="A23" s="2" t="s">
        <v>747</v>
      </c>
      <c r="B23" s="5" t="s">
        <v>93</v>
      </c>
      <c r="C23" s="7">
        <v>11</v>
      </c>
      <c r="D23" s="2" t="s">
        <v>86</v>
      </c>
      <c r="E23" s="8"/>
      <c r="F23" s="16">
        <f t="shared" si="0"/>
        <v>0</v>
      </c>
    </row>
    <row r="24" spans="1:6" x14ac:dyDescent="0.2">
      <c r="A24" s="2" t="s">
        <v>748</v>
      </c>
      <c r="B24" s="5" t="s">
        <v>95</v>
      </c>
      <c r="C24" s="7">
        <v>13</v>
      </c>
      <c r="D24" s="2" t="s">
        <v>77</v>
      </c>
      <c r="E24" s="8"/>
      <c r="F24" s="16">
        <f t="shared" si="0"/>
        <v>0</v>
      </c>
    </row>
    <row r="25" spans="1:6" ht="20" x14ac:dyDescent="0.2">
      <c r="A25" s="2" t="s">
        <v>749</v>
      </c>
      <c r="B25" s="5" t="s">
        <v>97</v>
      </c>
      <c r="C25" s="7">
        <v>9</v>
      </c>
      <c r="D25" s="2" t="s">
        <v>86</v>
      </c>
      <c r="E25" s="8"/>
      <c r="F25" s="16">
        <f t="shared" si="0"/>
        <v>0</v>
      </c>
    </row>
    <row r="26" spans="1:6" x14ac:dyDescent="0.2">
      <c r="A26" s="2" t="s">
        <v>750</v>
      </c>
      <c r="B26" s="5" t="s">
        <v>99</v>
      </c>
      <c r="C26" s="7">
        <v>151</v>
      </c>
      <c r="D26" s="2" t="s">
        <v>89</v>
      </c>
      <c r="E26" s="8"/>
      <c r="F26" s="16">
        <f t="shared" si="0"/>
        <v>0</v>
      </c>
    </row>
    <row r="27" spans="1:6" x14ac:dyDescent="0.2">
      <c r="A27" s="2" t="s">
        <v>751</v>
      </c>
      <c r="B27" s="5" t="s">
        <v>101</v>
      </c>
      <c r="C27" s="7">
        <v>2</v>
      </c>
      <c r="D27" s="2" t="s">
        <v>77</v>
      </c>
      <c r="E27" s="8"/>
      <c r="F27" s="16">
        <f t="shared" si="0"/>
        <v>0</v>
      </c>
    </row>
    <row r="28" spans="1:6" x14ac:dyDescent="0.2">
      <c r="A28" s="2" t="s">
        <v>752</v>
      </c>
      <c r="B28" s="5" t="s">
        <v>103</v>
      </c>
      <c r="C28" s="7">
        <v>1</v>
      </c>
      <c r="D28" s="2" t="s">
        <v>104</v>
      </c>
      <c r="E28" s="8"/>
      <c r="F28" s="16">
        <f t="shared" si="0"/>
        <v>0</v>
      </c>
    </row>
    <row r="29" spans="1:6" x14ac:dyDescent="0.2">
      <c r="A29" s="2" t="s">
        <v>753</v>
      </c>
      <c r="B29" s="5" t="s">
        <v>106</v>
      </c>
      <c r="C29" s="7">
        <v>1</v>
      </c>
      <c r="D29" s="2" t="s">
        <v>77</v>
      </c>
      <c r="E29" s="8"/>
      <c r="F29" s="16">
        <f t="shared" si="0"/>
        <v>0</v>
      </c>
    </row>
    <row r="30" spans="1:6" x14ac:dyDescent="0.2">
      <c r="A30" s="2" t="s">
        <v>754</v>
      </c>
      <c r="B30" s="5" t="s">
        <v>108</v>
      </c>
      <c r="C30" s="7">
        <v>69</v>
      </c>
      <c r="D30" s="2" t="s">
        <v>89</v>
      </c>
      <c r="E30" s="8"/>
      <c r="F30" s="16">
        <f t="shared" si="0"/>
        <v>0</v>
      </c>
    </row>
    <row r="31" spans="1:6" ht="20" x14ac:dyDescent="0.2">
      <c r="A31" s="2" t="s">
        <v>755</v>
      </c>
      <c r="B31" s="5" t="s">
        <v>110</v>
      </c>
      <c r="C31" s="7">
        <v>1</v>
      </c>
      <c r="D31" s="2" t="s">
        <v>77</v>
      </c>
      <c r="E31" s="8"/>
      <c r="F31" s="16">
        <f t="shared" si="0"/>
        <v>0</v>
      </c>
    </row>
    <row r="32" spans="1:6" ht="20" x14ac:dyDescent="0.2">
      <c r="A32" s="2" t="s">
        <v>756</v>
      </c>
      <c r="B32" s="5" t="s">
        <v>112</v>
      </c>
      <c r="C32" s="7">
        <v>26</v>
      </c>
      <c r="D32" s="2" t="s">
        <v>86</v>
      </c>
      <c r="E32" s="8"/>
      <c r="F32" s="16">
        <f t="shared" si="0"/>
        <v>0</v>
      </c>
    </row>
    <row r="33" spans="1:6" ht="40" x14ac:dyDescent="0.2">
      <c r="A33" s="2" t="s">
        <v>757</v>
      </c>
      <c r="B33" s="5" t="s">
        <v>114</v>
      </c>
      <c r="C33" s="7">
        <v>44</v>
      </c>
      <c r="D33" s="2" t="s">
        <v>89</v>
      </c>
      <c r="E33" s="8"/>
      <c r="F33" s="16">
        <f t="shared" si="0"/>
        <v>0</v>
      </c>
    </row>
    <row r="34" spans="1:6" x14ac:dyDescent="0.2">
      <c r="A34" s="2"/>
      <c r="B34" s="5" t="s">
        <v>115</v>
      </c>
      <c r="C34" s="2"/>
      <c r="D34" s="2"/>
      <c r="E34" s="2"/>
      <c r="F34" s="16"/>
    </row>
    <row r="35" spans="1:6" ht="30" x14ac:dyDescent="0.2">
      <c r="A35" s="2" t="s">
        <v>758</v>
      </c>
      <c r="B35" s="5" t="s">
        <v>117</v>
      </c>
      <c r="C35" s="7">
        <v>1</v>
      </c>
      <c r="D35" s="2" t="s">
        <v>80</v>
      </c>
      <c r="E35" s="8"/>
      <c r="F35" s="16">
        <f t="shared" si="0"/>
        <v>0</v>
      </c>
    </row>
    <row r="36" spans="1:6" x14ac:dyDescent="0.2">
      <c r="A36" s="2" t="s">
        <v>759</v>
      </c>
      <c r="B36" s="5" t="s">
        <v>119</v>
      </c>
      <c r="C36" s="7">
        <v>1</v>
      </c>
      <c r="D36" s="2" t="s">
        <v>104</v>
      </c>
      <c r="E36" s="8"/>
      <c r="F36" s="16">
        <f t="shared" si="0"/>
        <v>0</v>
      </c>
    </row>
    <row r="37" spans="1:6" ht="20" x14ac:dyDescent="0.2">
      <c r="A37" s="2" t="s">
        <v>760</v>
      </c>
      <c r="B37" s="5" t="s">
        <v>121</v>
      </c>
      <c r="C37" s="7">
        <v>1</v>
      </c>
      <c r="D37" s="2" t="s">
        <v>104</v>
      </c>
      <c r="E37" s="8"/>
      <c r="F37" s="16">
        <f t="shared" si="0"/>
        <v>0</v>
      </c>
    </row>
    <row r="38" spans="1:6" x14ac:dyDescent="0.2">
      <c r="A38" s="2" t="s">
        <v>761</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762</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763</v>
      </c>
      <c r="B51" s="5" t="s">
        <v>137</v>
      </c>
      <c r="C51" s="7">
        <v>356</v>
      </c>
      <c r="D51" s="2" t="s">
        <v>89</v>
      </c>
      <c r="E51" s="8"/>
      <c r="F51" s="16">
        <f t="shared" ref="F51:F58" si="1">C51*E51</f>
        <v>0</v>
      </c>
    </row>
    <row r="52" spans="1:6" x14ac:dyDescent="0.2">
      <c r="A52" s="2"/>
      <c r="B52" s="5" t="s">
        <v>138</v>
      </c>
      <c r="C52" s="2"/>
      <c r="D52" s="2"/>
      <c r="E52" s="2"/>
      <c r="F52" s="16"/>
    </row>
    <row r="53" spans="1:6" ht="30" x14ac:dyDescent="0.2">
      <c r="A53" s="2" t="s">
        <v>764</v>
      </c>
      <c r="B53" s="5" t="s">
        <v>140</v>
      </c>
      <c r="C53" s="7">
        <v>66</v>
      </c>
      <c r="D53" s="2" t="s">
        <v>89</v>
      </c>
      <c r="E53" s="8"/>
      <c r="F53" s="16">
        <f t="shared" si="1"/>
        <v>0</v>
      </c>
    </row>
    <row r="54" spans="1:6" ht="30" x14ac:dyDescent="0.2">
      <c r="A54" s="2" t="s">
        <v>765</v>
      </c>
      <c r="B54" s="5" t="s">
        <v>142</v>
      </c>
      <c r="C54" s="7">
        <v>6</v>
      </c>
      <c r="D54" s="2" t="s">
        <v>89</v>
      </c>
      <c r="E54" s="8"/>
      <c r="F54" s="16">
        <f t="shared" si="1"/>
        <v>0</v>
      </c>
    </row>
    <row r="55" spans="1:6" ht="20" x14ac:dyDescent="0.2">
      <c r="A55" s="2" t="s">
        <v>766</v>
      </c>
      <c r="B55" s="5" t="s">
        <v>144</v>
      </c>
      <c r="C55" s="7">
        <v>90</v>
      </c>
      <c r="D55" s="2" t="s">
        <v>89</v>
      </c>
      <c r="E55" s="8"/>
      <c r="F55" s="16">
        <f t="shared" si="1"/>
        <v>0</v>
      </c>
    </row>
    <row r="56" spans="1:6" x14ac:dyDescent="0.2">
      <c r="A56" s="2"/>
      <c r="B56" s="5" t="s">
        <v>145</v>
      </c>
      <c r="C56" s="2"/>
      <c r="D56" s="2"/>
      <c r="E56" s="2"/>
      <c r="F56" s="16">
        <f t="shared" si="1"/>
        <v>0</v>
      </c>
    </row>
    <row r="57" spans="1:6" ht="30" x14ac:dyDescent="0.2">
      <c r="A57" s="2" t="s">
        <v>767</v>
      </c>
      <c r="B57" s="5" t="s">
        <v>147</v>
      </c>
      <c r="C57" s="7">
        <v>130</v>
      </c>
      <c r="D57" s="2" t="s">
        <v>86</v>
      </c>
      <c r="E57" s="8"/>
      <c r="F57" s="16"/>
    </row>
    <row r="58" spans="1:6" x14ac:dyDescent="0.2">
      <c r="A58" s="2"/>
      <c r="B58" s="5" t="s">
        <v>148</v>
      </c>
      <c r="C58" s="2"/>
      <c r="D58" s="2"/>
      <c r="E58" s="2"/>
      <c r="F58" s="16">
        <f t="shared" si="1"/>
        <v>0</v>
      </c>
    </row>
    <row r="59" spans="1:6" ht="30" x14ac:dyDescent="0.2">
      <c r="A59" s="2" t="s">
        <v>768</v>
      </c>
      <c r="B59" s="5" t="s">
        <v>150</v>
      </c>
      <c r="C59" s="7">
        <v>13</v>
      </c>
      <c r="D59" s="2" t="s">
        <v>77</v>
      </c>
      <c r="E59" s="8"/>
      <c r="F59" s="16"/>
    </row>
    <row r="60" spans="1:6" ht="10.5" x14ac:dyDescent="0.25">
      <c r="B60" s="20" t="s">
        <v>151</v>
      </c>
      <c r="C60" s="9"/>
      <c r="D60" s="3"/>
      <c r="E60" s="9"/>
      <c r="F60" s="16">
        <f t="shared" ref="F60" si="2">C60*E60</f>
        <v>0</v>
      </c>
    </row>
    <row r="61" spans="1:6" ht="13" x14ac:dyDescent="0.3">
      <c r="F61" s="18">
        <f>SUM(F51:F60)</f>
        <v>0</v>
      </c>
    </row>
    <row r="62" spans="1:6" ht="10.5" x14ac:dyDescent="0.25">
      <c r="A62" s="6" t="s">
        <v>769</v>
      </c>
      <c r="B62" s="21" t="s">
        <v>153</v>
      </c>
    </row>
    <row r="63" spans="1:6" x14ac:dyDescent="0.2">
      <c r="A63" s="2"/>
      <c r="B63" s="5" t="s">
        <v>154</v>
      </c>
      <c r="C63" s="2"/>
      <c r="D63" s="2"/>
      <c r="E63" s="2"/>
    </row>
    <row r="64" spans="1:6" x14ac:dyDescent="0.2">
      <c r="A64" s="2"/>
      <c r="B64" s="5" t="s">
        <v>128</v>
      </c>
      <c r="C64" s="2"/>
      <c r="D64" s="2"/>
      <c r="E64" s="2"/>
    </row>
    <row r="65" spans="1:6" ht="40" x14ac:dyDescent="0.2">
      <c r="A65" s="2"/>
      <c r="B65" s="5" t="s">
        <v>155</v>
      </c>
      <c r="C65" s="2"/>
      <c r="D65" s="2" t="s">
        <v>73</v>
      </c>
      <c r="E65" s="2"/>
    </row>
    <row r="66" spans="1:6" ht="30" x14ac:dyDescent="0.2">
      <c r="A66" s="2"/>
      <c r="B66" s="5" t="s">
        <v>156</v>
      </c>
      <c r="C66" s="2"/>
      <c r="D66" s="2" t="s">
        <v>73</v>
      </c>
      <c r="E66" s="2"/>
    </row>
    <row r="67" spans="1:6" x14ac:dyDescent="0.2">
      <c r="A67" s="2"/>
      <c r="B67" s="5" t="s">
        <v>770</v>
      </c>
      <c r="C67" s="2"/>
      <c r="D67" s="2"/>
      <c r="E67" s="2"/>
    </row>
    <row r="68" spans="1:6" ht="40" x14ac:dyDescent="0.2">
      <c r="A68" s="2" t="s">
        <v>771</v>
      </c>
      <c r="B68" s="5" t="s">
        <v>158</v>
      </c>
      <c r="C68" s="7">
        <v>126</v>
      </c>
      <c r="D68" s="2" t="s">
        <v>89</v>
      </c>
      <c r="E68" s="8"/>
      <c r="F68" s="16">
        <f t="shared" ref="F68:F72" si="3">C68*E68</f>
        <v>0</v>
      </c>
    </row>
    <row r="69" spans="1:6" ht="40" x14ac:dyDescent="0.2">
      <c r="A69" s="2" t="s">
        <v>772</v>
      </c>
      <c r="B69" s="5" t="s">
        <v>160</v>
      </c>
      <c r="C69" s="7">
        <v>18</v>
      </c>
      <c r="D69" s="2" t="s">
        <v>89</v>
      </c>
      <c r="E69" s="8"/>
      <c r="F69" s="16">
        <f t="shared" si="3"/>
        <v>0</v>
      </c>
    </row>
    <row r="70" spans="1:6" x14ac:dyDescent="0.2">
      <c r="A70" s="2"/>
      <c r="B70" s="5" t="s">
        <v>161</v>
      </c>
      <c r="C70" s="2"/>
      <c r="D70" s="2"/>
      <c r="E70" s="2"/>
      <c r="F70" s="16"/>
    </row>
    <row r="71" spans="1:6" x14ac:dyDescent="0.2">
      <c r="A71" s="2" t="s">
        <v>773</v>
      </c>
      <c r="B71" s="5" t="s">
        <v>163</v>
      </c>
      <c r="C71" s="7">
        <v>12.8</v>
      </c>
      <c r="D71" s="2" t="s">
        <v>86</v>
      </c>
      <c r="E71" s="8"/>
      <c r="F71" s="16">
        <f t="shared" si="3"/>
        <v>0</v>
      </c>
    </row>
    <row r="72" spans="1:6" ht="20" x14ac:dyDescent="0.2">
      <c r="A72" s="2" t="s">
        <v>774</v>
      </c>
      <c r="B72" s="5" t="s">
        <v>165</v>
      </c>
      <c r="C72" s="7">
        <v>8</v>
      </c>
      <c r="D72" s="2" t="s">
        <v>89</v>
      </c>
      <c r="E72" s="8"/>
      <c r="F72" s="16">
        <f t="shared" si="3"/>
        <v>0</v>
      </c>
    </row>
    <row r="73" spans="1:6" ht="13" x14ac:dyDescent="0.3">
      <c r="B73" s="20" t="s">
        <v>166</v>
      </c>
      <c r="C73" s="9"/>
      <c r="D73" s="3"/>
      <c r="E73" s="9"/>
      <c r="F73" s="18">
        <f>SUM(F68:F72)</f>
        <v>0</v>
      </c>
    </row>
    <row r="74" spans="1:6" ht="13" x14ac:dyDescent="0.3">
      <c r="F74" s="18"/>
    </row>
    <row r="75" spans="1:6" ht="10.5" x14ac:dyDescent="0.25">
      <c r="A75" s="6" t="s">
        <v>775</v>
      </c>
      <c r="B75" s="21" t="s">
        <v>168</v>
      </c>
    </row>
    <row r="76" spans="1:6" x14ac:dyDescent="0.2">
      <c r="A76" s="2"/>
      <c r="B76" s="5" t="s">
        <v>169</v>
      </c>
      <c r="C76" s="2"/>
      <c r="D76" s="2"/>
      <c r="E76" s="2"/>
    </row>
    <row r="77" spans="1:6" x14ac:dyDescent="0.2">
      <c r="A77" s="2"/>
      <c r="B77" s="5" t="s">
        <v>128</v>
      </c>
      <c r="C77" s="2"/>
      <c r="D77" s="2"/>
      <c r="E77" s="2"/>
    </row>
    <row r="78" spans="1:6" x14ac:dyDescent="0.2">
      <c r="A78" s="2"/>
      <c r="B78" s="5" t="s">
        <v>170</v>
      </c>
      <c r="C78" s="2"/>
      <c r="D78" s="2"/>
      <c r="E78" s="2"/>
    </row>
    <row r="79" spans="1:6" ht="60" x14ac:dyDescent="0.2">
      <c r="A79" s="2" t="s">
        <v>776</v>
      </c>
      <c r="B79" s="5" t="s">
        <v>172</v>
      </c>
      <c r="C79" s="7">
        <v>160</v>
      </c>
      <c r="D79" s="2" t="s">
        <v>89</v>
      </c>
      <c r="E79" s="8"/>
      <c r="F79" s="16">
        <f t="shared" ref="F79" si="4">C79*E79</f>
        <v>0</v>
      </c>
    </row>
    <row r="80" spans="1:6" ht="13" x14ac:dyDescent="0.3">
      <c r="B80" s="20" t="s">
        <v>173</v>
      </c>
      <c r="C80" s="9"/>
      <c r="D80" s="3"/>
      <c r="E80" s="9"/>
      <c r="F80" s="18">
        <f>SUM(F79)</f>
        <v>0</v>
      </c>
    </row>
    <row r="81" spans="1:6" ht="13" x14ac:dyDescent="0.3">
      <c r="F81" s="18"/>
    </row>
    <row r="82" spans="1:6" ht="10.5" x14ac:dyDescent="0.25">
      <c r="A82" s="6" t="s">
        <v>777</v>
      </c>
      <c r="B82" s="21" t="s">
        <v>175</v>
      </c>
    </row>
    <row r="83" spans="1:6" x14ac:dyDescent="0.2">
      <c r="A83" s="2"/>
      <c r="B83" s="5" t="s">
        <v>176</v>
      </c>
      <c r="C83" s="2"/>
      <c r="D83" s="2"/>
      <c r="E83" s="2"/>
    </row>
    <row r="84" spans="1:6" x14ac:dyDescent="0.2">
      <c r="A84" s="2"/>
      <c r="B84" s="5" t="s">
        <v>128</v>
      </c>
      <c r="C84" s="2"/>
      <c r="D84" s="2"/>
      <c r="E84" s="2"/>
    </row>
    <row r="85" spans="1:6" ht="30" x14ac:dyDescent="0.2">
      <c r="A85" s="2"/>
      <c r="B85" s="5" t="s">
        <v>177</v>
      </c>
      <c r="C85" s="2"/>
      <c r="D85" s="2" t="s">
        <v>73</v>
      </c>
      <c r="E85" s="2"/>
    </row>
    <row r="86" spans="1:6" x14ac:dyDescent="0.2">
      <c r="A86" s="2"/>
      <c r="B86" s="5" t="s">
        <v>148</v>
      </c>
      <c r="C86" s="2"/>
      <c r="D86" s="2"/>
      <c r="E86" s="2"/>
    </row>
    <row r="87" spans="1:6" ht="40" x14ac:dyDescent="0.2">
      <c r="A87" s="2" t="s">
        <v>778</v>
      </c>
      <c r="B87" s="5" t="s">
        <v>179</v>
      </c>
      <c r="C87" s="7">
        <v>1</v>
      </c>
      <c r="D87" s="2" t="s">
        <v>77</v>
      </c>
      <c r="E87" s="8"/>
      <c r="F87" s="16">
        <f>C87*E87</f>
        <v>0</v>
      </c>
    </row>
    <row r="88" spans="1:6" ht="20" x14ac:dyDescent="0.2">
      <c r="A88" s="2" t="s">
        <v>779</v>
      </c>
      <c r="B88" s="5" t="s">
        <v>181</v>
      </c>
      <c r="C88" s="7">
        <v>13</v>
      </c>
      <c r="D88" s="2" t="s">
        <v>77</v>
      </c>
      <c r="E88" s="8"/>
      <c r="F88" s="16">
        <f>C88*E88</f>
        <v>0</v>
      </c>
    </row>
    <row r="89" spans="1:6" ht="30" x14ac:dyDescent="0.2">
      <c r="A89" s="2" t="s">
        <v>780</v>
      </c>
      <c r="B89" s="5" t="s">
        <v>183</v>
      </c>
      <c r="C89" s="7">
        <v>1</v>
      </c>
      <c r="D89" s="2" t="s">
        <v>77</v>
      </c>
      <c r="E89" s="8"/>
      <c r="F89" s="16">
        <f t="shared" ref="F89" si="5">C89*E89</f>
        <v>0</v>
      </c>
    </row>
    <row r="90" spans="1:6" ht="13" x14ac:dyDescent="0.3">
      <c r="B90" s="20" t="s">
        <v>184</v>
      </c>
      <c r="C90" s="9"/>
      <c r="D90" s="3"/>
      <c r="E90" s="9"/>
      <c r="F90" s="18">
        <f>SUM(F85:F89)</f>
        <v>0</v>
      </c>
    </row>
    <row r="91" spans="1:6" ht="13" x14ac:dyDescent="0.3">
      <c r="F91" s="18"/>
    </row>
    <row r="92" spans="1:6" ht="10.5" x14ac:dyDescent="0.25">
      <c r="A92" s="6" t="s">
        <v>781</v>
      </c>
      <c r="B92" s="21" t="s">
        <v>186</v>
      </c>
    </row>
    <row r="93" spans="1:6" x14ac:dyDescent="0.2">
      <c r="A93" s="2"/>
      <c r="B93" s="5" t="s">
        <v>187</v>
      </c>
      <c r="C93" s="2"/>
      <c r="D93" s="2"/>
      <c r="E93" s="2"/>
    </row>
    <row r="94" spans="1:6" x14ac:dyDescent="0.2">
      <c r="A94" s="2"/>
      <c r="B94" s="5" t="s">
        <v>71</v>
      </c>
      <c r="C94" s="2"/>
      <c r="D94" s="2"/>
      <c r="E94" s="2"/>
    </row>
    <row r="95" spans="1:6" ht="50" x14ac:dyDescent="0.2">
      <c r="A95" s="2"/>
      <c r="B95" s="5" t="s">
        <v>188</v>
      </c>
      <c r="C95" s="2"/>
      <c r="D95" s="2" t="s">
        <v>73</v>
      </c>
      <c r="E95" s="2"/>
    </row>
    <row r="96" spans="1:6" ht="40" x14ac:dyDescent="0.2">
      <c r="A96" s="2"/>
      <c r="B96" s="5" t="s">
        <v>189</v>
      </c>
      <c r="C96" s="2"/>
      <c r="D96" s="2" t="s">
        <v>73</v>
      </c>
      <c r="E96" s="2"/>
    </row>
    <row r="97" spans="1:6" ht="50" x14ac:dyDescent="0.2">
      <c r="A97" s="2"/>
      <c r="B97" s="5" t="s">
        <v>190</v>
      </c>
      <c r="C97" s="2"/>
      <c r="D97" s="2" t="s">
        <v>73</v>
      </c>
      <c r="E97" s="2"/>
    </row>
    <row r="98" spans="1:6" ht="40" x14ac:dyDescent="0.2">
      <c r="A98" s="2"/>
      <c r="B98" s="5" t="s">
        <v>191</v>
      </c>
      <c r="C98" s="2"/>
      <c r="D98" s="2" t="s">
        <v>73</v>
      </c>
      <c r="E98" s="2"/>
    </row>
    <row r="99" spans="1:6" x14ac:dyDescent="0.2">
      <c r="A99" s="2"/>
      <c r="B99" s="5" t="s">
        <v>192</v>
      </c>
      <c r="C99" s="2"/>
      <c r="D99" s="2"/>
      <c r="E99" s="2"/>
    </row>
    <row r="100" spans="1:6" ht="50" x14ac:dyDescent="0.2">
      <c r="A100" s="2" t="s">
        <v>782</v>
      </c>
      <c r="B100" s="5" t="s">
        <v>194</v>
      </c>
      <c r="C100" s="7">
        <v>9.64</v>
      </c>
      <c r="D100" s="2" t="s">
        <v>86</v>
      </c>
      <c r="E100" s="8"/>
      <c r="F100" s="16">
        <f>C100*E100</f>
        <v>0</v>
      </c>
    </row>
    <row r="101" spans="1:6" x14ac:dyDescent="0.2">
      <c r="A101" s="2"/>
      <c r="B101" s="5" t="s">
        <v>195</v>
      </c>
      <c r="C101" s="2"/>
      <c r="D101" s="2"/>
      <c r="E101" s="2"/>
      <c r="F101" s="16"/>
    </row>
    <row r="102" spans="1:6" ht="50" x14ac:dyDescent="0.2">
      <c r="A102" s="2" t="s">
        <v>783</v>
      </c>
      <c r="B102" s="5" t="s">
        <v>197</v>
      </c>
      <c r="C102" s="7">
        <v>4.2</v>
      </c>
      <c r="D102" s="2" t="s">
        <v>86</v>
      </c>
      <c r="E102" s="8"/>
      <c r="F102" s="16">
        <f t="shared" ref="F102:F113" si="6">C102*E102</f>
        <v>0</v>
      </c>
    </row>
    <row r="103" spans="1:6" x14ac:dyDescent="0.2">
      <c r="A103" s="2"/>
      <c r="B103" s="5" t="s">
        <v>198</v>
      </c>
      <c r="C103" s="2"/>
      <c r="D103" s="2"/>
      <c r="E103" s="2"/>
      <c r="F103" s="16"/>
    </row>
    <row r="104" spans="1:6" ht="40" x14ac:dyDescent="0.2">
      <c r="A104" s="2" t="s">
        <v>784</v>
      </c>
      <c r="B104" s="5" t="s">
        <v>200</v>
      </c>
      <c r="C104" s="7">
        <v>2.98</v>
      </c>
      <c r="D104" s="2" t="s">
        <v>86</v>
      </c>
      <c r="E104" s="8"/>
      <c r="F104" s="16">
        <f t="shared" si="6"/>
        <v>0</v>
      </c>
    </row>
    <row r="105" spans="1:6" ht="40" x14ac:dyDescent="0.2">
      <c r="A105" s="2" t="s">
        <v>785</v>
      </c>
      <c r="B105" s="5" t="s">
        <v>202</v>
      </c>
      <c r="C105" s="7">
        <v>3.75</v>
      </c>
      <c r="D105" s="2" t="s">
        <v>86</v>
      </c>
      <c r="E105" s="8"/>
      <c r="F105" s="16">
        <f t="shared" si="6"/>
        <v>0</v>
      </c>
    </row>
    <row r="106" spans="1:6" x14ac:dyDescent="0.2">
      <c r="A106" s="2"/>
      <c r="B106" s="5" t="s">
        <v>203</v>
      </c>
      <c r="C106" s="2"/>
      <c r="D106" s="2"/>
      <c r="E106" s="2"/>
      <c r="F106" s="16"/>
    </row>
    <row r="107" spans="1:6" ht="30" x14ac:dyDescent="0.2">
      <c r="A107" s="2" t="s">
        <v>786</v>
      </c>
      <c r="B107" s="5" t="s">
        <v>205</v>
      </c>
      <c r="C107" s="7">
        <v>2.68</v>
      </c>
      <c r="D107" s="2" t="s">
        <v>86</v>
      </c>
      <c r="E107" s="8"/>
      <c r="F107" s="16">
        <f t="shared" si="6"/>
        <v>0</v>
      </c>
    </row>
    <row r="108" spans="1:6" x14ac:dyDescent="0.2">
      <c r="A108" s="2"/>
      <c r="B108" s="5" t="s">
        <v>206</v>
      </c>
      <c r="C108" s="2"/>
      <c r="D108" s="2"/>
      <c r="E108" s="2"/>
      <c r="F108" s="16"/>
    </row>
    <row r="109" spans="1:6" ht="30" x14ac:dyDescent="0.2">
      <c r="A109" s="2" t="s">
        <v>787</v>
      </c>
      <c r="B109" s="5" t="s">
        <v>208</v>
      </c>
      <c r="C109" s="7">
        <v>1.83</v>
      </c>
      <c r="D109" s="2" t="s">
        <v>86</v>
      </c>
      <c r="E109" s="8"/>
      <c r="F109" s="16">
        <f t="shared" si="6"/>
        <v>0</v>
      </c>
    </row>
    <row r="110" spans="1:6" x14ac:dyDescent="0.2">
      <c r="A110" s="2"/>
      <c r="B110" s="5" t="s">
        <v>209</v>
      </c>
      <c r="C110" s="2"/>
      <c r="D110" s="2"/>
      <c r="E110" s="2"/>
      <c r="F110" s="16"/>
    </row>
    <row r="111" spans="1:6" ht="20" x14ac:dyDescent="0.2">
      <c r="A111" s="2" t="s">
        <v>788</v>
      </c>
      <c r="B111" s="5" t="s">
        <v>211</v>
      </c>
      <c r="C111" s="7">
        <v>2</v>
      </c>
      <c r="D111" s="2" t="s">
        <v>77</v>
      </c>
      <c r="E111" s="8"/>
      <c r="F111" s="16">
        <f t="shared" si="6"/>
        <v>0</v>
      </c>
    </row>
    <row r="112" spans="1:6" ht="20" x14ac:dyDescent="0.2">
      <c r="A112" s="2" t="s">
        <v>789</v>
      </c>
      <c r="B112" s="5" t="s">
        <v>213</v>
      </c>
      <c r="C112" s="7">
        <v>2</v>
      </c>
      <c r="D112" s="2" t="s">
        <v>77</v>
      </c>
      <c r="E112" s="8"/>
      <c r="F112" s="16">
        <f t="shared" si="6"/>
        <v>0</v>
      </c>
    </row>
    <row r="113" spans="1:6" x14ac:dyDescent="0.2">
      <c r="A113" s="2"/>
      <c r="B113" s="5" t="s">
        <v>214</v>
      </c>
      <c r="C113" s="2"/>
      <c r="D113" s="2"/>
      <c r="E113" s="2"/>
      <c r="F113" s="16">
        <f t="shared" si="6"/>
        <v>0</v>
      </c>
    </row>
    <row r="114" spans="1:6" x14ac:dyDescent="0.2">
      <c r="A114" s="2" t="s">
        <v>790</v>
      </c>
      <c r="B114" s="5" t="s">
        <v>216</v>
      </c>
      <c r="C114" s="7">
        <v>2</v>
      </c>
      <c r="D114" s="2" t="s">
        <v>77</v>
      </c>
      <c r="E114" s="8"/>
    </row>
    <row r="115" spans="1:6" x14ac:dyDescent="0.2">
      <c r="A115" s="2" t="s">
        <v>791</v>
      </c>
      <c r="B115" s="5" t="s">
        <v>218</v>
      </c>
      <c r="C115" s="7">
        <v>2</v>
      </c>
      <c r="D115" s="2" t="s">
        <v>77</v>
      </c>
      <c r="E115" s="8"/>
      <c r="F115" s="16">
        <f>C115*E115</f>
        <v>0</v>
      </c>
    </row>
    <row r="116" spans="1:6" ht="10.5" x14ac:dyDescent="0.25">
      <c r="B116" s="20" t="s">
        <v>219</v>
      </c>
      <c r="C116" s="9"/>
      <c r="D116" s="3"/>
      <c r="E116" s="9"/>
      <c r="F116" s="16">
        <f>C116*E116</f>
        <v>0</v>
      </c>
    </row>
    <row r="117" spans="1:6" x14ac:dyDescent="0.2">
      <c r="F117" s="16">
        <f t="shared" ref="F117" si="7">C117*E117</f>
        <v>0</v>
      </c>
    </row>
    <row r="118" spans="1:6" ht="13" x14ac:dyDescent="0.3">
      <c r="A118" s="6" t="s">
        <v>792</v>
      </c>
      <c r="B118" s="21" t="s">
        <v>221</v>
      </c>
      <c r="F118" s="18">
        <f>SUM(F113:F117)</f>
        <v>0</v>
      </c>
    </row>
    <row r="119" spans="1:6" ht="13" x14ac:dyDescent="0.3">
      <c r="A119" s="2"/>
      <c r="B119" s="5" t="s">
        <v>222</v>
      </c>
      <c r="C119" s="2"/>
      <c r="D119" s="2"/>
      <c r="E119" s="2"/>
      <c r="F119" s="18"/>
    </row>
    <row r="120" spans="1:6" x14ac:dyDescent="0.2">
      <c r="A120" s="2"/>
      <c r="B120" s="5" t="s">
        <v>192</v>
      </c>
      <c r="C120" s="2"/>
      <c r="D120" s="2"/>
      <c r="E120" s="2"/>
    </row>
    <row r="121" spans="1:6" x14ac:dyDescent="0.2">
      <c r="A121" s="2" t="s">
        <v>793</v>
      </c>
      <c r="B121" s="5" t="s">
        <v>224</v>
      </c>
      <c r="C121" s="7">
        <v>1</v>
      </c>
      <c r="D121" s="2" t="s">
        <v>77</v>
      </c>
      <c r="E121" s="8"/>
      <c r="F121" s="16">
        <f>C121*E121</f>
        <v>0</v>
      </c>
    </row>
    <row r="122" spans="1:6" x14ac:dyDescent="0.2">
      <c r="A122" s="2" t="s">
        <v>794</v>
      </c>
      <c r="B122" s="5" t="s">
        <v>226</v>
      </c>
      <c r="C122" s="2"/>
      <c r="D122" s="2"/>
      <c r="E122" s="2"/>
      <c r="F122" s="2" t="s">
        <v>227</v>
      </c>
    </row>
    <row r="123" spans="1:6" x14ac:dyDescent="0.2">
      <c r="A123" s="2" t="s">
        <v>795</v>
      </c>
      <c r="B123" s="5" t="s">
        <v>229</v>
      </c>
      <c r="C123" s="7">
        <v>1</v>
      </c>
      <c r="D123" s="2" t="s">
        <v>77</v>
      </c>
      <c r="E123" s="8"/>
      <c r="F123" s="16">
        <f t="shared" ref="F123" si="8">C123*E123</f>
        <v>0</v>
      </c>
    </row>
    <row r="124" spans="1:6" x14ac:dyDescent="0.2">
      <c r="A124" s="2" t="s">
        <v>796</v>
      </c>
      <c r="B124" s="5" t="s">
        <v>231</v>
      </c>
      <c r="C124" s="7">
        <v>1</v>
      </c>
      <c r="D124" s="2" t="s">
        <v>77</v>
      </c>
      <c r="E124" s="8"/>
      <c r="F124" s="16">
        <f>C124*E124</f>
        <v>0</v>
      </c>
    </row>
    <row r="125" spans="1:6" x14ac:dyDescent="0.2">
      <c r="A125" s="2" t="s">
        <v>797</v>
      </c>
      <c r="B125" s="5" t="s">
        <v>233</v>
      </c>
      <c r="C125" s="2"/>
      <c r="D125" s="2"/>
      <c r="E125" s="2"/>
      <c r="F125" s="2" t="s">
        <v>227</v>
      </c>
    </row>
    <row r="126" spans="1:6" x14ac:dyDescent="0.2">
      <c r="A126" s="2" t="s">
        <v>798</v>
      </c>
      <c r="B126" s="5" t="s">
        <v>235</v>
      </c>
      <c r="C126" s="2"/>
      <c r="D126" s="2"/>
      <c r="E126" s="2"/>
      <c r="F126" s="2" t="s">
        <v>227</v>
      </c>
    </row>
    <row r="127" spans="1:6" x14ac:dyDescent="0.2">
      <c r="A127" s="2" t="s">
        <v>799</v>
      </c>
      <c r="B127" s="5" t="s">
        <v>237</v>
      </c>
      <c r="C127" s="2"/>
      <c r="D127" s="2"/>
      <c r="E127" s="2"/>
      <c r="F127" s="2" t="s">
        <v>227</v>
      </c>
    </row>
    <row r="128" spans="1:6" x14ac:dyDescent="0.2">
      <c r="A128" s="2" t="s">
        <v>800</v>
      </c>
      <c r="B128" s="5" t="s">
        <v>239</v>
      </c>
      <c r="C128" s="2"/>
      <c r="D128" s="2"/>
      <c r="E128" s="2"/>
      <c r="F128" s="2" t="s">
        <v>227</v>
      </c>
    </row>
    <row r="129" spans="1:6" x14ac:dyDescent="0.2">
      <c r="A129" s="2" t="s">
        <v>801</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802</v>
      </c>
      <c r="B131" s="5" t="s">
        <v>243</v>
      </c>
      <c r="C131" s="2"/>
      <c r="D131" s="2"/>
      <c r="E131" s="2"/>
      <c r="F131" s="2" t="s">
        <v>227</v>
      </c>
    </row>
    <row r="132" spans="1:6" x14ac:dyDescent="0.2">
      <c r="A132" s="2" t="s">
        <v>803</v>
      </c>
      <c r="B132" s="5" t="s">
        <v>245</v>
      </c>
      <c r="C132" s="7">
        <v>1</v>
      </c>
      <c r="D132" s="2" t="s">
        <v>77</v>
      </c>
      <c r="E132" s="8"/>
      <c r="F132" s="16">
        <f>C132*E132</f>
        <v>0</v>
      </c>
    </row>
    <row r="133" spans="1:6" x14ac:dyDescent="0.2">
      <c r="A133" s="2" t="s">
        <v>804</v>
      </c>
      <c r="B133" s="5" t="s">
        <v>247</v>
      </c>
      <c r="C133" s="7">
        <v>1</v>
      </c>
      <c r="D133" s="2" t="s">
        <v>77</v>
      </c>
      <c r="E133" s="8"/>
      <c r="F133" s="16">
        <f t="shared" ref="F133:F158" si="10">C133*E133</f>
        <v>0</v>
      </c>
    </row>
    <row r="134" spans="1:6" x14ac:dyDescent="0.2">
      <c r="A134" s="2" t="s">
        <v>805</v>
      </c>
      <c r="B134" s="5" t="s">
        <v>249</v>
      </c>
      <c r="C134" s="7">
        <v>1</v>
      </c>
      <c r="D134" s="2" t="s">
        <v>77</v>
      </c>
      <c r="E134" s="8"/>
      <c r="F134" s="16">
        <f t="shared" si="10"/>
        <v>0</v>
      </c>
    </row>
    <row r="135" spans="1:6" x14ac:dyDescent="0.2">
      <c r="A135" s="2"/>
      <c r="B135" s="5" t="s">
        <v>250</v>
      </c>
      <c r="C135" s="2"/>
      <c r="D135" s="2"/>
      <c r="E135" s="2"/>
      <c r="F135" s="16"/>
    </row>
    <row r="136" spans="1:6" x14ac:dyDescent="0.2">
      <c r="A136" s="2" t="s">
        <v>806</v>
      </c>
      <c r="B136" s="5" t="s">
        <v>252</v>
      </c>
      <c r="C136" s="7">
        <v>1</v>
      </c>
      <c r="D136" s="2" t="s">
        <v>77</v>
      </c>
      <c r="E136" s="8"/>
      <c r="F136" s="16">
        <f t="shared" si="10"/>
        <v>0</v>
      </c>
    </row>
    <row r="137" spans="1:6" x14ac:dyDescent="0.2">
      <c r="A137" s="2" t="s">
        <v>807</v>
      </c>
      <c r="B137" s="5" t="s">
        <v>254</v>
      </c>
      <c r="C137" s="7">
        <v>1</v>
      </c>
      <c r="D137" s="2" t="s">
        <v>77</v>
      </c>
      <c r="E137" s="8"/>
      <c r="F137" s="16">
        <f t="shared" si="10"/>
        <v>0</v>
      </c>
    </row>
    <row r="138" spans="1:6" x14ac:dyDescent="0.2">
      <c r="A138" s="2" t="s">
        <v>808</v>
      </c>
      <c r="B138" s="5" t="s">
        <v>256</v>
      </c>
      <c r="C138" s="7">
        <v>1</v>
      </c>
      <c r="D138" s="2" t="s">
        <v>77</v>
      </c>
      <c r="E138" s="8"/>
      <c r="F138" s="16">
        <f t="shared" si="10"/>
        <v>0</v>
      </c>
    </row>
    <row r="139" spans="1:6" x14ac:dyDescent="0.2">
      <c r="A139" s="2" t="s">
        <v>809</v>
      </c>
      <c r="B139" s="5" t="s">
        <v>258</v>
      </c>
      <c r="C139" s="7">
        <v>1</v>
      </c>
      <c r="D139" s="2" t="s">
        <v>77</v>
      </c>
      <c r="E139" s="8"/>
      <c r="F139" s="16">
        <f t="shared" si="10"/>
        <v>0</v>
      </c>
    </row>
    <row r="140" spans="1:6" x14ac:dyDescent="0.2">
      <c r="A140" s="2" t="s">
        <v>810</v>
      </c>
      <c r="B140" s="5" t="s">
        <v>260</v>
      </c>
      <c r="C140" s="7">
        <v>1</v>
      </c>
      <c r="D140" s="2" t="s">
        <v>77</v>
      </c>
      <c r="E140" s="8"/>
      <c r="F140" s="16">
        <f t="shared" si="10"/>
        <v>0</v>
      </c>
    </row>
    <row r="141" spans="1:6" x14ac:dyDescent="0.2">
      <c r="A141" s="2"/>
      <c r="B141" s="5" t="s">
        <v>261</v>
      </c>
      <c r="C141" s="2"/>
      <c r="D141" s="2"/>
      <c r="E141" s="2"/>
      <c r="F141" s="16"/>
    </row>
    <row r="142" spans="1:6" x14ac:dyDescent="0.2">
      <c r="A142" s="2" t="s">
        <v>811</v>
      </c>
      <c r="B142" s="5" t="s">
        <v>263</v>
      </c>
      <c r="C142" s="7">
        <v>2</v>
      </c>
      <c r="D142" s="2" t="s">
        <v>77</v>
      </c>
      <c r="E142" s="8"/>
      <c r="F142" s="16">
        <f t="shared" si="10"/>
        <v>0</v>
      </c>
    </row>
    <row r="143" spans="1:6" x14ac:dyDescent="0.2">
      <c r="A143" s="2" t="s">
        <v>812</v>
      </c>
      <c r="B143" s="5" t="s">
        <v>252</v>
      </c>
      <c r="C143" s="7">
        <v>2</v>
      </c>
      <c r="D143" s="2" t="s">
        <v>77</v>
      </c>
      <c r="E143" s="8"/>
      <c r="F143" s="16">
        <f t="shared" si="10"/>
        <v>0</v>
      </c>
    </row>
    <row r="144" spans="1:6" x14ac:dyDescent="0.2">
      <c r="A144" s="2" t="s">
        <v>813</v>
      </c>
      <c r="B144" s="5" t="s">
        <v>254</v>
      </c>
      <c r="C144" s="7">
        <v>3</v>
      </c>
      <c r="D144" s="2" t="s">
        <v>77</v>
      </c>
      <c r="E144" s="8"/>
      <c r="F144" s="16">
        <f t="shared" si="10"/>
        <v>0</v>
      </c>
    </row>
    <row r="145" spans="1:6" x14ac:dyDescent="0.2">
      <c r="A145" s="2" t="s">
        <v>814</v>
      </c>
      <c r="B145" s="5" t="s">
        <v>267</v>
      </c>
      <c r="C145" s="7">
        <v>1</v>
      </c>
      <c r="D145" s="2" t="s">
        <v>77</v>
      </c>
      <c r="E145" s="8"/>
      <c r="F145" s="16">
        <f t="shared" si="10"/>
        <v>0</v>
      </c>
    </row>
    <row r="146" spans="1:6" x14ac:dyDescent="0.2">
      <c r="A146" s="2" t="s">
        <v>815</v>
      </c>
      <c r="B146" s="5" t="s">
        <v>269</v>
      </c>
      <c r="C146" s="7">
        <v>2</v>
      </c>
      <c r="D146" s="2" t="s">
        <v>77</v>
      </c>
      <c r="E146" s="8"/>
      <c r="F146" s="16">
        <f t="shared" si="10"/>
        <v>0</v>
      </c>
    </row>
    <row r="147" spans="1:6" x14ac:dyDescent="0.2">
      <c r="A147" s="2" t="s">
        <v>816</v>
      </c>
      <c r="B147" s="5" t="s">
        <v>256</v>
      </c>
      <c r="C147" s="7">
        <v>3</v>
      </c>
      <c r="D147" s="2" t="s">
        <v>77</v>
      </c>
      <c r="E147" s="8"/>
      <c r="F147" s="16">
        <f t="shared" si="10"/>
        <v>0</v>
      </c>
    </row>
    <row r="148" spans="1:6" x14ac:dyDescent="0.2">
      <c r="A148" s="2" t="s">
        <v>817</v>
      </c>
      <c r="B148" s="5" t="s">
        <v>272</v>
      </c>
      <c r="C148" s="7">
        <v>4</v>
      </c>
      <c r="D148" s="2" t="s">
        <v>77</v>
      </c>
      <c r="E148" s="8"/>
      <c r="F148" s="16">
        <f>C148*E148</f>
        <v>0</v>
      </c>
    </row>
    <row r="149" spans="1:6" x14ac:dyDescent="0.2">
      <c r="A149" s="2" t="s">
        <v>818</v>
      </c>
      <c r="B149" s="5" t="s">
        <v>274</v>
      </c>
      <c r="C149" s="7">
        <v>1</v>
      </c>
      <c r="D149" s="2" t="s">
        <v>77</v>
      </c>
      <c r="E149" s="8"/>
      <c r="F149" s="16">
        <f t="shared" si="10"/>
        <v>0</v>
      </c>
    </row>
    <row r="150" spans="1:6" x14ac:dyDescent="0.2">
      <c r="A150" s="2" t="s">
        <v>819</v>
      </c>
      <c r="B150" s="5" t="s">
        <v>276</v>
      </c>
      <c r="C150" s="7">
        <v>2</v>
      </c>
      <c r="D150" s="2" t="s">
        <v>77</v>
      </c>
      <c r="E150" s="8"/>
      <c r="F150" s="16">
        <f t="shared" si="10"/>
        <v>0</v>
      </c>
    </row>
    <row r="151" spans="1:6" ht="20" x14ac:dyDescent="0.2">
      <c r="A151" s="2" t="s">
        <v>820</v>
      </c>
      <c r="B151" s="5" t="s">
        <v>278</v>
      </c>
      <c r="C151" s="7">
        <v>1</v>
      </c>
      <c r="D151" s="2" t="s">
        <v>77</v>
      </c>
      <c r="E151" s="8"/>
      <c r="F151" s="16">
        <f t="shared" si="10"/>
        <v>0</v>
      </c>
    </row>
    <row r="152" spans="1:6" x14ac:dyDescent="0.2">
      <c r="A152" s="2" t="s">
        <v>821</v>
      </c>
      <c r="B152" s="5" t="s">
        <v>525</v>
      </c>
      <c r="C152" s="7">
        <v>1</v>
      </c>
      <c r="D152" s="2" t="s">
        <v>77</v>
      </c>
      <c r="E152" s="8"/>
      <c r="F152" s="16">
        <f t="shared" si="10"/>
        <v>0</v>
      </c>
    </row>
    <row r="153" spans="1:6" x14ac:dyDescent="0.2">
      <c r="A153" s="2" t="s">
        <v>822</v>
      </c>
      <c r="B153" s="5" t="s">
        <v>258</v>
      </c>
      <c r="C153" s="7">
        <v>1</v>
      </c>
      <c r="D153" s="2" t="s">
        <v>77</v>
      </c>
      <c r="E153" s="8"/>
      <c r="F153" s="16">
        <f t="shared" si="10"/>
        <v>0</v>
      </c>
    </row>
    <row r="154" spans="1:6" x14ac:dyDescent="0.2">
      <c r="A154" s="2" t="s">
        <v>823</v>
      </c>
      <c r="B154" s="5" t="s">
        <v>260</v>
      </c>
      <c r="C154" s="7">
        <v>1</v>
      </c>
      <c r="D154" s="2" t="s">
        <v>77</v>
      </c>
      <c r="E154" s="8"/>
      <c r="F154" s="16">
        <f t="shared" si="10"/>
        <v>0</v>
      </c>
    </row>
    <row r="155" spans="1:6" x14ac:dyDescent="0.2">
      <c r="A155" s="2" t="s">
        <v>824</v>
      </c>
      <c r="B155" s="5" t="s">
        <v>282</v>
      </c>
      <c r="C155" s="7">
        <v>1</v>
      </c>
      <c r="D155" s="2" t="s">
        <v>77</v>
      </c>
      <c r="E155" s="8"/>
      <c r="F155" s="16">
        <f>C155*E155</f>
        <v>0</v>
      </c>
    </row>
    <row r="156" spans="1:6" x14ac:dyDescent="0.2">
      <c r="A156" s="2" t="s">
        <v>825</v>
      </c>
      <c r="B156" s="5" t="s">
        <v>284</v>
      </c>
      <c r="C156" s="7">
        <v>2</v>
      </c>
      <c r="D156" s="2" t="s">
        <v>77</v>
      </c>
      <c r="E156" s="8"/>
      <c r="F156" s="16">
        <f t="shared" si="10"/>
        <v>0</v>
      </c>
    </row>
    <row r="157" spans="1:6" x14ac:dyDescent="0.2">
      <c r="A157" s="2"/>
      <c r="B157" s="5" t="s">
        <v>285</v>
      </c>
      <c r="C157" s="2"/>
      <c r="D157" s="2"/>
      <c r="E157" s="2"/>
      <c r="F157" s="16"/>
    </row>
    <row r="158" spans="1:6" ht="60" x14ac:dyDescent="0.2">
      <c r="A158" s="2" t="s">
        <v>826</v>
      </c>
      <c r="B158" s="5" t="s">
        <v>287</v>
      </c>
      <c r="C158" s="7">
        <v>6.58</v>
      </c>
      <c r="D158" s="2" t="s">
        <v>86</v>
      </c>
      <c r="E158" s="8"/>
      <c r="F158" s="16">
        <f t="shared" si="10"/>
        <v>0</v>
      </c>
    </row>
    <row r="159" spans="1:6" ht="13" x14ac:dyDescent="0.3">
      <c r="B159" s="20" t="s">
        <v>288</v>
      </c>
      <c r="C159" s="9"/>
      <c r="D159" s="3"/>
      <c r="E159" s="9"/>
      <c r="F159" s="18">
        <f>SUM(F121:F158)</f>
        <v>0</v>
      </c>
    </row>
    <row r="160" spans="1:6" ht="13" x14ac:dyDescent="0.3">
      <c r="F160" s="18"/>
    </row>
    <row r="161" spans="1:6" ht="10.5" x14ac:dyDescent="0.25">
      <c r="A161" s="6" t="s">
        <v>827</v>
      </c>
      <c r="B161" s="21" t="s">
        <v>290</v>
      </c>
    </row>
    <row r="162" spans="1:6" x14ac:dyDescent="0.2">
      <c r="A162" s="2"/>
      <c r="B162" s="5" t="s">
        <v>431</v>
      </c>
      <c r="C162" s="2"/>
      <c r="D162" s="2"/>
      <c r="E162" s="2"/>
    </row>
    <row r="163" spans="1:6" x14ac:dyDescent="0.2">
      <c r="A163" s="2"/>
      <c r="B163" s="5" t="s">
        <v>128</v>
      </c>
      <c r="C163" s="2"/>
      <c r="D163" s="2"/>
      <c r="E163" s="2"/>
      <c r="F163" s="16"/>
    </row>
    <row r="164" spans="1:6" ht="20" x14ac:dyDescent="0.2">
      <c r="A164" s="2"/>
      <c r="B164" s="5" t="s">
        <v>291</v>
      </c>
      <c r="C164" s="2"/>
      <c r="D164" s="2" t="s">
        <v>73</v>
      </c>
      <c r="E164" s="2"/>
      <c r="F164" s="16"/>
    </row>
    <row r="165" spans="1:6" ht="30" x14ac:dyDescent="0.2">
      <c r="A165" s="2"/>
      <c r="B165" s="5" t="s">
        <v>292</v>
      </c>
      <c r="C165" s="2"/>
      <c r="D165" s="2" t="s">
        <v>73</v>
      </c>
      <c r="E165" s="2"/>
    </row>
    <row r="166" spans="1:6" x14ac:dyDescent="0.2">
      <c r="A166" s="2"/>
      <c r="B166" s="5" t="s">
        <v>293</v>
      </c>
      <c r="C166" s="2"/>
      <c r="D166" s="2"/>
      <c r="E166" s="2"/>
      <c r="F166" s="16"/>
    </row>
    <row r="167" spans="1:6" ht="60" x14ac:dyDescent="0.2">
      <c r="A167" s="2" t="s">
        <v>828</v>
      </c>
      <c r="B167" s="5" t="s">
        <v>533</v>
      </c>
      <c r="C167" s="7">
        <v>44</v>
      </c>
      <c r="D167" s="2" t="s">
        <v>89</v>
      </c>
      <c r="E167" s="8"/>
      <c r="F167" s="16">
        <f>C167*E167</f>
        <v>0</v>
      </c>
    </row>
    <row r="168" spans="1:6" ht="50" x14ac:dyDescent="0.2">
      <c r="A168" s="2" t="s">
        <v>829</v>
      </c>
      <c r="B168" s="5" t="s">
        <v>297</v>
      </c>
      <c r="C168" s="7">
        <v>5</v>
      </c>
      <c r="D168" s="2" t="s">
        <v>86</v>
      </c>
      <c r="E168" s="8"/>
      <c r="F168" s="16">
        <f t="shared" ref="F168" si="11">C168*E168</f>
        <v>0</v>
      </c>
    </row>
    <row r="169" spans="1:6" x14ac:dyDescent="0.2">
      <c r="A169" s="2"/>
      <c r="B169" s="5" t="s">
        <v>298</v>
      </c>
      <c r="C169" s="2"/>
      <c r="D169" s="2"/>
      <c r="E169" s="2"/>
    </row>
    <row r="170" spans="1:6" ht="30" x14ac:dyDescent="0.2">
      <c r="A170" s="2" t="s">
        <v>830</v>
      </c>
      <c r="B170" s="5" t="s">
        <v>300</v>
      </c>
      <c r="C170" s="7">
        <v>4</v>
      </c>
      <c r="D170" s="2" t="s">
        <v>89</v>
      </c>
      <c r="E170" s="8"/>
      <c r="F170" s="16">
        <f>C170*E170</f>
        <v>0</v>
      </c>
    </row>
    <row r="171" spans="1:6" ht="13" x14ac:dyDescent="0.3">
      <c r="B171" s="20" t="s">
        <v>301</v>
      </c>
      <c r="C171" s="9"/>
      <c r="D171" s="3"/>
      <c r="E171" s="9"/>
      <c r="F171" s="18">
        <f>SUM(F167:F170)</f>
        <v>0</v>
      </c>
    </row>
    <row r="172" spans="1:6" ht="13" x14ac:dyDescent="0.3">
      <c r="F172" s="18"/>
    </row>
    <row r="173" spans="1:6" ht="10.5" x14ac:dyDescent="0.25">
      <c r="A173" s="6" t="s">
        <v>831</v>
      </c>
      <c r="B173" s="21" t="s">
        <v>303</v>
      </c>
    </row>
    <row r="174" spans="1:6" x14ac:dyDescent="0.2">
      <c r="A174" s="2"/>
      <c r="B174" s="5" t="s">
        <v>304</v>
      </c>
      <c r="C174" s="2"/>
      <c r="D174" s="2"/>
      <c r="E174" s="2"/>
    </row>
    <row r="175" spans="1:6" x14ac:dyDescent="0.2">
      <c r="A175" s="2"/>
      <c r="B175" s="5" t="s">
        <v>128</v>
      </c>
      <c r="C175" s="2"/>
      <c r="D175" s="2"/>
      <c r="E175" s="2"/>
    </row>
    <row r="176" spans="1:6" ht="40" x14ac:dyDescent="0.2">
      <c r="A176" s="2"/>
      <c r="B176" s="5" t="s">
        <v>305</v>
      </c>
      <c r="C176" s="2"/>
      <c r="D176" s="2" t="s">
        <v>73</v>
      </c>
      <c r="E176" s="2"/>
    </row>
    <row r="177" spans="1:6" ht="60" x14ac:dyDescent="0.2">
      <c r="A177" s="2"/>
      <c r="B177" s="5" t="s">
        <v>306</v>
      </c>
      <c r="C177" s="2"/>
      <c r="D177" s="2" t="s">
        <v>73</v>
      </c>
      <c r="E177" s="2"/>
    </row>
    <row r="178" spans="1:6" ht="50" x14ac:dyDescent="0.2">
      <c r="A178" s="2"/>
      <c r="B178" s="5" t="s">
        <v>307</v>
      </c>
      <c r="C178" s="2"/>
      <c r="D178" s="2" t="s">
        <v>73</v>
      </c>
      <c r="E178" s="2"/>
      <c r="F178" s="16"/>
    </row>
    <row r="179" spans="1:6" ht="51" x14ac:dyDescent="0.3">
      <c r="A179" s="2"/>
      <c r="B179" s="5" t="s">
        <v>308</v>
      </c>
      <c r="C179" s="2"/>
      <c r="D179" s="2" t="s">
        <v>73</v>
      </c>
      <c r="E179" s="2"/>
      <c r="F179" s="18"/>
    </row>
    <row r="180" spans="1:6" ht="40" x14ac:dyDescent="0.2">
      <c r="A180" s="2"/>
      <c r="B180" s="5" t="s">
        <v>309</v>
      </c>
      <c r="C180" s="2"/>
      <c r="D180" s="2" t="s">
        <v>73</v>
      </c>
      <c r="E180" s="2"/>
    </row>
    <row r="181" spans="1:6" x14ac:dyDescent="0.2">
      <c r="A181" s="2"/>
      <c r="B181" s="5" t="s">
        <v>310</v>
      </c>
      <c r="C181" s="2"/>
      <c r="D181" s="2"/>
      <c r="E181" s="2"/>
    </row>
    <row r="182" spans="1:6" ht="50" x14ac:dyDescent="0.2">
      <c r="A182" s="2" t="s">
        <v>832</v>
      </c>
      <c r="B182" s="5" t="s">
        <v>312</v>
      </c>
      <c r="C182" s="7">
        <v>186</v>
      </c>
      <c r="D182" s="2" t="s">
        <v>89</v>
      </c>
      <c r="E182" s="7"/>
      <c r="F182" s="16">
        <f>C182*E182</f>
        <v>0</v>
      </c>
    </row>
    <row r="183" spans="1:6" ht="13" x14ac:dyDescent="0.3">
      <c r="B183" s="20" t="s">
        <v>313</v>
      </c>
      <c r="C183" s="9"/>
      <c r="D183" s="3"/>
      <c r="E183" s="9"/>
      <c r="F183" s="18">
        <f>SUM(F182)</f>
        <v>0</v>
      </c>
    </row>
    <row r="184" spans="1:6" ht="13" x14ac:dyDescent="0.3">
      <c r="F184" s="18"/>
    </row>
    <row r="185" spans="1:6" ht="10.5" x14ac:dyDescent="0.25">
      <c r="A185" s="6" t="s">
        <v>833</v>
      </c>
      <c r="B185" s="21" t="s">
        <v>315</v>
      </c>
    </row>
    <row r="186" spans="1:6" x14ac:dyDescent="0.2">
      <c r="A186" s="2"/>
      <c r="B186" s="5" t="s">
        <v>316</v>
      </c>
      <c r="C186" s="2"/>
      <c r="D186" s="2"/>
      <c r="E186" s="2"/>
    </row>
    <row r="187" spans="1:6" x14ac:dyDescent="0.2">
      <c r="A187" s="2"/>
      <c r="B187" s="5" t="s">
        <v>128</v>
      </c>
      <c r="C187" s="2"/>
      <c r="D187" s="2"/>
      <c r="E187" s="2"/>
    </row>
    <row r="188" spans="1:6" ht="60" x14ac:dyDescent="0.2">
      <c r="A188" s="2"/>
      <c r="B188" s="5" t="s">
        <v>317</v>
      </c>
      <c r="C188" s="2"/>
      <c r="D188" s="2" t="s">
        <v>73</v>
      </c>
      <c r="E188" s="2"/>
    </row>
    <row r="189" spans="1:6" ht="70" x14ac:dyDescent="0.2">
      <c r="A189" s="2"/>
      <c r="B189" s="5" t="s">
        <v>318</v>
      </c>
      <c r="C189" s="2"/>
      <c r="D189" s="2" t="s">
        <v>73</v>
      </c>
      <c r="E189" s="2"/>
    </row>
    <row r="190" spans="1:6" ht="90" x14ac:dyDescent="0.2">
      <c r="A190" s="2"/>
      <c r="B190" s="5" t="s">
        <v>319</v>
      </c>
      <c r="C190" s="2"/>
      <c r="D190" s="2" t="s">
        <v>73</v>
      </c>
      <c r="E190" s="2"/>
    </row>
    <row r="191" spans="1:6" ht="80" x14ac:dyDescent="0.2">
      <c r="A191" s="2"/>
      <c r="B191" s="5" t="s">
        <v>320</v>
      </c>
      <c r="C191" s="2"/>
      <c r="D191" s="2" t="s">
        <v>73</v>
      </c>
      <c r="E191" s="2"/>
      <c r="F191" s="16"/>
    </row>
    <row r="192" spans="1:6" ht="71" x14ac:dyDescent="0.3">
      <c r="A192" s="2"/>
      <c r="B192" s="5" t="s">
        <v>321</v>
      </c>
      <c r="C192" s="2"/>
      <c r="D192" s="2" t="s">
        <v>73</v>
      </c>
      <c r="E192" s="2"/>
      <c r="F192" s="18"/>
    </row>
    <row r="193" spans="1:6" ht="70" x14ac:dyDescent="0.2">
      <c r="A193" s="2"/>
      <c r="B193" s="5" t="s">
        <v>322</v>
      </c>
      <c r="C193" s="2"/>
      <c r="D193" s="2" t="s">
        <v>73</v>
      </c>
      <c r="E193" s="2"/>
    </row>
    <row r="194" spans="1:6" x14ac:dyDescent="0.2">
      <c r="A194" s="2"/>
      <c r="B194" s="5" t="s">
        <v>323</v>
      </c>
      <c r="C194" s="2"/>
      <c r="D194" s="2"/>
      <c r="E194" s="2"/>
    </row>
    <row r="195" spans="1:6" ht="50" x14ac:dyDescent="0.2">
      <c r="A195" s="2" t="s">
        <v>834</v>
      </c>
      <c r="B195" s="5" t="s">
        <v>325</v>
      </c>
      <c r="C195" s="7">
        <v>186</v>
      </c>
      <c r="D195" s="2" t="s">
        <v>89</v>
      </c>
      <c r="E195" s="7"/>
      <c r="F195" s="16">
        <f>C195*E195</f>
        <v>0</v>
      </c>
    </row>
    <row r="196" spans="1:6" ht="13" x14ac:dyDescent="0.3">
      <c r="B196" s="20" t="s">
        <v>326</v>
      </c>
      <c r="C196" s="9"/>
      <c r="D196" s="3"/>
      <c r="E196" s="9"/>
      <c r="F196" s="18">
        <f>SUM(F195)</f>
        <v>0</v>
      </c>
    </row>
    <row r="197" spans="1:6" ht="13" x14ac:dyDescent="0.3">
      <c r="F197" s="18"/>
    </row>
    <row r="198" spans="1:6" ht="10.5" x14ac:dyDescent="0.25">
      <c r="A198" s="6" t="s">
        <v>835</v>
      </c>
      <c r="B198" s="21" t="s">
        <v>328</v>
      </c>
    </row>
    <row r="199" spans="1:6" ht="20" x14ac:dyDescent="0.2">
      <c r="A199" s="2"/>
      <c r="B199" s="5" t="s">
        <v>329</v>
      </c>
      <c r="C199" s="2"/>
      <c r="D199" s="2"/>
      <c r="E199" s="2"/>
    </row>
    <row r="200" spans="1:6" x14ac:dyDescent="0.2">
      <c r="A200" s="2"/>
      <c r="B200" s="5" t="s">
        <v>71</v>
      </c>
      <c r="C200" s="2"/>
      <c r="D200" s="2"/>
      <c r="E200" s="2"/>
    </row>
    <row r="201" spans="1:6" ht="70" x14ac:dyDescent="0.2">
      <c r="A201" s="2"/>
      <c r="B201" s="5" t="s">
        <v>330</v>
      </c>
      <c r="C201" s="2"/>
      <c r="D201" s="2" t="s">
        <v>73</v>
      </c>
      <c r="E201" s="2"/>
    </row>
    <row r="202" spans="1:6" ht="110" x14ac:dyDescent="0.2">
      <c r="A202" s="2"/>
      <c r="B202" s="5" t="s">
        <v>331</v>
      </c>
      <c r="C202" s="2"/>
      <c r="D202" s="2" t="s">
        <v>73</v>
      </c>
      <c r="E202" s="2"/>
    </row>
    <row r="203" spans="1:6" ht="180" x14ac:dyDescent="0.2">
      <c r="A203" s="2"/>
      <c r="B203" s="5" t="s">
        <v>332</v>
      </c>
      <c r="C203" s="2"/>
      <c r="D203" s="2" t="s">
        <v>73</v>
      </c>
      <c r="E203" s="2"/>
    </row>
    <row r="204" spans="1:6" ht="90" x14ac:dyDescent="0.2">
      <c r="A204" s="2"/>
      <c r="B204" s="5" t="s">
        <v>333</v>
      </c>
      <c r="C204" s="2"/>
      <c r="D204" s="2" t="s">
        <v>73</v>
      </c>
      <c r="E204" s="2"/>
    </row>
    <row r="205" spans="1:6" ht="80" x14ac:dyDescent="0.2">
      <c r="A205" s="2"/>
      <c r="B205" s="5" t="s">
        <v>334</v>
      </c>
      <c r="C205" s="2"/>
      <c r="D205" s="2" t="s">
        <v>73</v>
      </c>
      <c r="E205" s="2"/>
    </row>
    <row r="206" spans="1:6" ht="90" x14ac:dyDescent="0.2">
      <c r="A206" s="2"/>
      <c r="B206" s="5" t="s">
        <v>335</v>
      </c>
      <c r="C206" s="2"/>
      <c r="D206" s="2" t="s">
        <v>73</v>
      </c>
      <c r="E206" s="2"/>
    </row>
    <row r="207" spans="1:6" ht="60" x14ac:dyDescent="0.2">
      <c r="A207" s="2"/>
      <c r="B207" s="5" t="s">
        <v>336</v>
      </c>
      <c r="C207" s="2"/>
      <c r="D207" s="2" t="s">
        <v>73</v>
      </c>
      <c r="E207" s="2"/>
      <c r="F207" s="16"/>
    </row>
    <row r="208" spans="1:6" ht="61" x14ac:dyDescent="0.3">
      <c r="A208" s="2"/>
      <c r="B208" s="5" t="s">
        <v>337</v>
      </c>
      <c r="C208" s="2"/>
      <c r="D208" s="2" t="s">
        <v>73</v>
      </c>
      <c r="E208" s="2"/>
      <c r="F208" s="18"/>
    </row>
    <row r="209" spans="1:6" ht="81" x14ac:dyDescent="0.3">
      <c r="A209" s="2"/>
      <c r="B209" s="5" t="s">
        <v>338</v>
      </c>
      <c r="C209" s="2"/>
      <c r="D209" s="2" t="s">
        <v>73</v>
      </c>
      <c r="E209" s="2"/>
      <c r="F209" s="17"/>
    </row>
    <row r="210" spans="1:6" x14ac:dyDescent="0.2">
      <c r="A210" s="2"/>
      <c r="B210" s="5" t="s">
        <v>339</v>
      </c>
      <c r="C210" s="2"/>
      <c r="D210" s="2"/>
      <c r="E210" s="2"/>
    </row>
    <row r="211" spans="1:6" ht="50" x14ac:dyDescent="0.2">
      <c r="A211" s="2" t="s">
        <v>836</v>
      </c>
      <c r="B211" s="5" t="s">
        <v>341</v>
      </c>
      <c r="C211" s="7">
        <v>186</v>
      </c>
      <c r="D211" s="2" t="s">
        <v>89</v>
      </c>
      <c r="E211" s="7"/>
      <c r="F211" s="16">
        <f>C211*E211</f>
        <v>0</v>
      </c>
    </row>
    <row r="212" spans="1:6" ht="21.5" x14ac:dyDescent="0.3">
      <c r="B212" s="20" t="s">
        <v>342</v>
      </c>
      <c r="C212" s="9"/>
      <c r="D212" s="3"/>
      <c r="E212" s="9"/>
      <c r="F212" s="18">
        <f>SUM(F211)</f>
        <v>0</v>
      </c>
    </row>
    <row r="213" spans="1:6" ht="13" x14ac:dyDescent="0.3">
      <c r="B213" s="20" t="s">
        <v>837</v>
      </c>
      <c r="C213" s="9"/>
      <c r="D213" s="3"/>
      <c r="E213" s="9"/>
      <c r="F213" s="17">
        <f>F212+F196+F183+F171+F159+F118+F90+F80+F73+F61+F39</f>
        <v>0</v>
      </c>
    </row>
    <row r="214" spans="1:6" ht="13" x14ac:dyDescent="0.3">
      <c r="F214" s="17"/>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3307C-A7BB-4EB0-B0C5-020D014F72A7}">
  <sheetPr codeName="Sheet8">
    <pageSetUpPr fitToPage="1"/>
  </sheetPr>
  <dimension ref="A1:F214"/>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1813</v>
      </c>
      <c r="B1" s="88"/>
      <c r="C1" s="88"/>
      <c r="D1" s="88"/>
      <c r="E1" s="88"/>
      <c r="F1" s="88"/>
    </row>
    <row r="3" spans="1:6" ht="10.5" x14ac:dyDescent="0.25">
      <c r="A3" s="3" t="s">
        <v>1</v>
      </c>
      <c r="B3" s="20" t="s">
        <v>2</v>
      </c>
      <c r="C3" s="4" t="s">
        <v>4</v>
      </c>
      <c r="D3" s="3" t="s">
        <v>63</v>
      </c>
      <c r="E3" s="4" t="s">
        <v>5</v>
      </c>
      <c r="F3" s="4" t="s">
        <v>12</v>
      </c>
    </row>
    <row r="4" spans="1:6" ht="10.5" x14ac:dyDescent="0.25">
      <c r="A4" s="2"/>
      <c r="B4" s="5"/>
      <c r="C4" s="2"/>
      <c r="D4" s="2"/>
      <c r="E4" s="2"/>
      <c r="F4" s="4"/>
    </row>
    <row r="5" spans="1:6" x14ac:dyDescent="0.2">
      <c r="A5" s="2"/>
      <c r="B5" s="5" t="s">
        <v>64</v>
      </c>
      <c r="C5" s="2"/>
      <c r="D5" s="2"/>
      <c r="E5" s="2"/>
    </row>
    <row r="6" spans="1:6" ht="10.5" x14ac:dyDescent="0.25">
      <c r="A6" s="3" t="s">
        <v>838</v>
      </c>
      <c r="B6" s="20" t="s">
        <v>839</v>
      </c>
    </row>
    <row r="7" spans="1:6" x14ac:dyDescent="0.2">
      <c r="A7" s="2"/>
      <c r="B7" s="5"/>
      <c r="C7" s="2"/>
      <c r="D7" s="2"/>
      <c r="E7" s="2"/>
    </row>
    <row r="8" spans="1:6" x14ac:dyDescent="0.2">
      <c r="A8" s="2"/>
      <c r="B8" s="5" t="s">
        <v>67</v>
      </c>
      <c r="C8" s="2"/>
      <c r="D8" s="2"/>
      <c r="E8" s="2"/>
    </row>
    <row r="10" spans="1:6" ht="10.5" x14ac:dyDescent="0.25">
      <c r="A10" s="6" t="s">
        <v>840</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841</v>
      </c>
      <c r="B15" s="5" t="s">
        <v>76</v>
      </c>
      <c r="C15" s="7">
        <v>15</v>
      </c>
      <c r="D15" s="2" t="s">
        <v>77</v>
      </c>
      <c r="E15" s="8"/>
      <c r="F15" s="16">
        <f>C15*E15</f>
        <v>0</v>
      </c>
    </row>
    <row r="16" spans="1:6" x14ac:dyDescent="0.2">
      <c r="A16" s="2" t="s">
        <v>842</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843</v>
      </c>
      <c r="B18" s="5" t="s">
        <v>83</v>
      </c>
      <c r="C18" s="7">
        <v>1</v>
      </c>
      <c r="D18" s="2" t="s">
        <v>80</v>
      </c>
      <c r="E18" s="8"/>
      <c r="F18" s="16">
        <f t="shared" si="0"/>
        <v>0</v>
      </c>
    </row>
    <row r="19" spans="1:6" x14ac:dyDescent="0.2">
      <c r="A19" s="2"/>
      <c r="B19" s="5" t="s">
        <v>69</v>
      </c>
      <c r="C19" s="2"/>
      <c r="D19" s="2"/>
      <c r="E19" s="2"/>
      <c r="F19" s="16"/>
    </row>
    <row r="20" spans="1:6" ht="20" x14ac:dyDescent="0.2">
      <c r="A20" s="2" t="s">
        <v>844</v>
      </c>
      <c r="B20" s="5" t="s">
        <v>85</v>
      </c>
      <c r="C20" s="7">
        <v>7</v>
      </c>
      <c r="D20" s="2" t="s">
        <v>86</v>
      </c>
      <c r="E20" s="8"/>
      <c r="F20" s="16">
        <f t="shared" si="0"/>
        <v>0</v>
      </c>
    </row>
    <row r="21" spans="1:6" x14ac:dyDescent="0.2">
      <c r="A21" s="2" t="s">
        <v>845</v>
      </c>
      <c r="B21" s="5" t="s">
        <v>88</v>
      </c>
      <c r="C21" s="7">
        <v>9</v>
      </c>
      <c r="D21" s="2" t="s">
        <v>89</v>
      </c>
      <c r="E21" s="8"/>
      <c r="F21" s="16">
        <f t="shared" si="0"/>
        <v>0</v>
      </c>
    </row>
    <row r="22" spans="1:6" ht="30" x14ac:dyDescent="0.2">
      <c r="A22" s="2" t="s">
        <v>846</v>
      </c>
      <c r="B22" s="5" t="s">
        <v>91</v>
      </c>
      <c r="C22" s="7">
        <v>36</v>
      </c>
      <c r="D22" s="2" t="s">
        <v>89</v>
      </c>
      <c r="E22" s="8"/>
      <c r="F22" s="16">
        <f t="shared" si="0"/>
        <v>0</v>
      </c>
    </row>
    <row r="23" spans="1:6" x14ac:dyDescent="0.2">
      <c r="A23" s="2" t="s">
        <v>847</v>
      </c>
      <c r="B23" s="5" t="s">
        <v>93</v>
      </c>
      <c r="C23" s="7">
        <v>12</v>
      </c>
      <c r="D23" s="2" t="s">
        <v>86</v>
      </c>
      <c r="E23" s="8"/>
      <c r="F23" s="16">
        <f t="shared" si="0"/>
        <v>0</v>
      </c>
    </row>
    <row r="24" spans="1:6" x14ac:dyDescent="0.2">
      <c r="A24" s="2" t="s">
        <v>848</v>
      </c>
      <c r="B24" s="5" t="s">
        <v>95</v>
      </c>
      <c r="C24" s="7">
        <v>13</v>
      </c>
      <c r="D24" s="2" t="s">
        <v>77</v>
      </c>
      <c r="E24" s="8"/>
      <c r="F24" s="16">
        <f t="shared" si="0"/>
        <v>0</v>
      </c>
    </row>
    <row r="25" spans="1:6" ht="20" x14ac:dyDescent="0.2">
      <c r="A25" s="2" t="s">
        <v>849</v>
      </c>
      <c r="B25" s="5" t="s">
        <v>97</v>
      </c>
      <c r="C25" s="7">
        <v>9</v>
      </c>
      <c r="D25" s="2" t="s">
        <v>86</v>
      </c>
      <c r="E25" s="8"/>
      <c r="F25" s="16">
        <f t="shared" si="0"/>
        <v>0</v>
      </c>
    </row>
    <row r="26" spans="1:6" x14ac:dyDescent="0.2">
      <c r="A26" s="2" t="s">
        <v>850</v>
      </c>
      <c r="B26" s="5" t="s">
        <v>99</v>
      </c>
      <c r="C26" s="7">
        <v>161</v>
      </c>
      <c r="D26" s="2" t="s">
        <v>89</v>
      </c>
      <c r="E26" s="8"/>
      <c r="F26" s="16">
        <f t="shared" si="0"/>
        <v>0</v>
      </c>
    </row>
    <row r="27" spans="1:6" x14ac:dyDescent="0.2">
      <c r="A27" s="2" t="s">
        <v>851</v>
      </c>
      <c r="B27" s="5" t="s">
        <v>101</v>
      </c>
      <c r="C27" s="7">
        <v>2</v>
      </c>
      <c r="D27" s="2" t="s">
        <v>77</v>
      </c>
      <c r="E27" s="8"/>
      <c r="F27" s="16">
        <f t="shared" si="0"/>
        <v>0</v>
      </c>
    </row>
    <row r="28" spans="1:6" x14ac:dyDescent="0.2">
      <c r="A28" s="2" t="s">
        <v>852</v>
      </c>
      <c r="B28" s="5" t="s">
        <v>103</v>
      </c>
      <c r="C28" s="7">
        <v>1</v>
      </c>
      <c r="D28" s="2" t="s">
        <v>104</v>
      </c>
      <c r="E28" s="8"/>
      <c r="F28" s="16">
        <f t="shared" si="0"/>
        <v>0</v>
      </c>
    </row>
    <row r="29" spans="1:6" x14ac:dyDescent="0.2">
      <c r="A29" s="2" t="s">
        <v>853</v>
      </c>
      <c r="B29" s="5" t="s">
        <v>106</v>
      </c>
      <c r="C29" s="7">
        <v>1</v>
      </c>
      <c r="D29" s="2" t="s">
        <v>77</v>
      </c>
      <c r="E29" s="8"/>
      <c r="F29" s="16">
        <f t="shared" si="0"/>
        <v>0</v>
      </c>
    </row>
    <row r="30" spans="1:6" x14ac:dyDescent="0.2">
      <c r="A30" s="2" t="s">
        <v>854</v>
      </c>
      <c r="B30" s="5" t="s">
        <v>108</v>
      </c>
      <c r="C30" s="7">
        <v>72</v>
      </c>
      <c r="D30" s="2" t="s">
        <v>89</v>
      </c>
      <c r="E30" s="8"/>
      <c r="F30" s="16">
        <f t="shared" si="0"/>
        <v>0</v>
      </c>
    </row>
    <row r="31" spans="1:6" ht="20" x14ac:dyDescent="0.2">
      <c r="A31" s="2" t="s">
        <v>855</v>
      </c>
      <c r="B31" s="5" t="s">
        <v>110</v>
      </c>
      <c r="C31" s="7">
        <v>1</v>
      </c>
      <c r="D31" s="2" t="s">
        <v>77</v>
      </c>
      <c r="E31" s="8"/>
      <c r="F31" s="16">
        <f t="shared" si="0"/>
        <v>0</v>
      </c>
    </row>
    <row r="32" spans="1:6" ht="20" x14ac:dyDescent="0.2">
      <c r="A32" s="2" t="s">
        <v>856</v>
      </c>
      <c r="B32" s="5" t="s">
        <v>112</v>
      </c>
      <c r="C32" s="7">
        <v>26</v>
      </c>
      <c r="D32" s="2" t="s">
        <v>86</v>
      </c>
      <c r="E32" s="8"/>
      <c r="F32" s="16">
        <f t="shared" si="0"/>
        <v>0</v>
      </c>
    </row>
    <row r="33" spans="1:6" ht="40" x14ac:dyDescent="0.2">
      <c r="A33" s="2" t="s">
        <v>857</v>
      </c>
      <c r="B33" s="5" t="s">
        <v>114</v>
      </c>
      <c r="C33" s="7">
        <v>27</v>
      </c>
      <c r="D33" s="2" t="s">
        <v>89</v>
      </c>
      <c r="E33" s="8"/>
      <c r="F33" s="16">
        <f t="shared" si="0"/>
        <v>0</v>
      </c>
    </row>
    <row r="34" spans="1:6" x14ac:dyDescent="0.2">
      <c r="A34" s="2"/>
      <c r="B34" s="5" t="s">
        <v>115</v>
      </c>
      <c r="C34" s="2"/>
      <c r="D34" s="2"/>
      <c r="E34" s="2"/>
      <c r="F34" s="16"/>
    </row>
    <row r="35" spans="1:6" ht="30" x14ac:dyDescent="0.2">
      <c r="A35" s="2" t="s">
        <v>858</v>
      </c>
      <c r="B35" s="5" t="s">
        <v>117</v>
      </c>
      <c r="C35" s="7">
        <v>1</v>
      </c>
      <c r="D35" s="2" t="s">
        <v>80</v>
      </c>
      <c r="E35" s="8"/>
      <c r="F35" s="16">
        <f t="shared" si="0"/>
        <v>0</v>
      </c>
    </row>
    <row r="36" spans="1:6" x14ac:dyDescent="0.2">
      <c r="A36" s="2" t="s">
        <v>859</v>
      </c>
      <c r="B36" s="5" t="s">
        <v>119</v>
      </c>
      <c r="C36" s="7">
        <v>1</v>
      </c>
      <c r="D36" s="2" t="s">
        <v>104</v>
      </c>
      <c r="E36" s="8"/>
      <c r="F36" s="16">
        <f t="shared" si="0"/>
        <v>0</v>
      </c>
    </row>
    <row r="37" spans="1:6" ht="20" x14ac:dyDescent="0.2">
      <c r="A37" s="2" t="s">
        <v>860</v>
      </c>
      <c r="B37" s="5" t="s">
        <v>121</v>
      </c>
      <c r="C37" s="7">
        <v>1</v>
      </c>
      <c r="D37" s="2" t="s">
        <v>104</v>
      </c>
      <c r="E37" s="8"/>
      <c r="F37" s="16">
        <f t="shared" si="0"/>
        <v>0</v>
      </c>
    </row>
    <row r="38" spans="1:6" x14ac:dyDescent="0.2">
      <c r="A38" s="2" t="s">
        <v>861</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862</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863</v>
      </c>
      <c r="B51" s="5" t="s">
        <v>137</v>
      </c>
      <c r="C51" s="7">
        <v>370</v>
      </c>
      <c r="D51" s="2" t="s">
        <v>89</v>
      </c>
      <c r="E51" s="8"/>
      <c r="F51" s="16">
        <f t="shared" ref="F51:F59" si="1">C51*E51</f>
        <v>0</v>
      </c>
    </row>
    <row r="52" spans="1:6" x14ac:dyDescent="0.2">
      <c r="A52" s="2"/>
      <c r="B52" s="5" t="s">
        <v>138</v>
      </c>
      <c r="C52" s="2"/>
      <c r="D52" s="2"/>
      <c r="E52" s="2"/>
      <c r="F52" s="16"/>
    </row>
    <row r="53" spans="1:6" ht="30" x14ac:dyDescent="0.2">
      <c r="A53" s="2" t="s">
        <v>864</v>
      </c>
      <c r="B53" s="5" t="s">
        <v>140</v>
      </c>
      <c r="C53" s="7">
        <v>71</v>
      </c>
      <c r="D53" s="2" t="s">
        <v>89</v>
      </c>
      <c r="E53" s="8"/>
      <c r="F53" s="16">
        <f t="shared" si="1"/>
        <v>0</v>
      </c>
    </row>
    <row r="54" spans="1:6" ht="30" x14ac:dyDescent="0.2">
      <c r="A54" s="2" t="s">
        <v>865</v>
      </c>
      <c r="B54" s="5" t="s">
        <v>142</v>
      </c>
      <c r="C54" s="7">
        <v>6</v>
      </c>
      <c r="D54" s="2" t="s">
        <v>89</v>
      </c>
      <c r="E54" s="8"/>
      <c r="F54" s="16">
        <f t="shared" si="1"/>
        <v>0</v>
      </c>
    </row>
    <row r="55" spans="1:6" ht="20" x14ac:dyDescent="0.2">
      <c r="A55" s="2" t="s">
        <v>866</v>
      </c>
      <c r="B55" s="5" t="s">
        <v>144</v>
      </c>
      <c r="C55" s="7">
        <v>93</v>
      </c>
      <c r="D55" s="2" t="s">
        <v>89</v>
      </c>
      <c r="E55" s="8"/>
      <c r="F55" s="16">
        <f t="shared" si="1"/>
        <v>0</v>
      </c>
    </row>
    <row r="56" spans="1:6" x14ac:dyDescent="0.2">
      <c r="A56" s="2"/>
      <c r="B56" s="5" t="s">
        <v>145</v>
      </c>
      <c r="C56" s="2"/>
      <c r="D56" s="2"/>
      <c r="E56" s="2"/>
      <c r="F56" s="16"/>
    </row>
    <row r="57" spans="1:6" ht="30" x14ac:dyDescent="0.2">
      <c r="A57" s="2" t="s">
        <v>867</v>
      </c>
      <c r="B57" s="5" t="s">
        <v>147</v>
      </c>
      <c r="C57" s="7">
        <v>129</v>
      </c>
      <c r="D57" s="2" t="s">
        <v>86</v>
      </c>
      <c r="E57" s="8"/>
      <c r="F57" s="16">
        <f t="shared" si="1"/>
        <v>0</v>
      </c>
    </row>
    <row r="58" spans="1:6" x14ac:dyDescent="0.2">
      <c r="A58" s="2"/>
      <c r="B58" s="5" t="s">
        <v>148</v>
      </c>
      <c r="C58" s="2"/>
      <c r="D58" s="2"/>
      <c r="E58" s="2"/>
      <c r="F58" s="16"/>
    </row>
    <row r="59" spans="1:6" ht="30" x14ac:dyDescent="0.2">
      <c r="A59" s="2" t="s">
        <v>868</v>
      </c>
      <c r="B59" s="5" t="s">
        <v>150</v>
      </c>
      <c r="C59" s="7">
        <v>13</v>
      </c>
      <c r="D59" s="2" t="s">
        <v>77</v>
      </c>
      <c r="E59" s="8"/>
      <c r="F59" s="16">
        <f t="shared" si="1"/>
        <v>0</v>
      </c>
    </row>
    <row r="60" spans="1:6" ht="13" x14ac:dyDescent="0.3">
      <c r="B60" s="20" t="s">
        <v>151</v>
      </c>
      <c r="C60" s="9"/>
      <c r="D60" s="3"/>
      <c r="E60" s="9"/>
      <c r="F60" s="18">
        <f>SUM(F50:F59)</f>
        <v>0</v>
      </c>
    </row>
    <row r="61" spans="1:6" ht="13" x14ac:dyDescent="0.3">
      <c r="F61" s="18"/>
    </row>
    <row r="62" spans="1:6" ht="10.5" x14ac:dyDescent="0.25">
      <c r="A62" s="6" t="s">
        <v>869</v>
      </c>
      <c r="B62" s="21" t="s">
        <v>153</v>
      </c>
    </row>
    <row r="63" spans="1:6" x14ac:dyDescent="0.2">
      <c r="A63" s="2"/>
      <c r="B63" s="5" t="s">
        <v>154</v>
      </c>
      <c r="C63" s="2"/>
      <c r="D63" s="2"/>
      <c r="E63" s="2"/>
    </row>
    <row r="64" spans="1:6" x14ac:dyDescent="0.2">
      <c r="A64" s="2"/>
      <c r="B64" s="5" t="s">
        <v>128</v>
      </c>
      <c r="C64" s="2"/>
      <c r="D64" s="2"/>
      <c r="E64" s="2"/>
    </row>
    <row r="65" spans="1:6" ht="40" x14ac:dyDescent="0.2">
      <c r="A65" s="2"/>
      <c r="B65" s="5" t="s">
        <v>155</v>
      </c>
      <c r="C65" s="2"/>
      <c r="D65" s="2" t="s">
        <v>73</v>
      </c>
      <c r="E65" s="2"/>
    </row>
    <row r="66" spans="1:6" ht="30" x14ac:dyDescent="0.2">
      <c r="A66" s="2"/>
      <c r="B66" s="5" t="s">
        <v>156</v>
      </c>
      <c r="C66" s="2"/>
      <c r="D66" s="2" t="s">
        <v>73</v>
      </c>
      <c r="E66" s="2"/>
    </row>
    <row r="67" spans="1:6" x14ac:dyDescent="0.2">
      <c r="A67" s="2"/>
      <c r="B67" s="5" t="s">
        <v>138</v>
      </c>
      <c r="C67" s="2"/>
      <c r="D67" s="2"/>
      <c r="E67" s="2"/>
    </row>
    <row r="68" spans="1:6" ht="40" x14ac:dyDescent="0.2">
      <c r="A68" s="2" t="s">
        <v>870</v>
      </c>
      <c r="B68" s="5" t="s">
        <v>158</v>
      </c>
      <c r="C68" s="7">
        <v>124</v>
      </c>
      <c r="D68" s="2" t="s">
        <v>89</v>
      </c>
      <c r="E68" s="8"/>
      <c r="F68" s="16">
        <f t="shared" ref="F68:F72" si="2">C68*E68</f>
        <v>0</v>
      </c>
    </row>
    <row r="69" spans="1:6" ht="40" x14ac:dyDescent="0.2">
      <c r="A69" s="2" t="s">
        <v>871</v>
      </c>
      <c r="B69" s="5" t="s">
        <v>160</v>
      </c>
      <c r="C69" s="7">
        <v>16</v>
      </c>
      <c r="D69" s="2" t="s">
        <v>89</v>
      </c>
      <c r="E69" s="8"/>
      <c r="F69" s="16">
        <f t="shared" si="2"/>
        <v>0</v>
      </c>
    </row>
    <row r="70" spans="1:6" x14ac:dyDescent="0.2">
      <c r="A70" s="2"/>
      <c r="B70" s="5" t="s">
        <v>161</v>
      </c>
      <c r="C70" s="2"/>
      <c r="D70" s="2"/>
      <c r="E70" s="2"/>
      <c r="F70" s="16"/>
    </row>
    <row r="71" spans="1:6" x14ac:dyDescent="0.2">
      <c r="A71" s="2" t="s">
        <v>872</v>
      </c>
      <c r="B71" s="5" t="s">
        <v>163</v>
      </c>
      <c r="C71" s="7">
        <v>12.8</v>
      </c>
      <c r="D71" s="2" t="s">
        <v>86</v>
      </c>
      <c r="E71" s="8"/>
      <c r="F71" s="16">
        <f t="shared" si="2"/>
        <v>0</v>
      </c>
    </row>
    <row r="72" spans="1:6" ht="20" x14ac:dyDescent="0.2">
      <c r="A72" s="2" t="s">
        <v>873</v>
      </c>
      <c r="B72" s="5" t="s">
        <v>165</v>
      </c>
      <c r="C72" s="7">
        <v>8</v>
      </c>
      <c r="D72" s="2" t="s">
        <v>89</v>
      </c>
      <c r="E72" s="8"/>
      <c r="F72" s="16">
        <f t="shared" si="2"/>
        <v>0</v>
      </c>
    </row>
    <row r="73" spans="1:6" ht="13" x14ac:dyDescent="0.3">
      <c r="B73" s="20" t="s">
        <v>166</v>
      </c>
      <c r="C73" s="9"/>
      <c r="D73" s="3"/>
      <c r="E73" s="9"/>
      <c r="F73" s="18">
        <f>SUM(F68:F72)</f>
        <v>0</v>
      </c>
    </row>
    <row r="74" spans="1:6" ht="13" x14ac:dyDescent="0.3">
      <c r="F74" s="18"/>
    </row>
    <row r="75" spans="1:6" ht="10.5" x14ac:dyDescent="0.25">
      <c r="A75" s="6" t="s">
        <v>874</v>
      </c>
      <c r="B75" s="21" t="s">
        <v>168</v>
      </c>
    </row>
    <row r="76" spans="1:6" x14ac:dyDescent="0.2">
      <c r="A76" s="2"/>
      <c r="B76" s="5" t="s">
        <v>169</v>
      </c>
      <c r="C76" s="2"/>
      <c r="D76" s="2"/>
      <c r="E76" s="2"/>
    </row>
    <row r="77" spans="1:6" x14ac:dyDescent="0.2">
      <c r="A77" s="2"/>
      <c r="B77" s="5" t="s">
        <v>128</v>
      </c>
      <c r="C77" s="2"/>
      <c r="D77" s="2"/>
      <c r="E77" s="2"/>
    </row>
    <row r="78" spans="1:6" x14ac:dyDescent="0.2">
      <c r="A78" s="2"/>
      <c r="B78" s="5" t="s">
        <v>170</v>
      </c>
      <c r="C78" s="2"/>
      <c r="D78" s="2"/>
      <c r="E78" s="2"/>
    </row>
    <row r="79" spans="1:6" ht="60" x14ac:dyDescent="0.2">
      <c r="A79" s="2" t="s">
        <v>875</v>
      </c>
      <c r="B79" s="5" t="s">
        <v>172</v>
      </c>
      <c r="C79" s="7">
        <v>160</v>
      </c>
      <c r="D79" s="2" t="s">
        <v>89</v>
      </c>
      <c r="E79" s="8"/>
      <c r="F79" s="16">
        <f t="shared" ref="F79" si="3">C79*E79</f>
        <v>0</v>
      </c>
    </row>
    <row r="80" spans="1:6" ht="13" x14ac:dyDescent="0.3">
      <c r="B80" s="20" t="s">
        <v>173</v>
      </c>
      <c r="C80" s="9"/>
      <c r="D80" s="3"/>
      <c r="E80" s="9"/>
      <c r="F80" s="18">
        <f>SUM(F79)</f>
        <v>0</v>
      </c>
    </row>
    <row r="81" spans="1:6" ht="13" x14ac:dyDescent="0.3">
      <c r="F81" s="18"/>
    </row>
    <row r="82" spans="1:6" ht="10.5" x14ac:dyDescent="0.25">
      <c r="A82" s="6" t="s">
        <v>876</v>
      </c>
      <c r="B82" s="21" t="s">
        <v>175</v>
      </c>
    </row>
    <row r="83" spans="1:6" x14ac:dyDescent="0.2">
      <c r="A83" s="2"/>
      <c r="B83" s="5" t="s">
        <v>176</v>
      </c>
      <c r="C83" s="2"/>
      <c r="D83" s="2"/>
      <c r="E83" s="2"/>
    </row>
    <row r="84" spans="1:6" x14ac:dyDescent="0.2">
      <c r="A84" s="2"/>
      <c r="B84" s="5" t="s">
        <v>128</v>
      </c>
      <c r="C84" s="2"/>
      <c r="D84" s="2"/>
      <c r="E84" s="2"/>
    </row>
    <row r="85" spans="1:6" ht="30" x14ac:dyDescent="0.2">
      <c r="A85" s="2"/>
      <c r="B85" s="5" t="s">
        <v>177</v>
      </c>
      <c r="C85" s="2"/>
      <c r="D85" s="2" t="s">
        <v>73</v>
      </c>
      <c r="E85" s="2"/>
    </row>
    <row r="86" spans="1:6" x14ac:dyDescent="0.2">
      <c r="A86" s="2"/>
      <c r="B86" s="5" t="s">
        <v>148</v>
      </c>
      <c r="C86" s="2"/>
      <c r="D86" s="2"/>
      <c r="E86" s="2"/>
    </row>
    <row r="87" spans="1:6" ht="40" x14ac:dyDescent="0.2">
      <c r="A87" s="2" t="s">
        <v>877</v>
      </c>
      <c r="B87" s="5" t="s">
        <v>179</v>
      </c>
      <c r="C87" s="7">
        <v>1</v>
      </c>
      <c r="D87" s="2" t="s">
        <v>77</v>
      </c>
      <c r="E87" s="8"/>
      <c r="F87" s="16">
        <f>C87*E87</f>
        <v>0</v>
      </c>
    </row>
    <row r="88" spans="1:6" ht="20" x14ac:dyDescent="0.2">
      <c r="A88" s="2" t="s">
        <v>878</v>
      </c>
      <c r="B88" s="5" t="s">
        <v>181</v>
      </c>
      <c r="C88" s="7">
        <v>13</v>
      </c>
      <c r="D88" s="2" t="s">
        <v>77</v>
      </c>
      <c r="E88" s="8"/>
      <c r="F88" s="16">
        <f>C88*E88</f>
        <v>0</v>
      </c>
    </row>
    <row r="89" spans="1:6" ht="30" x14ac:dyDescent="0.2">
      <c r="A89" s="2" t="s">
        <v>879</v>
      </c>
      <c r="B89" s="5" t="s">
        <v>183</v>
      </c>
      <c r="C89" s="7">
        <v>1</v>
      </c>
      <c r="D89" s="2" t="s">
        <v>77</v>
      </c>
      <c r="E89" s="8"/>
      <c r="F89" s="16">
        <f t="shared" ref="F89" si="4">C89*E89</f>
        <v>0</v>
      </c>
    </row>
    <row r="90" spans="1:6" ht="13" x14ac:dyDescent="0.3">
      <c r="B90" s="20" t="s">
        <v>184</v>
      </c>
      <c r="C90" s="9"/>
      <c r="D90" s="3"/>
      <c r="E90" s="9"/>
      <c r="F90" s="18">
        <f>SUM(F85:F89)</f>
        <v>0</v>
      </c>
    </row>
    <row r="91" spans="1:6" ht="13" x14ac:dyDescent="0.3">
      <c r="F91" s="18"/>
    </row>
    <row r="92" spans="1:6" ht="10.5" x14ac:dyDescent="0.25">
      <c r="A92" s="6" t="s">
        <v>880</v>
      </c>
      <c r="B92" s="21" t="s">
        <v>186</v>
      </c>
    </row>
    <row r="93" spans="1:6" x14ac:dyDescent="0.2">
      <c r="A93" s="2"/>
      <c r="B93" s="5" t="s">
        <v>187</v>
      </c>
      <c r="C93" s="2"/>
      <c r="D93" s="2"/>
      <c r="E93" s="2"/>
    </row>
    <row r="94" spans="1:6" x14ac:dyDescent="0.2">
      <c r="A94" s="2"/>
      <c r="B94" s="5" t="s">
        <v>71</v>
      </c>
      <c r="C94" s="2"/>
      <c r="D94" s="2"/>
      <c r="E94" s="2"/>
    </row>
    <row r="95" spans="1:6" ht="50" x14ac:dyDescent="0.2">
      <c r="A95" s="2"/>
      <c r="B95" s="5" t="s">
        <v>188</v>
      </c>
      <c r="C95" s="2"/>
      <c r="D95" s="2" t="s">
        <v>73</v>
      </c>
      <c r="E95" s="2"/>
    </row>
    <row r="96" spans="1:6" ht="40" x14ac:dyDescent="0.2">
      <c r="A96" s="2"/>
      <c r="B96" s="5" t="s">
        <v>189</v>
      </c>
      <c r="C96" s="2"/>
      <c r="D96" s="2" t="s">
        <v>73</v>
      </c>
      <c r="E96" s="2"/>
    </row>
    <row r="97" spans="1:6" ht="50" x14ac:dyDescent="0.2">
      <c r="A97" s="2"/>
      <c r="B97" s="5" t="s">
        <v>190</v>
      </c>
      <c r="C97" s="2"/>
      <c r="D97" s="2" t="s">
        <v>73</v>
      </c>
      <c r="E97" s="2"/>
    </row>
    <row r="98" spans="1:6" ht="40" x14ac:dyDescent="0.2">
      <c r="A98" s="2"/>
      <c r="B98" s="5" t="s">
        <v>191</v>
      </c>
      <c r="C98" s="2"/>
      <c r="D98" s="2" t="s">
        <v>73</v>
      </c>
      <c r="E98" s="2"/>
    </row>
    <row r="99" spans="1:6" x14ac:dyDescent="0.2">
      <c r="A99" s="2"/>
      <c r="B99" s="5" t="s">
        <v>192</v>
      </c>
      <c r="C99" s="2"/>
      <c r="D99" s="2"/>
      <c r="E99" s="2"/>
    </row>
    <row r="100" spans="1:6" ht="50" x14ac:dyDescent="0.2">
      <c r="A100" s="2" t="s">
        <v>881</v>
      </c>
      <c r="B100" s="5" t="s">
        <v>194</v>
      </c>
      <c r="C100" s="7">
        <v>9.64</v>
      </c>
      <c r="D100" s="2" t="s">
        <v>86</v>
      </c>
      <c r="E100" s="8"/>
      <c r="F100" s="16">
        <f>C100*E100</f>
        <v>0</v>
      </c>
    </row>
    <row r="101" spans="1:6" x14ac:dyDescent="0.2">
      <c r="A101" s="2"/>
      <c r="B101" s="5" t="s">
        <v>195</v>
      </c>
      <c r="C101" s="2"/>
      <c r="D101" s="2"/>
      <c r="E101" s="2"/>
      <c r="F101" s="16"/>
    </row>
    <row r="102" spans="1:6" ht="50" x14ac:dyDescent="0.2">
      <c r="A102" s="2" t="s">
        <v>882</v>
      </c>
      <c r="B102" s="5" t="s">
        <v>197</v>
      </c>
      <c r="C102" s="7">
        <v>4.2</v>
      </c>
      <c r="D102" s="2" t="s">
        <v>86</v>
      </c>
      <c r="E102" s="8"/>
      <c r="F102" s="16">
        <f t="shared" ref="F102:F112" si="5">C102*E102</f>
        <v>0</v>
      </c>
    </row>
    <row r="103" spans="1:6" x14ac:dyDescent="0.2">
      <c r="A103" s="2"/>
      <c r="B103" s="5" t="s">
        <v>198</v>
      </c>
      <c r="C103" s="2"/>
      <c r="D103" s="2"/>
      <c r="E103" s="2"/>
      <c r="F103" s="16"/>
    </row>
    <row r="104" spans="1:6" ht="40" x14ac:dyDescent="0.2">
      <c r="A104" s="2" t="s">
        <v>883</v>
      </c>
      <c r="B104" s="5" t="s">
        <v>200</v>
      </c>
      <c r="C104" s="7">
        <v>5.96</v>
      </c>
      <c r="D104" s="2" t="s">
        <v>86</v>
      </c>
      <c r="E104" s="8"/>
      <c r="F104" s="16">
        <f t="shared" si="5"/>
        <v>0</v>
      </c>
    </row>
    <row r="105" spans="1:6" ht="40" x14ac:dyDescent="0.2">
      <c r="A105" s="2" t="s">
        <v>884</v>
      </c>
      <c r="B105" s="5" t="s">
        <v>202</v>
      </c>
      <c r="C105" s="7">
        <v>1.48</v>
      </c>
      <c r="D105" s="2" t="s">
        <v>86</v>
      </c>
      <c r="E105" s="8"/>
      <c r="F105" s="16">
        <f t="shared" si="5"/>
        <v>0</v>
      </c>
    </row>
    <row r="106" spans="1:6" x14ac:dyDescent="0.2">
      <c r="A106" s="2"/>
      <c r="B106" s="5" t="s">
        <v>203</v>
      </c>
      <c r="C106" s="2"/>
      <c r="D106" s="2"/>
      <c r="E106" s="2"/>
      <c r="F106" s="16"/>
    </row>
    <row r="107" spans="1:6" ht="30" x14ac:dyDescent="0.2">
      <c r="A107" s="2" t="s">
        <v>885</v>
      </c>
      <c r="B107" s="5" t="s">
        <v>205</v>
      </c>
      <c r="C107" s="7">
        <v>2.68</v>
      </c>
      <c r="D107" s="2" t="s">
        <v>86</v>
      </c>
      <c r="E107" s="8"/>
      <c r="F107" s="16">
        <f t="shared" si="5"/>
        <v>0</v>
      </c>
    </row>
    <row r="108" spans="1:6" x14ac:dyDescent="0.2">
      <c r="A108" s="2"/>
      <c r="B108" s="5" t="s">
        <v>206</v>
      </c>
      <c r="C108" s="2"/>
      <c r="D108" s="2"/>
      <c r="E108" s="2"/>
      <c r="F108" s="16"/>
    </row>
    <row r="109" spans="1:6" ht="30" x14ac:dyDescent="0.2">
      <c r="A109" s="2" t="s">
        <v>886</v>
      </c>
      <c r="B109" s="5" t="s">
        <v>208</v>
      </c>
      <c r="C109" s="7">
        <v>1.83</v>
      </c>
      <c r="D109" s="2" t="s">
        <v>86</v>
      </c>
      <c r="E109" s="8"/>
      <c r="F109" s="16">
        <f t="shared" si="5"/>
        <v>0</v>
      </c>
    </row>
    <row r="110" spans="1:6" x14ac:dyDescent="0.2">
      <c r="A110" s="2"/>
      <c r="B110" s="5" t="s">
        <v>209</v>
      </c>
      <c r="C110" s="2"/>
      <c r="D110" s="2"/>
      <c r="E110" s="2"/>
      <c r="F110" s="16"/>
    </row>
    <row r="111" spans="1:6" ht="20" x14ac:dyDescent="0.2">
      <c r="A111" s="2" t="s">
        <v>887</v>
      </c>
      <c r="B111" s="5" t="s">
        <v>211</v>
      </c>
      <c r="C111" s="7">
        <v>2</v>
      </c>
      <c r="D111" s="2" t="s">
        <v>77</v>
      </c>
      <c r="E111" s="8"/>
      <c r="F111" s="16">
        <f t="shared" si="5"/>
        <v>0</v>
      </c>
    </row>
    <row r="112" spans="1:6" ht="20" x14ac:dyDescent="0.2">
      <c r="A112" s="2" t="s">
        <v>888</v>
      </c>
      <c r="B112" s="5" t="s">
        <v>213</v>
      </c>
      <c r="C112" s="7">
        <v>2</v>
      </c>
      <c r="D112" s="2" t="s">
        <v>77</v>
      </c>
      <c r="E112" s="8"/>
      <c r="F112" s="16">
        <f t="shared" si="5"/>
        <v>0</v>
      </c>
    </row>
    <row r="113" spans="1:6" x14ac:dyDescent="0.2">
      <c r="A113" s="2"/>
      <c r="B113" s="5" t="s">
        <v>214</v>
      </c>
      <c r="C113" s="2"/>
      <c r="D113" s="2"/>
      <c r="E113" s="2"/>
      <c r="F113" s="16"/>
    </row>
    <row r="114" spans="1:6" x14ac:dyDescent="0.2">
      <c r="A114" s="2" t="s">
        <v>889</v>
      </c>
      <c r="B114" s="5" t="s">
        <v>216</v>
      </c>
      <c r="C114" s="7">
        <v>2</v>
      </c>
      <c r="D114" s="2" t="s">
        <v>77</v>
      </c>
      <c r="E114" s="8"/>
      <c r="F114" s="16">
        <f t="shared" ref="F114:F115" si="6">C114*E114</f>
        <v>0</v>
      </c>
    </row>
    <row r="115" spans="1:6" x14ac:dyDescent="0.2">
      <c r="A115" s="2" t="s">
        <v>890</v>
      </c>
      <c r="B115" s="5" t="s">
        <v>218</v>
      </c>
      <c r="C115" s="7">
        <v>2</v>
      </c>
      <c r="D115" s="2" t="s">
        <v>77</v>
      </c>
      <c r="E115" s="8"/>
      <c r="F115" s="16">
        <f t="shared" si="6"/>
        <v>0</v>
      </c>
    </row>
    <row r="116" spans="1:6" ht="13" x14ac:dyDescent="0.3">
      <c r="B116" s="20" t="s">
        <v>219</v>
      </c>
      <c r="C116" s="9"/>
      <c r="D116" s="3"/>
      <c r="E116" s="9"/>
      <c r="F116" s="18">
        <f>SUM(F100:F115)</f>
        <v>0</v>
      </c>
    </row>
    <row r="117" spans="1:6" x14ac:dyDescent="0.2">
      <c r="F117" s="16"/>
    </row>
    <row r="118" spans="1:6" ht="13" x14ac:dyDescent="0.3">
      <c r="A118" s="6" t="s">
        <v>891</v>
      </c>
      <c r="B118" s="21" t="s">
        <v>221</v>
      </c>
      <c r="F118" s="18"/>
    </row>
    <row r="119" spans="1:6" ht="13" x14ac:dyDescent="0.3">
      <c r="A119" s="2"/>
      <c r="B119" s="5" t="s">
        <v>222</v>
      </c>
      <c r="C119" s="2"/>
      <c r="D119" s="2"/>
      <c r="E119" s="2"/>
      <c r="F119" s="18"/>
    </row>
    <row r="120" spans="1:6" x14ac:dyDescent="0.2">
      <c r="A120" s="2"/>
      <c r="B120" s="5" t="s">
        <v>192</v>
      </c>
      <c r="C120" s="2"/>
      <c r="D120" s="2"/>
      <c r="E120" s="2"/>
    </row>
    <row r="121" spans="1:6" x14ac:dyDescent="0.2">
      <c r="A121" s="2" t="s">
        <v>892</v>
      </c>
      <c r="B121" s="5" t="s">
        <v>224</v>
      </c>
      <c r="C121" s="7">
        <v>1</v>
      </c>
      <c r="D121" s="2" t="s">
        <v>77</v>
      </c>
      <c r="E121" s="8"/>
      <c r="F121" s="16">
        <f>C121*E121</f>
        <v>0</v>
      </c>
    </row>
    <row r="122" spans="1:6" x14ac:dyDescent="0.2">
      <c r="A122" s="2" t="s">
        <v>893</v>
      </c>
      <c r="B122" s="5" t="s">
        <v>226</v>
      </c>
      <c r="C122" s="2"/>
      <c r="D122" s="2"/>
      <c r="E122" s="2"/>
      <c r="F122" s="2" t="s">
        <v>227</v>
      </c>
    </row>
    <row r="123" spans="1:6" x14ac:dyDescent="0.2">
      <c r="A123" s="2" t="s">
        <v>894</v>
      </c>
      <c r="B123" s="5" t="s">
        <v>229</v>
      </c>
      <c r="C123" s="7">
        <v>1</v>
      </c>
      <c r="D123" s="2" t="s">
        <v>77</v>
      </c>
      <c r="E123" s="8"/>
      <c r="F123" s="16">
        <f t="shared" ref="F123" si="7">C123*E123</f>
        <v>0</v>
      </c>
    </row>
    <row r="124" spans="1:6" x14ac:dyDescent="0.2">
      <c r="A124" s="2" t="s">
        <v>895</v>
      </c>
      <c r="B124" s="5" t="s">
        <v>231</v>
      </c>
      <c r="C124" s="7">
        <v>1</v>
      </c>
      <c r="D124" s="2" t="s">
        <v>77</v>
      </c>
      <c r="E124" s="8"/>
      <c r="F124" s="16">
        <f>C124*E124</f>
        <v>0</v>
      </c>
    </row>
    <row r="125" spans="1:6" x14ac:dyDescent="0.2">
      <c r="A125" s="2" t="s">
        <v>896</v>
      </c>
      <c r="B125" s="5" t="s">
        <v>233</v>
      </c>
      <c r="C125" s="2"/>
      <c r="D125" s="2"/>
      <c r="E125" s="2"/>
      <c r="F125" s="2" t="s">
        <v>227</v>
      </c>
    </row>
    <row r="126" spans="1:6" x14ac:dyDescent="0.2">
      <c r="A126" s="2" t="s">
        <v>897</v>
      </c>
      <c r="B126" s="5" t="s">
        <v>235</v>
      </c>
      <c r="C126" s="2"/>
      <c r="D126" s="2"/>
      <c r="E126" s="2"/>
      <c r="F126" s="2" t="s">
        <v>227</v>
      </c>
    </row>
    <row r="127" spans="1:6" x14ac:dyDescent="0.2">
      <c r="A127" s="2" t="s">
        <v>898</v>
      </c>
      <c r="B127" s="5" t="s">
        <v>237</v>
      </c>
      <c r="C127" s="2"/>
      <c r="D127" s="2"/>
      <c r="E127" s="2"/>
      <c r="F127" s="2" t="s">
        <v>227</v>
      </c>
    </row>
    <row r="128" spans="1:6" x14ac:dyDescent="0.2">
      <c r="A128" s="2" t="s">
        <v>899</v>
      </c>
      <c r="B128" s="5" t="s">
        <v>239</v>
      </c>
      <c r="C128" s="2"/>
      <c r="D128" s="2"/>
      <c r="E128" s="2"/>
      <c r="F128" s="2" t="s">
        <v>227</v>
      </c>
    </row>
    <row r="129" spans="1:6" x14ac:dyDescent="0.2">
      <c r="A129" s="2" t="s">
        <v>900</v>
      </c>
      <c r="B129" s="5" t="s">
        <v>241</v>
      </c>
      <c r="C129" s="7">
        <v>1</v>
      </c>
      <c r="D129" s="2" t="s">
        <v>77</v>
      </c>
      <c r="E129" s="8"/>
      <c r="F129" s="16">
        <f t="shared" ref="F129" si="8">C129*E129</f>
        <v>0</v>
      </c>
    </row>
    <row r="130" spans="1:6" x14ac:dyDescent="0.2">
      <c r="A130" s="2"/>
      <c r="B130" s="5" t="s">
        <v>195</v>
      </c>
      <c r="C130" s="2"/>
      <c r="D130" s="2"/>
      <c r="E130" s="2"/>
    </row>
    <row r="131" spans="1:6" x14ac:dyDescent="0.2">
      <c r="A131" s="2" t="s">
        <v>901</v>
      </c>
      <c r="B131" s="5" t="s">
        <v>243</v>
      </c>
      <c r="C131" s="2"/>
      <c r="D131" s="2"/>
      <c r="E131" s="2"/>
      <c r="F131" s="2" t="s">
        <v>227</v>
      </c>
    </row>
    <row r="132" spans="1:6" x14ac:dyDescent="0.2">
      <c r="A132" s="2" t="s">
        <v>902</v>
      </c>
      <c r="B132" s="5" t="s">
        <v>245</v>
      </c>
      <c r="C132" s="7">
        <v>1</v>
      </c>
      <c r="D132" s="2" t="s">
        <v>77</v>
      </c>
      <c r="E132" s="8"/>
      <c r="F132" s="16">
        <f>C132*E132</f>
        <v>0</v>
      </c>
    </row>
    <row r="133" spans="1:6" x14ac:dyDescent="0.2">
      <c r="A133" s="2" t="s">
        <v>903</v>
      </c>
      <c r="B133" s="5" t="s">
        <v>247</v>
      </c>
      <c r="C133" s="7">
        <v>1</v>
      </c>
      <c r="D133" s="2" t="s">
        <v>77</v>
      </c>
      <c r="E133" s="8"/>
      <c r="F133" s="16">
        <f t="shared" ref="F133:F157" si="9">C133*E133</f>
        <v>0</v>
      </c>
    </row>
    <row r="134" spans="1:6" x14ac:dyDescent="0.2">
      <c r="A134" s="2" t="s">
        <v>904</v>
      </c>
      <c r="B134" s="5" t="s">
        <v>249</v>
      </c>
      <c r="C134" s="7">
        <v>1</v>
      </c>
      <c r="D134" s="2" t="s">
        <v>77</v>
      </c>
      <c r="E134" s="8"/>
      <c r="F134" s="16">
        <f t="shared" si="9"/>
        <v>0</v>
      </c>
    </row>
    <row r="135" spans="1:6" x14ac:dyDescent="0.2">
      <c r="A135" s="2"/>
      <c r="B135" s="5" t="s">
        <v>250</v>
      </c>
      <c r="C135" s="2"/>
      <c r="D135" s="2"/>
      <c r="E135" s="2"/>
      <c r="F135" s="16"/>
    </row>
    <row r="136" spans="1:6" x14ac:dyDescent="0.2">
      <c r="A136" s="2" t="s">
        <v>905</v>
      </c>
      <c r="B136" s="5" t="s">
        <v>252</v>
      </c>
      <c r="C136" s="7">
        <v>1</v>
      </c>
      <c r="D136" s="2" t="s">
        <v>77</v>
      </c>
      <c r="E136" s="8"/>
      <c r="F136" s="16">
        <f t="shared" si="9"/>
        <v>0</v>
      </c>
    </row>
    <row r="137" spans="1:6" x14ac:dyDescent="0.2">
      <c r="A137" s="2" t="s">
        <v>906</v>
      </c>
      <c r="B137" s="5" t="s">
        <v>254</v>
      </c>
      <c r="C137" s="7">
        <v>1</v>
      </c>
      <c r="D137" s="2" t="s">
        <v>77</v>
      </c>
      <c r="E137" s="8"/>
      <c r="F137" s="16">
        <f t="shared" si="9"/>
        <v>0</v>
      </c>
    </row>
    <row r="138" spans="1:6" x14ac:dyDescent="0.2">
      <c r="A138" s="2" t="s">
        <v>907</v>
      </c>
      <c r="B138" s="5" t="s">
        <v>256</v>
      </c>
      <c r="C138" s="7">
        <v>1</v>
      </c>
      <c r="D138" s="2" t="s">
        <v>77</v>
      </c>
      <c r="E138" s="8"/>
      <c r="F138" s="16">
        <f t="shared" si="9"/>
        <v>0</v>
      </c>
    </row>
    <row r="139" spans="1:6" x14ac:dyDescent="0.2">
      <c r="A139" s="2" t="s">
        <v>908</v>
      </c>
      <c r="B139" s="5" t="s">
        <v>258</v>
      </c>
      <c r="C139" s="7">
        <v>1</v>
      </c>
      <c r="D139" s="2" t="s">
        <v>77</v>
      </c>
      <c r="E139" s="8"/>
      <c r="F139" s="16">
        <f t="shared" si="9"/>
        <v>0</v>
      </c>
    </row>
    <row r="140" spans="1:6" x14ac:dyDescent="0.2">
      <c r="A140" s="2" t="s">
        <v>909</v>
      </c>
      <c r="B140" s="5" t="s">
        <v>260</v>
      </c>
      <c r="C140" s="7">
        <v>1</v>
      </c>
      <c r="D140" s="2" t="s">
        <v>77</v>
      </c>
      <c r="E140" s="8"/>
      <c r="F140" s="16">
        <f t="shared" si="9"/>
        <v>0</v>
      </c>
    </row>
    <row r="141" spans="1:6" x14ac:dyDescent="0.2">
      <c r="A141" s="2"/>
      <c r="B141" s="5" t="s">
        <v>261</v>
      </c>
      <c r="C141" s="2"/>
      <c r="D141" s="2"/>
      <c r="E141" s="2"/>
      <c r="F141" s="16"/>
    </row>
    <row r="142" spans="1:6" x14ac:dyDescent="0.2">
      <c r="A142" s="2" t="s">
        <v>910</v>
      </c>
      <c r="B142" s="5" t="s">
        <v>263</v>
      </c>
      <c r="C142" s="7">
        <v>2</v>
      </c>
      <c r="D142" s="2" t="s">
        <v>77</v>
      </c>
      <c r="E142" s="8"/>
      <c r="F142" s="16">
        <f t="shared" si="9"/>
        <v>0</v>
      </c>
    </row>
    <row r="143" spans="1:6" x14ac:dyDescent="0.2">
      <c r="A143" s="2" t="s">
        <v>911</v>
      </c>
      <c r="B143" s="5" t="s">
        <v>252</v>
      </c>
      <c r="C143" s="7">
        <v>1</v>
      </c>
      <c r="D143" s="2" t="s">
        <v>77</v>
      </c>
      <c r="E143" s="8"/>
      <c r="F143" s="16">
        <f t="shared" si="9"/>
        <v>0</v>
      </c>
    </row>
    <row r="144" spans="1:6" x14ac:dyDescent="0.2">
      <c r="A144" s="2" t="s">
        <v>912</v>
      </c>
      <c r="B144" s="5" t="s">
        <v>254</v>
      </c>
      <c r="C144" s="7">
        <v>3</v>
      </c>
      <c r="D144" s="2" t="s">
        <v>77</v>
      </c>
      <c r="E144" s="8"/>
      <c r="F144" s="16">
        <f t="shared" si="9"/>
        <v>0</v>
      </c>
    </row>
    <row r="145" spans="1:6" x14ac:dyDescent="0.2">
      <c r="A145" s="2" t="s">
        <v>913</v>
      </c>
      <c r="B145" s="5" t="s">
        <v>267</v>
      </c>
      <c r="C145" s="7">
        <v>1</v>
      </c>
      <c r="D145" s="2" t="s">
        <v>77</v>
      </c>
      <c r="E145" s="8"/>
      <c r="F145" s="16">
        <f t="shared" si="9"/>
        <v>0</v>
      </c>
    </row>
    <row r="146" spans="1:6" x14ac:dyDescent="0.2">
      <c r="A146" s="2" t="s">
        <v>914</v>
      </c>
      <c r="B146" s="5" t="s">
        <v>269</v>
      </c>
      <c r="C146" s="7">
        <v>2</v>
      </c>
      <c r="D146" s="2" t="s">
        <v>77</v>
      </c>
      <c r="E146" s="8"/>
      <c r="F146" s="16">
        <f t="shared" si="9"/>
        <v>0</v>
      </c>
    </row>
    <row r="147" spans="1:6" x14ac:dyDescent="0.2">
      <c r="A147" s="2" t="s">
        <v>915</v>
      </c>
      <c r="B147" s="5" t="s">
        <v>256</v>
      </c>
      <c r="C147" s="7">
        <v>3</v>
      </c>
      <c r="D147" s="2" t="s">
        <v>77</v>
      </c>
      <c r="E147" s="8"/>
      <c r="F147" s="16">
        <f t="shared" si="9"/>
        <v>0</v>
      </c>
    </row>
    <row r="148" spans="1:6" x14ac:dyDescent="0.2">
      <c r="A148" s="2" t="s">
        <v>916</v>
      </c>
      <c r="B148" s="5" t="s">
        <v>272</v>
      </c>
      <c r="C148" s="7">
        <v>4</v>
      </c>
      <c r="D148" s="2" t="s">
        <v>77</v>
      </c>
      <c r="E148" s="8"/>
      <c r="F148" s="16">
        <f>C148*E148</f>
        <v>0</v>
      </c>
    </row>
    <row r="149" spans="1:6" x14ac:dyDescent="0.2">
      <c r="A149" s="2" t="s">
        <v>917</v>
      </c>
      <c r="B149" s="5" t="s">
        <v>274</v>
      </c>
      <c r="C149" s="7">
        <v>2</v>
      </c>
      <c r="D149" s="2" t="s">
        <v>77</v>
      </c>
      <c r="E149" s="8"/>
      <c r="F149" s="16">
        <f t="shared" si="9"/>
        <v>0</v>
      </c>
    </row>
    <row r="150" spans="1:6" x14ac:dyDescent="0.2">
      <c r="A150" s="2" t="s">
        <v>918</v>
      </c>
      <c r="B150" s="5" t="s">
        <v>276</v>
      </c>
      <c r="C150" s="7">
        <v>2</v>
      </c>
      <c r="D150" s="2" t="s">
        <v>77</v>
      </c>
      <c r="E150" s="8"/>
      <c r="F150" s="16">
        <f t="shared" si="9"/>
        <v>0</v>
      </c>
    </row>
    <row r="151" spans="1:6" ht="20" x14ac:dyDescent="0.2">
      <c r="A151" s="2" t="s">
        <v>919</v>
      </c>
      <c r="B151" s="5" t="s">
        <v>278</v>
      </c>
      <c r="C151" s="7">
        <v>2</v>
      </c>
      <c r="D151" s="2" t="s">
        <v>77</v>
      </c>
      <c r="E151" s="8"/>
      <c r="F151" s="16">
        <f t="shared" si="9"/>
        <v>0</v>
      </c>
    </row>
    <row r="152" spans="1:6" x14ac:dyDescent="0.2">
      <c r="A152" s="2" t="s">
        <v>920</v>
      </c>
      <c r="B152" s="5" t="s">
        <v>258</v>
      </c>
      <c r="C152" s="7">
        <v>1</v>
      </c>
      <c r="D152" s="2" t="s">
        <v>77</v>
      </c>
      <c r="E152" s="8"/>
      <c r="F152" s="16">
        <f t="shared" si="9"/>
        <v>0</v>
      </c>
    </row>
    <row r="153" spans="1:6" x14ac:dyDescent="0.2">
      <c r="A153" s="2" t="s">
        <v>921</v>
      </c>
      <c r="B153" s="5" t="s">
        <v>260</v>
      </c>
      <c r="C153" s="7">
        <v>1</v>
      </c>
      <c r="D153" s="2" t="s">
        <v>77</v>
      </c>
      <c r="E153" s="8"/>
      <c r="F153" s="16">
        <f t="shared" si="9"/>
        <v>0</v>
      </c>
    </row>
    <row r="154" spans="1:6" x14ac:dyDescent="0.2">
      <c r="A154" s="2" t="s">
        <v>922</v>
      </c>
      <c r="B154" s="5" t="s">
        <v>282</v>
      </c>
      <c r="C154" s="7">
        <v>1</v>
      </c>
      <c r="D154" s="2" t="s">
        <v>77</v>
      </c>
      <c r="E154" s="8"/>
      <c r="F154" s="16">
        <f t="shared" si="9"/>
        <v>0</v>
      </c>
    </row>
    <row r="155" spans="1:6" x14ac:dyDescent="0.2">
      <c r="A155" s="2" t="s">
        <v>923</v>
      </c>
      <c r="B155" s="5" t="s">
        <v>284</v>
      </c>
      <c r="C155" s="7">
        <v>2</v>
      </c>
      <c r="D155" s="2" t="s">
        <v>77</v>
      </c>
      <c r="E155" s="8"/>
      <c r="F155" s="16">
        <f>C155*E155</f>
        <v>0</v>
      </c>
    </row>
    <row r="156" spans="1:6" x14ac:dyDescent="0.2">
      <c r="A156" s="2"/>
      <c r="B156" s="5" t="s">
        <v>285</v>
      </c>
      <c r="C156" s="2"/>
      <c r="D156" s="2"/>
      <c r="E156" s="2"/>
    </row>
    <row r="157" spans="1:6" ht="60" x14ac:dyDescent="0.2">
      <c r="A157" s="2" t="s">
        <v>924</v>
      </c>
      <c r="B157" s="5" t="s">
        <v>287</v>
      </c>
      <c r="C157" s="7">
        <v>6.58</v>
      </c>
      <c r="D157" s="2" t="s">
        <v>86</v>
      </c>
      <c r="E157" s="8"/>
      <c r="F157" s="16">
        <f t="shared" si="9"/>
        <v>0</v>
      </c>
    </row>
    <row r="158" spans="1:6" ht="13" x14ac:dyDescent="0.3">
      <c r="B158" s="20" t="s">
        <v>288</v>
      </c>
      <c r="C158" s="9"/>
      <c r="D158" s="3"/>
      <c r="E158" s="9"/>
      <c r="F158" s="18">
        <f>SUM(F121:F157)</f>
        <v>0</v>
      </c>
    </row>
    <row r="159" spans="1:6" x14ac:dyDescent="0.2">
      <c r="F159" s="16"/>
    </row>
    <row r="160" spans="1:6" ht="13" x14ac:dyDescent="0.3">
      <c r="A160" s="6" t="s">
        <v>925</v>
      </c>
      <c r="B160" s="21" t="s">
        <v>290</v>
      </c>
      <c r="F160" s="18"/>
    </row>
    <row r="161" spans="1:6" x14ac:dyDescent="0.2">
      <c r="A161" s="2"/>
      <c r="B161" s="5" t="s">
        <v>431</v>
      </c>
      <c r="C161" s="2"/>
      <c r="D161" s="2"/>
      <c r="E161" s="2"/>
    </row>
    <row r="162" spans="1:6" x14ac:dyDescent="0.2">
      <c r="A162" s="2"/>
      <c r="B162" s="5" t="s">
        <v>128</v>
      </c>
      <c r="C162" s="2"/>
      <c r="D162" s="2"/>
      <c r="E162" s="2"/>
    </row>
    <row r="163" spans="1:6" ht="20" x14ac:dyDescent="0.2">
      <c r="A163" s="2"/>
      <c r="B163" s="5" t="s">
        <v>291</v>
      </c>
      <c r="C163" s="2"/>
      <c r="D163" s="2" t="s">
        <v>73</v>
      </c>
      <c r="E163" s="2"/>
      <c r="F163" s="16"/>
    </row>
    <row r="164" spans="1:6" ht="30" x14ac:dyDescent="0.2">
      <c r="A164" s="2"/>
      <c r="B164" s="5" t="s">
        <v>292</v>
      </c>
      <c r="C164" s="2"/>
      <c r="D164" s="2" t="s">
        <v>73</v>
      </c>
      <c r="E164" s="2"/>
      <c r="F164" s="16"/>
    </row>
    <row r="165" spans="1:6" x14ac:dyDescent="0.2">
      <c r="A165" s="2"/>
      <c r="B165" s="5" t="s">
        <v>293</v>
      </c>
      <c r="C165" s="2"/>
      <c r="D165" s="2"/>
      <c r="E165" s="2"/>
    </row>
    <row r="166" spans="1:6" ht="50" x14ac:dyDescent="0.2">
      <c r="A166" s="2" t="s">
        <v>926</v>
      </c>
      <c r="B166" s="5" t="s">
        <v>295</v>
      </c>
      <c r="C166" s="7">
        <v>44</v>
      </c>
      <c r="D166" s="2" t="s">
        <v>89</v>
      </c>
      <c r="E166" s="8"/>
      <c r="F166" s="16">
        <f>C166*E166</f>
        <v>0</v>
      </c>
    </row>
    <row r="167" spans="1:6" ht="50" x14ac:dyDescent="0.2">
      <c r="A167" s="2" t="s">
        <v>927</v>
      </c>
      <c r="B167" s="5" t="s">
        <v>297</v>
      </c>
      <c r="C167" s="7">
        <v>5</v>
      </c>
      <c r="D167" s="2" t="s">
        <v>86</v>
      </c>
      <c r="E167" s="8"/>
      <c r="F167" s="16">
        <f t="shared" ref="F167" si="10">C167*E167</f>
        <v>0</v>
      </c>
    </row>
    <row r="168" spans="1:6" x14ac:dyDescent="0.2">
      <c r="A168" s="2"/>
      <c r="B168" s="5" t="s">
        <v>298</v>
      </c>
      <c r="C168" s="2"/>
      <c r="D168" s="2"/>
      <c r="E168" s="2"/>
    </row>
    <row r="169" spans="1:6" ht="30" x14ac:dyDescent="0.2">
      <c r="A169" s="2" t="s">
        <v>928</v>
      </c>
      <c r="B169" s="5" t="s">
        <v>300</v>
      </c>
      <c r="C169" s="7">
        <v>2</v>
      </c>
      <c r="D169" s="2" t="s">
        <v>89</v>
      </c>
      <c r="E169" s="8"/>
      <c r="F169" s="16">
        <f>C169*E169</f>
        <v>0</v>
      </c>
    </row>
    <row r="170" spans="1:6" ht="13" x14ac:dyDescent="0.3">
      <c r="B170" s="20" t="s">
        <v>301</v>
      </c>
      <c r="C170" s="9"/>
      <c r="D170" s="3"/>
      <c r="E170" s="9"/>
      <c r="F170" s="18">
        <f>SUM(F166:F169)</f>
        <v>0</v>
      </c>
    </row>
    <row r="171" spans="1:6" x14ac:dyDescent="0.2">
      <c r="F171" s="16"/>
    </row>
    <row r="172" spans="1:6" ht="13" x14ac:dyDescent="0.3">
      <c r="A172" s="6" t="s">
        <v>929</v>
      </c>
      <c r="B172" s="21" t="s">
        <v>303</v>
      </c>
      <c r="F172" s="18"/>
    </row>
    <row r="173" spans="1:6" x14ac:dyDescent="0.2">
      <c r="A173" s="2"/>
      <c r="B173" s="5" t="s">
        <v>304</v>
      </c>
      <c r="C173" s="2"/>
      <c r="D173" s="2"/>
      <c r="E173" s="2"/>
    </row>
    <row r="174" spans="1:6" x14ac:dyDescent="0.2">
      <c r="A174" s="2"/>
      <c r="B174" s="5" t="s">
        <v>128</v>
      </c>
      <c r="C174" s="2"/>
      <c r="D174" s="2"/>
      <c r="E174" s="2"/>
    </row>
    <row r="175" spans="1:6" ht="40" x14ac:dyDescent="0.2">
      <c r="A175" s="2"/>
      <c r="B175" s="5" t="s">
        <v>305</v>
      </c>
      <c r="C175" s="2"/>
      <c r="D175" s="2" t="s">
        <v>73</v>
      </c>
      <c r="E175" s="2"/>
    </row>
    <row r="176" spans="1:6" ht="60" x14ac:dyDescent="0.2">
      <c r="A176" s="2"/>
      <c r="B176" s="5" t="s">
        <v>306</v>
      </c>
      <c r="C176" s="2"/>
      <c r="D176" s="2" t="s">
        <v>73</v>
      </c>
      <c r="E176" s="2"/>
    </row>
    <row r="177" spans="1:6" ht="50" x14ac:dyDescent="0.2">
      <c r="A177" s="2"/>
      <c r="B177" s="5" t="s">
        <v>307</v>
      </c>
      <c r="C177" s="2"/>
      <c r="D177" s="2" t="s">
        <v>73</v>
      </c>
      <c r="E177" s="2"/>
    </row>
    <row r="178" spans="1:6" ht="50" x14ac:dyDescent="0.2">
      <c r="A178" s="2"/>
      <c r="B178" s="5" t="s">
        <v>308</v>
      </c>
      <c r="C178" s="2"/>
      <c r="D178" s="2" t="s">
        <v>73</v>
      </c>
      <c r="E178" s="2"/>
      <c r="F178" s="16"/>
    </row>
    <row r="179" spans="1:6" ht="41" x14ac:dyDescent="0.3">
      <c r="A179" s="2"/>
      <c r="B179" s="5" t="s">
        <v>309</v>
      </c>
      <c r="C179" s="2"/>
      <c r="D179" s="2" t="s">
        <v>73</v>
      </c>
      <c r="E179" s="2"/>
      <c r="F179" s="18"/>
    </row>
    <row r="180" spans="1:6" x14ac:dyDescent="0.2">
      <c r="A180" s="2"/>
      <c r="B180" s="5" t="s">
        <v>310</v>
      </c>
      <c r="C180" s="2"/>
      <c r="D180" s="2"/>
      <c r="E180" s="2"/>
    </row>
    <row r="181" spans="1:6" ht="50" x14ac:dyDescent="0.2">
      <c r="A181" s="2" t="s">
        <v>930</v>
      </c>
      <c r="B181" s="5" t="s">
        <v>312</v>
      </c>
      <c r="C181" s="7">
        <v>187</v>
      </c>
      <c r="D181" s="2" t="s">
        <v>89</v>
      </c>
      <c r="E181" s="7"/>
      <c r="F181" s="16">
        <f>C181*E181</f>
        <v>0</v>
      </c>
    </row>
    <row r="182" spans="1:6" ht="13" x14ac:dyDescent="0.3">
      <c r="B182" s="20" t="s">
        <v>313</v>
      </c>
      <c r="C182" s="9"/>
      <c r="D182" s="3"/>
      <c r="E182" s="9"/>
      <c r="F182" s="18">
        <f>SUM(F181)</f>
        <v>0</v>
      </c>
    </row>
    <row r="183" spans="1:6" x14ac:dyDescent="0.2">
      <c r="F183" s="16"/>
    </row>
    <row r="184" spans="1:6" ht="13" x14ac:dyDescent="0.3">
      <c r="A184" s="6" t="s">
        <v>931</v>
      </c>
      <c r="B184" s="21" t="s">
        <v>315</v>
      </c>
      <c r="F184" s="18"/>
    </row>
    <row r="185" spans="1:6" x14ac:dyDescent="0.2">
      <c r="A185" s="2"/>
      <c r="B185" s="5" t="s">
        <v>316</v>
      </c>
      <c r="C185" s="2"/>
      <c r="D185" s="2"/>
      <c r="E185" s="2"/>
    </row>
    <row r="186" spans="1:6" x14ac:dyDescent="0.2">
      <c r="A186" s="2"/>
      <c r="B186" s="5" t="s">
        <v>128</v>
      </c>
      <c r="C186" s="2"/>
      <c r="D186" s="2"/>
      <c r="E186" s="2"/>
    </row>
    <row r="187" spans="1:6" ht="60" x14ac:dyDescent="0.2">
      <c r="A187" s="2"/>
      <c r="B187" s="5" t="s">
        <v>317</v>
      </c>
      <c r="C187" s="2"/>
      <c r="D187" s="2" t="s">
        <v>73</v>
      </c>
      <c r="E187" s="2"/>
    </row>
    <row r="188" spans="1:6" ht="70" x14ac:dyDescent="0.2">
      <c r="A188" s="2"/>
      <c r="B188" s="5" t="s">
        <v>318</v>
      </c>
      <c r="C188" s="2"/>
      <c r="D188" s="2" t="s">
        <v>73</v>
      </c>
      <c r="E188" s="2"/>
    </row>
    <row r="189" spans="1:6" ht="90" x14ac:dyDescent="0.2">
      <c r="A189" s="2"/>
      <c r="B189" s="5" t="s">
        <v>319</v>
      </c>
      <c r="C189" s="2"/>
      <c r="D189" s="2" t="s">
        <v>73</v>
      </c>
      <c r="E189" s="2"/>
    </row>
    <row r="190" spans="1:6" ht="80" x14ac:dyDescent="0.2">
      <c r="A190" s="2"/>
      <c r="B190" s="5" t="s">
        <v>320</v>
      </c>
      <c r="C190" s="2"/>
      <c r="D190" s="2" t="s">
        <v>73</v>
      </c>
      <c r="E190" s="2"/>
    </row>
    <row r="191" spans="1:6" ht="70" x14ac:dyDescent="0.2">
      <c r="A191" s="2"/>
      <c r="B191" s="5" t="s">
        <v>321</v>
      </c>
      <c r="C191" s="2"/>
      <c r="D191" s="2" t="s">
        <v>73</v>
      </c>
      <c r="E191" s="2"/>
      <c r="F191" s="16"/>
    </row>
    <row r="192" spans="1:6" ht="71" x14ac:dyDescent="0.3">
      <c r="A192" s="2"/>
      <c r="B192" s="5" t="s">
        <v>322</v>
      </c>
      <c r="C192" s="2"/>
      <c r="D192" s="2" t="s">
        <v>73</v>
      </c>
      <c r="E192" s="2"/>
      <c r="F192" s="18"/>
    </row>
    <row r="193" spans="1:6" x14ac:dyDescent="0.2">
      <c r="A193" s="2"/>
      <c r="B193" s="5" t="s">
        <v>323</v>
      </c>
      <c r="C193" s="2"/>
      <c r="D193" s="2"/>
      <c r="E193" s="2"/>
    </row>
    <row r="194" spans="1:6" ht="50" x14ac:dyDescent="0.2">
      <c r="A194" s="2" t="s">
        <v>932</v>
      </c>
      <c r="B194" s="5" t="s">
        <v>325</v>
      </c>
      <c r="C194" s="7">
        <v>187</v>
      </c>
      <c r="D194" s="2" t="s">
        <v>89</v>
      </c>
      <c r="E194" s="7"/>
      <c r="F194" s="16">
        <f>C194*E194</f>
        <v>0</v>
      </c>
    </row>
    <row r="195" spans="1:6" ht="13" x14ac:dyDescent="0.3">
      <c r="B195" s="20" t="s">
        <v>326</v>
      </c>
      <c r="C195" s="9"/>
      <c r="D195" s="3"/>
      <c r="E195" s="9"/>
      <c r="F195" s="18">
        <f>SUM(F194)</f>
        <v>0</v>
      </c>
    </row>
    <row r="196" spans="1:6" x14ac:dyDescent="0.2">
      <c r="F196" s="16"/>
    </row>
    <row r="197" spans="1:6" ht="13" x14ac:dyDescent="0.3">
      <c r="A197" s="6" t="s">
        <v>933</v>
      </c>
      <c r="B197" s="21" t="s">
        <v>328</v>
      </c>
      <c r="F197" s="18"/>
    </row>
    <row r="198" spans="1:6" ht="20" x14ac:dyDescent="0.2">
      <c r="A198" s="2"/>
      <c r="B198" s="5" t="s">
        <v>329</v>
      </c>
      <c r="C198" s="2"/>
      <c r="D198" s="2"/>
      <c r="E198" s="2"/>
    </row>
    <row r="199" spans="1:6" x14ac:dyDescent="0.2">
      <c r="A199" s="2"/>
      <c r="B199" s="5" t="s">
        <v>71</v>
      </c>
      <c r="C199" s="2"/>
      <c r="D199" s="2"/>
      <c r="E199" s="2"/>
    </row>
    <row r="200" spans="1:6" ht="70" x14ac:dyDescent="0.2">
      <c r="A200" s="2"/>
      <c r="B200" s="5" t="s">
        <v>330</v>
      </c>
      <c r="C200" s="2"/>
      <c r="D200" s="2" t="s">
        <v>73</v>
      </c>
      <c r="E200" s="2"/>
    </row>
    <row r="201" spans="1:6" ht="110" x14ac:dyDescent="0.2">
      <c r="A201" s="2"/>
      <c r="B201" s="5" t="s">
        <v>331</v>
      </c>
      <c r="C201" s="2"/>
      <c r="D201" s="2" t="s">
        <v>73</v>
      </c>
      <c r="E201" s="2"/>
    </row>
    <row r="202" spans="1:6" ht="180" x14ac:dyDescent="0.2">
      <c r="A202" s="2"/>
      <c r="B202" s="5" t="s">
        <v>332</v>
      </c>
      <c r="C202" s="2"/>
      <c r="D202" s="2" t="s">
        <v>73</v>
      </c>
      <c r="E202" s="2"/>
    </row>
    <row r="203" spans="1:6" ht="90" x14ac:dyDescent="0.2">
      <c r="A203" s="2"/>
      <c r="B203" s="5" t="s">
        <v>333</v>
      </c>
      <c r="C203" s="2"/>
      <c r="D203" s="2" t="s">
        <v>73</v>
      </c>
      <c r="E203" s="2"/>
    </row>
    <row r="204" spans="1:6" ht="80" x14ac:dyDescent="0.2">
      <c r="A204" s="2"/>
      <c r="B204" s="5" t="s">
        <v>334</v>
      </c>
      <c r="C204" s="2"/>
      <c r="D204" s="2" t="s">
        <v>73</v>
      </c>
      <c r="E204" s="2"/>
    </row>
    <row r="205" spans="1:6" ht="90" x14ac:dyDescent="0.2">
      <c r="A205" s="2"/>
      <c r="B205" s="5" t="s">
        <v>335</v>
      </c>
      <c r="C205" s="2"/>
      <c r="D205" s="2" t="s">
        <v>73</v>
      </c>
      <c r="E205" s="2"/>
    </row>
    <row r="206" spans="1:6" ht="60" x14ac:dyDescent="0.2">
      <c r="A206" s="2"/>
      <c r="B206" s="5" t="s">
        <v>336</v>
      </c>
      <c r="C206" s="2"/>
      <c r="D206" s="2" t="s">
        <v>73</v>
      </c>
      <c r="E206" s="2"/>
    </row>
    <row r="207" spans="1:6" ht="60" x14ac:dyDescent="0.2">
      <c r="A207" s="2"/>
      <c r="B207" s="5" t="s">
        <v>337</v>
      </c>
      <c r="C207" s="2"/>
      <c r="D207" s="2" t="s">
        <v>73</v>
      </c>
      <c r="E207" s="2"/>
      <c r="F207" s="16"/>
    </row>
    <row r="208" spans="1:6" ht="81" x14ac:dyDescent="0.3">
      <c r="A208" s="2"/>
      <c r="B208" s="5" t="s">
        <v>338</v>
      </c>
      <c r="C208" s="2"/>
      <c r="D208" s="2" t="s">
        <v>73</v>
      </c>
      <c r="E208" s="2"/>
      <c r="F208" s="18"/>
    </row>
    <row r="209" spans="1:6" ht="13" x14ac:dyDescent="0.3">
      <c r="A209" s="2"/>
      <c r="B209" s="5" t="s">
        <v>339</v>
      </c>
      <c r="C209" s="2"/>
      <c r="D209" s="2"/>
      <c r="E209" s="2"/>
      <c r="F209" s="17"/>
    </row>
    <row r="210" spans="1:6" ht="50" x14ac:dyDescent="0.2">
      <c r="A210" s="2" t="s">
        <v>934</v>
      </c>
      <c r="B210" s="5" t="s">
        <v>341</v>
      </c>
      <c r="C210" s="7">
        <v>187</v>
      </c>
      <c r="D210" s="2" t="s">
        <v>89</v>
      </c>
      <c r="E210" s="7"/>
      <c r="F210" s="16">
        <f>C210*E210</f>
        <v>0</v>
      </c>
    </row>
    <row r="211" spans="1:6" ht="21.5" x14ac:dyDescent="0.3">
      <c r="B211" s="20" t="s">
        <v>342</v>
      </c>
      <c r="C211" s="9"/>
      <c r="D211" s="3"/>
      <c r="E211" s="9"/>
      <c r="F211" s="18">
        <f>SUM(F210)</f>
        <v>0</v>
      </c>
    </row>
    <row r="212" spans="1:6" ht="13" x14ac:dyDescent="0.3">
      <c r="B212" s="20" t="s">
        <v>935</v>
      </c>
      <c r="C212" s="9"/>
      <c r="D212" s="3"/>
      <c r="E212" s="9"/>
      <c r="F212" s="17">
        <f>F211+F195+F182+F170+F158+F116+F90+F80+F73+F60+F39</f>
        <v>0</v>
      </c>
    </row>
    <row r="213" spans="1:6" ht="13" x14ac:dyDescent="0.3">
      <c r="F213" s="18"/>
    </row>
    <row r="214" spans="1:6" ht="13" x14ac:dyDescent="0.3">
      <c r="F214" s="17"/>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D058-0616-4E1D-BA2F-BCA31AE75E6A}">
  <sheetPr codeName="Sheet9">
    <pageSetUpPr fitToPage="1"/>
  </sheetPr>
  <dimension ref="A1:F214"/>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49.453125" style="22" customWidth="1"/>
    <col min="3" max="3" width="9.7265625" style="1" customWidth="1"/>
    <col min="4" max="4" width="6.7265625" style="1" customWidth="1"/>
    <col min="5" max="5" width="8.7265625" style="1" customWidth="1"/>
    <col min="6" max="6" width="18.453125" style="1" customWidth="1"/>
    <col min="7" max="16384" width="9.1796875" style="1"/>
  </cols>
  <sheetData>
    <row r="1" spans="1:6" ht="15.5" x14ac:dyDescent="0.35">
      <c r="A1" s="87" t="s">
        <v>1814</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936</v>
      </c>
      <c r="B6" s="20" t="s">
        <v>937</v>
      </c>
    </row>
    <row r="7" spans="1:6" x14ac:dyDescent="0.2">
      <c r="A7" s="2"/>
      <c r="B7" s="5"/>
      <c r="C7" s="2"/>
      <c r="D7" s="2"/>
      <c r="E7" s="2"/>
    </row>
    <row r="8" spans="1:6" x14ac:dyDescent="0.2">
      <c r="A8" s="2"/>
      <c r="B8" s="5" t="s">
        <v>443</v>
      </c>
      <c r="C8" s="2"/>
      <c r="D8" s="2"/>
      <c r="E8" s="2"/>
    </row>
    <row r="10" spans="1:6" ht="10.5" x14ac:dyDescent="0.25">
      <c r="A10" s="6" t="s">
        <v>938</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x14ac:dyDescent="0.2">
      <c r="A15" s="2" t="s">
        <v>939</v>
      </c>
      <c r="B15" s="5" t="s">
        <v>76</v>
      </c>
      <c r="C15" s="7">
        <v>14</v>
      </c>
      <c r="D15" s="2" t="s">
        <v>77</v>
      </c>
      <c r="E15" s="8"/>
      <c r="F15" s="16">
        <f>C15*E15</f>
        <v>0</v>
      </c>
    </row>
    <row r="16" spans="1:6" x14ac:dyDescent="0.2">
      <c r="A16" s="2" t="s">
        <v>940</v>
      </c>
      <c r="B16" s="5" t="s">
        <v>79</v>
      </c>
      <c r="C16" s="7">
        <v>1</v>
      </c>
      <c r="D16" s="2" t="s">
        <v>80</v>
      </c>
      <c r="E16" s="8"/>
      <c r="F16" s="16">
        <f t="shared" ref="F16:F38" si="0">C16*E16</f>
        <v>0</v>
      </c>
    </row>
    <row r="17" spans="1:6" x14ac:dyDescent="0.2">
      <c r="A17" s="2"/>
      <c r="B17" s="5" t="s">
        <v>81</v>
      </c>
      <c r="C17" s="2"/>
      <c r="D17" s="2"/>
      <c r="E17" s="2"/>
      <c r="F17" s="16"/>
    </row>
    <row r="18" spans="1:6" ht="20" x14ac:dyDescent="0.2">
      <c r="A18" s="2" t="s">
        <v>941</v>
      </c>
      <c r="B18" s="5" t="s">
        <v>83</v>
      </c>
      <c r="C18" s="7">
        <v>1</v>
      </c>
      <c r="D18" s="2" t="s">
        <v>80</v>
      </c>
      <c r="E18" s="8"/>
      <c r="F18" s="16">
        <f t="shared" si="0"/>
        <v>0</v>
      </c>
    </row>
    <row r="19" spans="1:6" x14ac:dyDescent="0.2">
      <c r="A19" s="2"/>
      <c r="B19" s="5" t="s">
        <v>69</v>
      </c>
      <c r="C19" s="2"/>
      <c r="D19" s="2"/>
      <c r="E19" s="2"/>
      <c r="F19" s="16"/>
    </row>
    <row r="20" spans="1:6" x14ac:dyDescent="0.2">
      <c r="A20" s="2" t="s">
        <v>942</v>
      </c>
      <c r="B20" s="5" t="s">
        <v>85</v>
      </c>
      <c r="C20" s="7">
        <v>9</v>
      </c>
      <c r="D20" s="2" t="s">
        <v>86</v>
      </c>
      <c r="E20" s="8"/>
      <c r="F20" s="16">
        <f t="shared" si="0"/>
        <v>0</v>
      </c>
    </row>
    <row r="21" spans="1:6" x14ac:dyDescent="0.2">
      <c r="A21" s="2" t="s">
        <v>943</v>
      </c>
      <c r="B21" s="5" t="s">
        <v>88</v>
      </c>
      <c r="C21" s="7">
        <v>8</v>
      </c>
      <c r="D21" s="2" t="s">
        <v>89</v>
      </c>
      <c r="E21" s="8"/>
      <c r="F21" s="16">
        <f t="shared" si="0"/>
        <v>0</v>
      </c>
    </row>
    <row r="22" spans="1:6" ht="20" x14ac:dyDescent="0.2">
      <c r="A22" s="2" t="s">
        <v>944</v>
      </c>
      <c r="B22" s="5" t="s">
        <v>91</v>
      </c>
      <c r="C22" s="7">
        <v>24</v>
      </c>
      <c r="D22" s="2" t="s">
        <v>89</v>
      </c>
      <c r="E22" s="8"/>
      <c r="F22" s="16">
        <f t="shared" si="0"/>
        <v>0</v>
      </c>
    </row>
    <row r="23" spans="1:6" x14ac:dyDescent="0.2">
      <c r="A23" s="2" t="s">
        <v>945</v>
      </c>
      <c r="B23" s="5" t="s">
        <v>93</v>
      </c>
      <c r="C23" s="7">
        <v>10</v>
      </c>
      <c r="D23" s="2" t="s">
        <v>86</v>
      </c>
      <c r="E23" s="8"/>
      <c r="F23" s="16">
        <f t="shared" si="0"/>
        <v>0</v>
      </c>
    </row>
    <row r="24" spans="1:6" x14ac:dyDescent="0.2">
      <c r="A24" s="2" t="s">
        <v>946</v>
      </c>
      <c r="B24" s="5" t="s">
        <v>95</v>
      </c>
      <c r="C24" s="7">
        <v>12</v>
      </c>
      <c r="D24" s="2" t="s">
        <v>77</v>
      </c>
      <c r="E24" s="8"/>
      <c r="F24" s="16">
        <f t="shared" si="0"/>
        <v>0</v>
      </c>
    </row>
    <row r="25" spans="1:6" x14ac:dyDescent="0.2">
      <c r="A25" s="2" t="s">
        <v>947</v>
      </c>
      <c r="B25" s="5" t="s">
        <v>97</v>
      </c>
      <c r="C25" s="7">
        <v>9</v>
      </c>
      <c r="D25" s="2" t="s">
        <v>86</v>
      </c>
      <c r="E25" s="8"/>
      <c r="F25" s="16">
        <f t="shared" si="0"/>
        <v>0</v>
      </c>
    </row>
    <row r="26" spans="1:6" x14ac:dyDescent="0.2">
      <c r="A26" s="2" t="s">
        <v>948</v>
      </c>
      <c r="B26" s="5" t="s">
        <v>99</v>
      </c>
      <c r="C26" s="7">
        <v>138</v>
      </c>
      <c r="D26" s="2" t="s">
        <v>89</v>
      </c>
      <c r="E26" s="8"/>
      <c r="F26" s="16">
        <f t="shared" si="0"/>
        <v>0</v>
      </c>
    </row>
    <row r="27" spans="1:6" x14ac:dyDescent="0.2">
      <c r="A27" s="2" t="s">
        <v>949</v>
      </c>
      <c r="B27" s="5" t="s">
        <v>101</v>
      </c>
      <c r="C27" s="7">
        <v>2</v>
      </c>
      <c r="D27" s="2" t="s">
        <v>77</v>
      </c>
      <c r="E27" s="8"/>
      <c r="F27" s="16">
        <f t="shared" si="0"/>
        <v>0</v>
      </c>
    </row>
    <row r="28" spans="1:6" x14ac:dyDescent="0.2">
      <c r="A28" s="2" t="s">
        <v>950</v>
      </c>
      <c r="B28" s="5" t="s">
        <v>103</v>
      </c>
      <c r="C28" s="7">
        <v>1</v>
      </c>
      <c r="D28" s="2" t="s">
        <v>104</v>
      </c>
      <c r="E28" s="8"/>
      <c r="F28" s="16">
        <f t="shared" si="0"/>
        <v>0</v>
      </c>
    </row>
    <row r="29" spans="1:6" x14ac:dyDescent="0.2">
      <c r="A29" s="2" t="s">
        <v>951</v>
      </c>
      <c r="B29" s="5" t="s">
        <v>106</v>
      </c>
      <c r="C29" s="7">
        <v>1</v>
      </c>
      <c r="D29" s="2" t="s">
        <v>77</v>
      </c>
      <c r="E29" s="8"/>
      <c r="F29" s="16">
        <f t="shared" si="0"/>
        <v>0</v>
      </c>
    </row>
    <row r="30" spans="1:6" x14ac:dyDescent="0.2">
      <c r="A30" s="2" t="s">
        <v>952</v>
      </c>
      <c r="B30" s="5" t="s">
        <v>108</v>
      </c>
      <c r="C30" s="7">
        <v>92</v>
      </c>
      <c r="D30" s="2" t="s">
        <v>89</v>
      </c>
      <c r="E30" s="8"/>
      <c r="F30" s="16">
        <f t="shared" si="0"/>
        <v>0</v>
      </c>
    </row>
    <row r="31" spans="1:6" x14ac:dyDescent="0.2">
      <c r="A31" s="2" t="s">
        <v>953</v>
      </c>
      <c r="B31" s="5" t="s">
        <v>110</v>
      </c>
      <c r="C31" s="7">
        <v>1</v>
      </c>
      <c r="D31" s="2" t="s">
        <v>77</v>
      </c>
      <c r="E31" s="8"/>
      <c r="F31" s="16">
        <f t="shared" si="0"/>
        <v>0</v>
      </c>
    </row>
    <row r="32" spans="1:6" x14ac:dyDescent="0.2">
      <c r="A32" s="2" t="s">
        <v>954</v>
      </c>
      <c r="B32" s="5" t="s">
        <v>112</v>
      </c>
      <c r="C32" s="7">
        <v>31</v>
      </c>
      <c r="D32" s="2" t="s">
        <v>86</v>
      </c>
      <c r="E32" s="8"/>
      <c r="F32" s="16">
        <f t="shared" si="0"/>
        <v>0</v>
      </c>
    </row>
    <row r="33" spans="1:6" ht="20" x14ac:dyDescent="0.2">
      <c r="A33" s="2" t="s">
        <v>955</v>
      </c>
      <c r="B33" s="5" t="s">
        <v>114</v>
      </c>
      <c r="C33" s="7">
        <v>45</v>
      </c>
      <c r="D33" s="2" t="s">
        <v>89</v>
      </c>
      <c r="E33" s="8"/>
      <c r="F33" s="16">
        <f t="shared" si="0"/>
        <v>0</v>
      </c>
    </row>
    <row r="34" spans="1:6" x14ac:dyDescent="0.2">
      <c r="A34" s="2"/>
      <c r="B34" s="5" t="s">
        <v>115</v>
      </c>
      <c r="C34" s="2"/>
      <c r="D34" s="2"/>
      <c r="E34" s="2"/>
      <c r="F34" s="16"/>
    </row>
    <row r="35" spans="1:6" ht="20" x14ac:dyDescent="0.2">
      <c r="A35" s="2" t="s">
        <v>956</v>
      </c>
      <c r="B35" s="5" t="s">
        <v>117</v>
      </c>
      <c r="C35" s="7">
        <v>1</v>
      </c>
      <c r="D35" s="2" t="s">
        <v>80</v>
      </c>
      <c r="E35" s="8"/>
      <c r="F35" s="16">
        <f t="shared" si="0"/>
        <v>0</v>
      </c>
    </row>
    <row r="36" spans="1:6" x14ac:dyDescent="0.2">
      <c r="A36" s="2" t="s">
        <v>957</v>
      </c>
      <c r="B36" s="5" t="s">
        <v>119</v>
      </c>
      <c r="C36" s="7">
        <v>1</v>
      </c>
      <c r="D36" s="2" t="s">
        <v>104</v>
      </c>
      <c r="E36" s="8"/>
      <c r="F36" s="16">
        <f t="shared" si="0"/>
        <v>0</v>
      </c>
    </row>
    <row r="37" spans="1:6" ht="20" x14ac:dyDescent="0.2">
      <c r="A37" s="2" t="s">
        <v>958</v>
      </c>
      <c r="B37" s="5" t="s">
        <v>121</v>
      </c>
      <c r="C37" s="7">
        <v>1</v>
      </c>
      <c r="D37" s="2" t="s">
        <v>104</v>
      </c>
      <c r="E37" s="8"/>
      <c r="F37" s="16">
        <f t="shared" si="0"/>
        <v>0</v>
      </c>
    </row>
    <row r="38" spans="1:6" x14ac:dyDescent="0.2">
      <c r="A38" s="2" t="s">
        <v>959</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960</v>
      </c>
      <c r="B41" s="21" t="s">
        <v>126</v>
      </c>
    </row>
    <row r="42" spans="1:6" x14ac:dyDescent="0.2">
      <c r="A42" s="2"/>
      <c r="B42" s="5" t="s">
        <v>127</v>
      </c>
      <c r="C42" s="2"/>
      <c r="D42" s="2"/>
      <c r="E42" s="2"/>
    </row>
    <row r="43" spans="1:6" x14ac:dyDescent="0.2">
      <c r="A43" s="2"/>
      <c r="B43" s="5" t="s">
        <v>128</v>
      </c>
      <c r="C43" s="2"/>
      <c r="D43" s="2"/>
      <c r="E43" s="2"/>
    </row>
    <row r="44" spans="1:6" ht="20" x14ac:dyDescent="0.2">
      <c r="A44" s="2"/>
      <c r="B44" s="5" t="s">
        <v>129</v>
      </c>
      <c r="C44" s="2"/>
      <c r="D44" s="2" t="s">
        <v>73</v>
      </c>
      <c r="E44" s="2"/>
    </row>
    <row r="45" spans="1:6" ht="20" x14ac:dyDescent="0.2">
      <c r="A45" s="2"/>
      <c r="B45" s="5" t="s">
        <v>130</v>
      </c>
      <c r="C45" s="2"/>
      <c r="D45" s="2" t="s">
        <v>73</v>
      </c>
      <c r="E45" s="2"/>
    </row>
    <row r="46" spans="1:6" ht="20" x14ac:dyDescent="0.2">
      <c r="A46" s="2"/>
      <c r="B46" s="5" t="s">
        <v>131</v>
      </c>
      <c r="C46" s="2"/>
      <c r="D46" s="2" t="s">
        <v>73</v>
      </c>
      <c r="E46" s="2"/>
    </row>
    <row r="47" spans="1:6" ht="20" x14ac:dyDescent="0.2">
      <c r="A47" s="2"/>
      <c r="B47" s="5" t="s">
        <v>132</v>
      </c>
      <c r="C47" s="2"/>
      <c r="D47" s="2" t="s">
        <v>73</v>
      </c>
      <c r="E47" s="2"/>
    </row>
    <row r="48" spans="1:6" x14ac:dyDescent="0.2">
      <c r="A48" s="2"/>
      <c r="B48" s="5" t="s">
        <v>133</v>
      </c>
      <c r="C48" s="2"/>
      <c r="D48" s="2" t="s">
        <v>73</v>
      </c>
      <c r="E48" s="2"/>
    </row>
    <row r="49" spans="1:6" x14ac:dyDescent="0.2">
      <c r="A49" s="2"/>
      <c r="B49" s="5" t="s">
        <v>134</v>
      </c>
      <c r="C49" s="2"/>
      <c r="D49" s="2" t="s">
        <v>73</v>
      </c>
      <c r="E49" s="2"/>
    </row>
    <row r="50" spans="1:6" x14ac:dyDescent="0.2">
      <c r="A50" s="2"/>
      <c r="B50" s="5" t="s">
        <v>135</v>
      </c>
      <c r="C50" s="2"/>
      <c r="D50" s="2"/>
      <c r="E50" s="2"/>
    </row>
    <row r="51" spans="1:6" ht="20" x14ac:dyDescent="0.2">
      <c r="A51" s="2" t="s">
        <v>961</v>
      </c>
      <c r="B51" s="5" t="s">
        <v>137</v>
      </c>
      <c r="C51" s="7">
        <v>323</v>
      </c>
      <c r="D51" s="2" t="s">
        <v>89</v>
      </c>
      <c r="E51" s="8"/>
      <c r="F51" s="16">
        <f t="shared" ref="F51:F58" si="1">C51*E51</f>
        <v>0</v>
      </c>
    </row>
    <row r="52" spans="1:6" x14ac:dyDescent="0.2">
      <c r="A52" s="2"/>
      <c r="B52" s="5" t="s">
        <v>138</v>
      </c>
      <c r="C52" s="2"/>
      <c r="D52" s="2"/>
      <c r="E52" s="2"/>
      <c r="F52" s="16"/>
    </row>
    <row r="53" spans="1:6" ht="20" x14ac:dyDescent="0.2">
      <c r="A53" s="2" t="s">
        <v>962</v>
      </c>
      <c r="B53" s="5" t="s">
        <v>140</v>
      </c>
      <c r="C53" s="7">
        <v>67</v>
      </c>
      <c r="D53" s="2" t="s">
        <v>89</v>
      </c>
      <c r="E53" s="8"/>
      <c r="F53" s="16">
        <f t="shared" si="1"/>
        <v>0</v>
      </c>
    </row>
    <row r="54" spans="1:6" ht="30" x14ac:dyDescent="0.2">
      <c r="A54" s="2" t="s">
        <v>963</v>
      </c>
      <c r="B54" s="5" t="s">
        <v>964</v>
      </c>
      <c r="C54" s="7">
        <v>5</v>
      </c>
      <c r="D54" s="2" t="s">
        <v>89</v>
      </c>
      <c r="E54" s="8"/>
      <c r="F54" s="16">
        <f t="shared" si="1"/>
        <v>0</v>
      </c>
    </row>
    <row r="55" spans="1:6" ht="20" x14ac:dyDescent="0.2">
      <c r="A55" s="2" t="s">
        <v>965</v>
      </c>
      <c r="B55" s="5" t="s">
        <v>142</v>
      </c>
      <c r="C55" s="7">
        <v>6</v>
      </c>
      <c r="D55" s="2" t="s">
        <v>89</v>
      </c>
      <c r="E55" s="8"/>
      <c r="F55" s="16">
        <f t="shared" si="1"/>
        <v>0</v>
      </c>
    </row>
    <row r="56" spans="1:6" x14ac:dyDescent="0.2">
      <c r="A56" s="2" t="s">
        <v>966</v>
      </c>
      <c r="B56" s="5" t="s">
        <v>144</v>
      </c>
      <c r="C56" s="7">
        <v>96</v>
      </c>
      <c r="D56" s="2" t="s">
        <v>89</v>
      </c>
      <c r="E56" s="8"/>
      <c r="F56" s="16">
        <f t="shared" si="1"/>
        <v>0</v>
      </c>
    </row>
    <row r="57" spans="1:6" x14ac:dyDescent="0.2">
      <c r="A57" s="2"/>
      <c r="B57" s="5" t="s">
        <v>145</v>
      </c>
      <c r="C57" s="2"/>
      <c r="D57" s="2"/>
      <c r="E57" s="2"/>
      <c r="F57" s="16"/>
    </row>
    <row r="58" spans="1:6" ht="20" x14ac:dyDescent="0.2">
      <c r="A58" s="2" t="s">
        <v>967</v>
      </c>
      <c r="B58" s="5" t="s">
        <v>147</v>
      </c>
      <c r="C58" s="7">
        <v>117</v>
      </c>
      <c r="D58" s="2" t="s">
        <v>86</v>
      </c>
      <c r="E58" s="8"/>
      <c r="F58" s="16">
        <f t="shared" si="1"/>
        <v>0</v>
      </c>
    </row>
    <row r="59" spans="1:6" x14ac:dyDescent="0.2">
      <c r="A59" s="2"/>
      <c r="B59" s="5" t="s">
        <v>148</v>
      </c>
      <c r="C59" s="2"/>
      <c r="D59" s="2"/>
      <c r="E59" s="2"/>
      <c r="F59" s="16"/>
    </row>
    <row r="60" spans="1:6" ht="20" x14ac:dyDescent="0.2">
      <c r="A60" s="2" t="s">
        <v>968</v>
      </c>
      <c r="B60" s="5" t="s">
        <v>150</v>
      </c>
      <c r="C60" s="7">
        <v>12</v>
      </c>
      <c r="D60" s="2" t="s">
        <v>77</v>
      </c>
      <c r="E60" s="8"/>
      <c r="F60" s="16">
        <f t="shared" ref="F60" si="2">C60*E60</f>
        <v>0</v>
      </c>
    </row>
    <row r="61" spans="1:6" ht="13" x14ac:dyDescent="0.3">
      <c r="B61" s="20" t="s">
        <v>151</v>
      </c>
      <c r="C61" s="9"/>
      <c r="D61" s="3"/>
      <c r="E61" s="9"/>
      <c r="F61" s="18">
        <f>SUM(F51:F60)</f>
        <v>0</v>
      </c>
    </row>
    <row r="63" spans="1:6" ht="10.5" x14ac:dyDescent="0.25">
      <c r="A63" s="6" t="s">
        <v>969</v>
      </c>
      <c r="B63" s="21" t="s">
        <v>153</v>
      </c>
    </row>
    <row r="64" spans="1:6" x14ac:dyDescent="0.2">
      <c r="A64" s="2"/>
      <c r="B64" s="5" t="s">
        <v>154</v>
      </c>
      <c r="C64" s="2"/>
      <c r="D64" s="2"/>
      <c r="E64" s="2"/>
    </row>
    <row r="65" spans="1:6" x14ac:dyDescent="0.2">
      <c r="A65" s="2"/>
      <c r="B65" s="5" t="s">
        <v>128</v>
      </c>
      <c r="C65" s="2"/>
      <c r="D65" s="2"/>
      <c r="E65" s="2"/>
    </row>
    <row r="66" spans="1:6" ht="30" x14ac:dyDescent="0.2">
      <c r="A66" s="2"/>
      <c r="B66" s="5" t="s">
        <v>155</v>
      </c>
      <c r="C66" s="2"/>
      <c r="D66" s="2" t="s">
        <v>73</v>
      </c>
      <c r="E66" s="2"/>
    </row>
    <row r="67" spans="1:6" ht="20" x14ac:dyDescent="0.2">
      <c r="A67" s="2"/>
      <c r="B67" s="5" t="s">
        <v>156</v>
      </c>
      <c r="C67" s="2"/>
      <c r="D67" s="2" t="s">
        <v>73</v>
      </c>
      <c r="E67" s="2"/>
    </row>
    <row r="68" spans="1:6" x14ac:dyDescent="0.2">
      <c r="A68" s="2"/>
      <c r="B68" s="5" t="s">
        <v>138</v>
      </c>
      <c r="C68" s="2"/>
      <c r="D68" s="2"/>
      <c r="E68" s="2"/>
    </row>
    <row r="69" spans="1:6" ht="30" x14ac:dyDescent="0.2">
      <c r="A69" s="2" t="s">
        <v>970</v>
      </c>
      <c r="B69" s="5" t="s">
        <v>158</v>
      </c>
      <c r="C69" s="7">
        <v>113</v>
      </c>
      <c r="D69" s="2" t="s">
        <v>89</v>
      </c>
      <c r="E69" s="8"/>
      <c r="F69" s="16">
        <f t="shared" ref="F69:F73" si="3">C69*E69</f>
        <v>0</v>
      </c>
    </row>
    <row r="70" spans="1:6" ht="30" x14ac:dyDescent="0.2">
      <c r="A70" s="2" t="s">
        <v>971</v>
      </c>
      <c r="B70" s="5" t="s">
        <v>160</v>
      </c>
      <c r="C70" s="7">
        <v>18</v>
      </c>
      <c r="D70" s="2" t="s">
        <v>89</v>
      </c>
      <c r="E70" s="8"/>
      <c r="F70" s="16">
        <f t="shared" si="3"/>
        <v>0</v>
      </c>
    </row>
    <row r="71" spans="1:6" x14ac:dyDescent="0.2">
      <c r="A71" s="2"/>
      <c r="B71" s="5" t="s">
        <v>161</v>
      </c>
      <c r="C71" s="2"/>
      <c r="D71" s="2"/>
      <c r="E71" s="2"/>
      <c r="F71" s="16"/>
    </row>
    <row r="72" spans="1:6" x14ac:dyDescent="0.2">
      <c r="A72" s="2" t="s">
        <v>972</v>
      </c>
      <c r="B72" s="5" t="s">
        <v>163</v>
      </c>
      <c r="C72" s="7">
        <v>14.24</v>
      </c>
      <c r="D72" s="2" t="s">
        <v>86</v>
      </c>
      <c r="E72" s="8"/>
      <c r="F72" s="16">
        <f t="shared" si="3"/>
        <v>0</v>
      </c>
    </row>
    <row r="73" spans="1:6" x14ac:dyDescent="0.2">
      <c r="A73" s="2" t="s">
        <v>973</v>
      </c>
      <c r="B73" s="5" t="s">
        <v>165</v>
      </c>
      <c r="C73" s="7">
        <v>8</v>
      </c>
      <c r="D73" s="2" t="s">
        <v>89</v>
      </c>
      <c r="E73" s="8"/>
      <c r="F73" s="16">
        <f t="shared" si="3"/>
        <v>0</v>
      </c>
    </row>
    <row r="74" spans="1:6" ht="13" x14ac:dyDescent="0.3">
      <c r="B74" s="20" t="s">
        <v>166</v>
      </c>
      <c r="C74" s="9"/>
      <c r="D74" s="3"/>
      <c r="E74" s="9"/>
      <c r="F74" s="18">
        <f>SUM(F69:F73)</f>
        <v>0</v>
      </c>
    </row>
    <row r="76" spans="1:6" ht="10.5" x14ac:dyDescent="0.25">
      <c r="A76" s="6" t="s">
        <v>974</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40" x14ac:dyDescent="0.2">
      <c r="A80" s="2" t="s">
        <v>975</v>
      </c>
      <c r="B80" s="5" t="s">
        <v>172</v>
      </c>
      <c r="C80" s="7">
        <v>149</v>
      </c>
      <c r="D80" s="2" t="s">
        <v>89</v>
      </c>
      <c r="E80" s="8"/>
      <c r="F80" s="16">
        <f t="shared" ref="F80" si="4">C80*E80</f>
        <v>0</v>
      </c>
    </row>
    <row r="81" spans="1:6" ht="13" x14ac:dyDescent="0.3">
      <c r="B81" s="20" t="s">
        <v>173</v>
      </c>
      <c r="C81" s="9"/>
      <c r="D81" s="3"/>
      <c r="E81" s="9"/>
      <c r="F81" s="18">
        <f>SUM(F80)</f>
        <v>0</v>
      </c>
    </row>
    <row r="83" spans="1:6" ht="10.5" x14ac:dyDescent="0.25">
      <c r="A83" s="6" t="s">
        <v>976</v>
      </c>
      <c r="B83" s="21" t="s">
        <v>175</v>
      </c>
    </row>
    <row r="84" spans="1:6" x14ac:dyDescent="0.2">
      <c r="A84" s="2"/>
      <c r="B84" s="5" t="s">
        <v>176</v>
      </c>
      <c r="C84" s="2"/>
      <c r="D84" s="2"/>
      <c r="E84" s="2"/>
    </row>
    <row r="85" spans="1:6" x14ac:dyDescent="0.2">
      <c r="A85" s="2"/>
      <c r="B85" s="5" t="s">
        <v>128</v>
      </c>
      <c r="C85" s="2"/>
      <c r="D85" s="2"/>
      <c r="E85" s="2"/>
    </row>
    <row r="86" spans="1:6" ht="20" x14ac:dyDescent="0.2">
      <c r="A86" s="2"/>
      <c r="B86" s="5" t="s">
        <v>177</v>
      </c>
      <c r="C86" s="2"/>
      <c r="D86" s="2" t="s">
        <v>73</v>
      </c>
      <c r="E86" s="2"/>
    </row>
    <row r="87" spans="1:6" x14ac:dyDescent="0.2">
      <c r="A87" s="2"/>
      <c r="B87" s="5" t="s">
        <v>148</v>
      </c>
      <c r="C87" s="2"/>
      <c r="D87" s="2"/>
      <c r="E87" s="2"/>
    </row>
    <row r="88" spans="1:6" ht="30" x14ac:dyDescent="0.2">
      <c r="A88" s="2" t="s">
        <v>977</v>
      </c>
      <c r="B88" s="5" t="s">
        <v>179</v>
      </c>
      <c r="C88" s="7">
        <v>1</v>
      </c>
      <c r="D88" s="2" t="s">
        <v>77</v>
      </c>
      <c r="E88" s="8"/>
      <c r="F88" s="16">
        <f>C88*E88</f>
        <v>0</v>
      </c>
    </row>
    <row r="89" spans="1:6" ht="20" x14ac:dyDescent="0.2">
      <c r="A89" s="2" t="s">
        <v>978</v>
      </c>
      <c r="B89" s="5" t="s">
        <v>181</v>
      </c>
      <c r="C89" s="7">
        <v>12</v>
      </c>
      <c r="D89" s="2" t="s">
        <v>77</v>
      </c>
      <c r="E89" s="8"/>
      <c r="F89" s="16">
        <f>C89*E89</f>
        <v>0</v>
      </c>
    </row>
    <row r="90" spans="1:6" ht="20" x14ac:dyDescent="0.2">
      <c r="A90" s="2" t="s">
        <v>979</v>
      </c>
      <c r="B90" s="5" t="s">
        <v>183</v>
      </c>
      <c r="C90" s="7">
        <v>1</v>
      </c>
      <c r="D90" s="2" t="s">
        <v>77</v>
      </c>
      <c r="E90" s="8"/>
      <c r="F90" s="16">
        <f t="shared" ref="F90" si="5">C90*E90</f>
        <v>0</v>
      </c>
    </row>
    <row r="91" spans="1:6" ht="13" x14ac:dyDescent="0.3">
      <c r="B91" s="20" t="s">
        <v>184</v>
      </c>
      <c r="C91" s="9"/>
      <c r="D91" s="3"/>
      <c r="E91" s="9"/>
      <c r="F91" s="18">
        <f>SUM(F86:F90)</f>
        <v>0</v>
      </c>
    </row>
    <row r="93" spans="1:6" ht="10.5" x14ac:dyDescent="0.25">
      <c r="A93" s="6" t="s">
        <v>980</v>
      </c>
      <c r="B93" s="21" t="s">
        <v>186</v>
      </c>
    </row>
    <row r="94" spans="1:6" x14ac:dyDescent="0.2">
      <c r="A94" s="2"/>
      <c r="B94" s="5" t="s">
        <v>187</v>
      </c>
      <c r="C94" s="2"/>
      <c r="D94" s="2"/>
      <c r="E94" s="2"/>
    </row>
    <row r="95" spans="1:6" x14ac:dyDescent="0.2">
      <c r="A95" s="2"/>
      <c r="B95" s="5" t="s">
        <v>71</v>
      </c>
      <c r="C95" s="2"/>
      <c r="D95" s="2"/>
      <c r="E95" s="2"/>
    </row>
    <row r="96" spans="1:6" ht="30" x14ac:dyDescent="0.2">
      <c r="A96" s="2"/>
      <c r="B96" s="5" t="s">
        <v>188</v>
      </c>
      <c r="C96" s="2"/>
      <c r="D96" s="2" t="s">
        <v>73</v>
      </c>
      <c r="E96" s="2"/>
    </row>
    <row r="97" spans="1:6" ht="20" x14ac:dyDescent="0.2">
      <c r="A97" s="2"/>
      <c r="B97" s="5" t="s">
        <v>189</v>
      </c>
      <c r="C97" s="2"/>
      <c r="D97" s="2" t="s">
        <v>73</v>
      </c>
      <c r="E97" s="2"/>
    </row>
    <row r="98" spans="1:6" ht="30" x14ac:dyDescent="0.2">
      <c r="A98" s="2"/>
      <c r="B98" s="5" t="s">
        <v>190</v>
      </c>
      <c r="C98" s="2"/>
      <c r="D98" s="2" t="s">
        <v>73</v>
      </c>
      <c r="E98" s="2"/>
    </row>
    <row r="99" spans="1:6" ht="30" x14ac:dyDescent="0.2">
      <c r="A99" s="2"/>
      <c r="B99" s="5" t="s">
        <v>191</v>
      </c>
      <c r="C99" s="2"/>
      <c r="D99" s="2" t="s">
        <v>73</v>
      </c>
      <c r="E99" s="2"/>
    </row>
    <row r="100" spans="1:6" x14ac:dyDescent="0.2">
      <c r="A100" s="2"/>
      <c r="B100" s="5" t="s">
        <v>192</v>
      </c>
      <c r="C100" s="2"/>
      <c r="D100" s="2"/>
      <c r="E100" s="2"/>
    </row>
    <row r="101" spans="1:6" ht="30" x14ac:dyDescent="0.2">
      <c r="A101" s="2" t="s">
        <v>981</v>
      </c>
      <c r="B101" s="5" t="s">
        <v>194</v>
      </c>
      <c r="C101" s="7">
        <v>9.64</v>
      </c>
      <c r="D101" s="2" t="s">
        <v>86</v>
      </c>
      <c r="E101" s="8"/>
      <c r="F101" s="16">
        <f>C101*E101</f>
        <v>0</v>
      </c>
    </row>
    <row r="102" spans="1:6" x14ac:dyDescent="0.2">
      <c r="A102" s="2"/>
      <c r="B102" s="5" t="s">
        <v>195</v>
      </c>
      <c r="C102" s="2"/>
      <c r="D102" s="2"/>
      <c r="E102" s="2"/>
      <c r="F102" s="16"/>
    </row>
    <row r="103" spans="1:6" ht="30" x14ac:dyDescent="0.2">
      <c r="A103" s="2" t="s">
        <v>982</v>
      </c>
      <c r="B103" s="5" t="s">
        <v>197</v>
      </c>
      <c r="C103" s="7">
        <v>4.2</v>
      </c>
      <c r="D103" s="2" t="s">
        <v>86</v>
      </c>
      <c r="E103" s="8"/>
      <c r="F103" s="16">
        <f t="shared" ref="F103:F114" si="6">C103*E103</f>
        <v>0</v>
      </c>
    </row>
    <row r="104" spans="1:6" x14ac:dyDescent="0.2">
      <c r="A104" s="2"/>
      <c r="B104" s="5" t="s">
        <v>198</v>
      </c>
      <c r="C104" s="2"/>
      <c r="D104" s="2"/>
      <c r="E104" s="2"/>
      <c r="F104" s="16"/>
    </row>
    <row r="105" spans="1:6" ht="30" x14ac:dyDescent="0.2">
      <c r="A105" s="2" t="s">
        <v>983</v>
      </c>
      <c r="B105" s="5" t="s">
        <v>200</v>
      </c>
      <c r="C105" s="7">
        <v>5.96</v>
      </c>
      <c r="D105" s="2" t="s">
        <v>86</v>
      </c>
      <c r="E105" s="8"/>
      <c r="F105" s="16">
        <f t="shared" si="6"/>
        <v>0</v>
      </c>
    </row>
    <row r="106" spans="1:6" x14ac:dyDescent="0.2">
      <c r="A106" s="2"/>
      <c r="B106" s="5" t="s">
        <v>203</v>
      </c>
      <c r="C106" s="2"/>
      <c r="D106" s="2"/>
      <c r="E106" s="2"/>
      <c r="F106" s="16">
        <f t="shared" si="6"/>
        <v>0</v>
      </c>
    </row>
    <row r="107" spans="1:6" ht="20" x14ac:dyDescent="0.2">
      <c r="A107" s="2" t="s">
        <v>984</v>
      </c>
      <c r="B107" s="5" t="s">
        <v>205</v>
      </c>
      <c r="C107" s="7">
        <v>2.68</v>
      </c>
      <c r="D107" s="2" t="s">
        <v>86</v>
      </c>
      <c r="E107" s="8"/>
      <c r="F107" s="16"/>
    </row>
    <row r="108" spans="1:6" x14ac:dyDescent="0.2">
      <c r="A108" s="2"/>
      <c r="B108" s="5" t="s">
        <v>206</v>
      </c>
      <c r="C108" s="2"/>
      <c r="D108" s="2"/>
      <c r="E108" s="2"/>
      <c r="F108" s="16">
        <f t="shared" si="6"/>
        <v>0</v>
      </c>
    </row>
    <row r="109" spans="1:6" ht="20" x14ac:dyDescent="0.2">
      <c r="A109" s="2" t="s">
        <v>985</v>
      </c>
      <c r="B109" s="5" t="s">
        <v>208</v>
      </c>
      <c r="C109" s="7">
        <v>1.83</v>
      </c>
      <c r="D109" s="2" t="s">
        <v>86</v>
      </c>
      <c r="E109" s="8"/>
      <c r="F109" s="16"/>
    </row>
    <row r="110" spans="1:6" x14ac:dyDescent="0.2">
      <c r="A110" s="2"/>
      <c r="B110" s="5" t="s">
        <v>209</v>
      </c>
      <c r="C110" s="2"/>
      <c r="D110" s="2"/>
      <c r="E110" s="2"/>
      <c r="F110" s="16">
        <f t="shared" si="6"/>
        <v>0</v>
      </c>
    </row>
    <row r="111" spans="1:6" x14ac:dyDescent="0.2">
      <c r="A111" s="2" t="s">
        <v>986</v>
      </c>
      <c r="B111" s="5" t="s">
        <v>987</v>
      </c>
      <c r="C111" s="7">
        <v>1</v>
      </c>
      <c r="D111" s="2" t="s">
        <v>77</v>
      </c>
      <c r="E111" s="8"/>
      <c r="F111" s="16"/>
    </row>
    <row r="112" spans="1:6" x14ac:dyDescent="0.2">
      <c r="A112" s="2" t="s">
        <v>988</v>
      </c>
      <c r="B112" s="5" t="s">
        <v>211</v>
      </c>
      <c r="C112" s="7">
        <v>1</v>
      </c>
      <c r="D112" s="2" t="s">
        <v>77</v>
      </c>
      <c r="E112" s="8"/>
      <c r="F112" s="16">
        <f t="shared" si="6"/>
        <v>0</v>
      </c>
    </row>
    <row r="113" spans="1:6" x14ac:dyDescent="0.2">
      <c r="A113" s="2" t="s">
        <v>989</v>
      </c>
      <c r="B113" s="5" t="s">
        <v>213</v>
      </c>
      <c r="C113" s="7">
        <v>2</v>
      </c>
      <c r="D113" s="2" t="s">
        <v>77</v>
      </c>
      <c r="E113" s="8"/>
      <c r="F113" s="16">
        <f t="shared" si="6"/>
        <v>0</v>
      </c>
    </row>
    <row r="114" spans="1:6" x14ac:dyDescent="0.2">
      <c r="A114" s="2"/>
      <c r="B114" s="5" t="s">
        <v>214</v>
      </c>
      <c r="C114" s="2"/>
      <c r="D114" s="2"/>
      <c r="E114" s="2"/>
      <c r="F114" s="16">
        <f t="shared" si="6"/>
        <v>0</v>
      </c>
    </row>
    <row r="115" spans="1:6" x14ac:dyDescent="0.2">
      <c r="A115" s="2" t="s">
        <v>990</v>
      </c>
      <c r="B115" s="5" t="s">
        <v>216</v>
      </c>
      <c r="C115" s="7">
        <v>1</v>
      </c>
      <c r="D115" s="2" t="s">
        <v>77</v>
      </c>
      <c r="E115" s="8"/>
    </row>
    <row r="116" spans="1:6" x14ac:dyDescent="0.2">
      <c r="A116" s="2" t="s">
        <v>991</v>
      </c>
      <c r="B116" s="5" t="s">
        <v>992</v>
      </c>
      <c r="C116" s="7">
        <v>1</v>
      </c>
      <c r="D116" s="2" t="s">
        <v>77</v>
      </c>
      <c r="E116" s="8"/>
      <c r="F116" s="16">
        <f>C116*E116</f>
        <v>0</v>
      </c>
    </row>
    <row r="117" spans="1:6" x14ac:dyDescent="0.2">
      <c r="A117" s="2" t="s">
        <v>993</v>
      </c>
      <c r="B117" s="5" t="s">
        <v>218</v>
      </c>
      <c r="C117" s="7">
        <v>2</v>
      </c>
      <c r="D117" s="2" t="s">
        <v>77</v>
      </c>
      <c r="E117" s="8"/>
      <c r="F117" s="16">
        <f>C117*E117</f>
        <v>0</v>
      </c>
    </row>
    <row r="118" spans="1:6" ht="13" x14ac:dyDescent="0.3">
      <c r="B118" s="20" t="s">
        <v>219</v>
      </c>
      <c r="C118" s="9"/>
      <c r="D118" s="3"/>
      <c r="E118" s="9"/>
      <c r="F118" s="18">
        <f>SUM(F113:F117)</f>
        <v>0</v>
      </c>
    </row>
    <row r="119" spans="1:6" ht="13" x14ac:dyDescent="0.3">
      <c r="F119" s="18"/>
    </row>
    <row r="120" spans="1:6" ht="10.5" x14ac:dyDescent="0.25">
      <c r="A120" s="6" t="s">
        <v>994</v>
      </c>
      <c r="B120" s="21" t="s">
        <v>221</v>
      </c>
    </row>
    <row r="121" spans="1:6" x14ac:dyDescent="0.2">
      <c r="A121" s="2"/>
      <c r="B121" s="5" t="s">
        <v>222</v>
      </c>
      <c r="C121" s="2"/>
      <c r="D121" s="2"/>
      <c r="E121" s="2"/>
    </row>
    <row r="122" spans="1:6" x14ac:dyDescent="0.2">
      <c r="A122" s="2"/>
      <c r="B122" s="5" t="s">
        <v>192</v>
      </c>
      <c r="C122" s="2"/>
      <c r="D122" s="2"/>
      <c r="E122" s="2"/>
    </row>
    <row r="123" spans="1:6" x14ac:dyDescent="0.2">
      <c r="A123" s="2" t="s">
        <v>995</v>
      </c>
      <c r="B123" s="5" t="s">
        <v>224</v>
      </c>
      <c r="C123" s="7">
        <v>1</v>
      </c>
      <c r="D123" s="2" t="s">
        <v>77</v>
      </c>
      <c r="E123" s="8"/>
      <c r="F123" s="16">
        <f>C123*E123</f>
        <v>0</v>
      </c>
    </row>
    <row r="124" spans="1:6" x14ac:dyDescent="0.2">
      <c r="A124" s="2" t="s">
        <v>996</v>
      </c>
      <c r="B124" s="5" t="s">
        <v>226</v>
      </c>
      <c r="C124" s="2"/>
      <c r="D124" s="2"/>
      <c r="E124" s="2"/>
      <c r="F124" s="2" t="s">
        <v>227</v>
      </c>
    </row>
    <row r="125" spans="1:6" x14ac:dyDescent="0.2">
      <c r="A125" s="2" t="s">
        <v>997</v>
      </c>
      <c r="B125" s="5" t="s">
        <v>229</v>
      </c>
      <c r="C125" s="7">
        <v>1</v>
      </c>
      <c r="D125" s="2" t="s">
        <v>77</v>
      </c>
      <c r="E125" s="8"/>
      <c r="F125" s="16">
        <f t="shared" ref="F125" si="7">C125*E125</f>
        <v>0</v>
      </c>
    </row>
    <row r="126" spans="1:6" x14ac:dyDescent="0.2">
      <c r="A126" s="2" t="s">
        <v>998</v>
      </c>
      <c r="B126" s="5" t="s">
        <v>231</v>
      </c>
      <c r="C126" s="7">
        <v>1</v>
      </c>
      <c r="D126" s="2" t="s">
        <v>77</v>
      </c>
      <c r="E126" s="8"/>
      <c r="F126" s="16">
        <f>C126*E126</f>
        <v>0</v>
      </c>
    </row>
    <row r="127" spans="1:6" x14ac:dyDescent="0.2">
      <c r="A127" s="2" t="s">
        <v>999</v>
      </c>
      <c r="B127" s="5" t="s">
        <v>233</v>
      </c>
      <c r="C127" s="2"/>
      <c r="D127" s="2"/>
      <c r="E127" s="2"/>
      <c r="F127" s="2" t="s">
        <v>227</v>
      </c>
    </row>
    <row r="128" spans="1:6" x14ac:dyDescent="0.2">
      <c r="A128" s="2" t="s">
        <v>1000</v>
      </c>
      <c r="B128" s="5" t="s">
        <v>235</v>
      </c>
      <c r="C128" s="2"/>
      <c r="D128" s="2"/>
      <c r="E128" s="2"/>
      <c r="F128" s="2" t="s">
        <v>227</v>
      </c>
    </row>
    <row r="129" spans="1:6" x14ac:dyDescent="0.2">
      <c r="A129" s="2" t="s">
        <v>1001</v>
      </c>
      <c r="B129" s="5" t="s">
        <v>237</v>
      </c>
      <c r="C129" s="2"/>
      <c r="D129" s="2"/>
      <c r="E129" s="2"/>
      <c r="F129" s="2" t="s">
        <v>227</v>
      </c>
    </row>
    <row r="130" spans="1:6" x14ac:dyDescent="0.2">
      <c r="A130" s="2" t="s">
        <v>1002</v>
      </c>
      <c r="B130" s="5" t="s">
        <v>239</v>
      </c>
      <c r="C130" s="2"/>
      <c r="D130" s="2"/>
      <c r="E130" s="2"/>
      <c r="F130" s="2" t="s">
        <v>227</v>
      </c>
    </row>
    <row r="131" spans="1:6" x14ac:dyDescent="0.2">
      <c r="A131" s="2" t="s">
        <v>1003</v>
      </c>
      <c r="B131" s="5" t="s">
        <v>241</v>
      </c>
      <c r="C131" s="7">
        <v>1</v>
      </c>
      <c r="D131" s="2" t="s">
        <v>77</v>
      </c>
      <c r="E131" s="8"/>
      <c r="F131" s="16">
        <f t="shared" ref="F131" si="8">C131*E131</f>
        <v>0</v>
      </c>
    </row>
    <row r="132" spans="1:6" x14ac:dyDescent="0.2">
      <c r="A132" s="2"/>
      <c r="B132" s="5" t="s">
        <v>195</v>
      </c>
      <c r="C132" s="2"/>
      <c r="D132" s="2"/>
      <c r="E132" s="2"/>
    </row>
    <row r="133" spans="1:6" x14ac:dyDescent="0.2">
      <c r="A133" s="2" t="s">
        <v>1004</v>
      </c>
      <c r="B133" s="5" t="s">
        <v>243</v>
      </c>
      <c r="C133" s="2"/>
      <c r="D133" s="2"/>
      <c r="E133" s="2"/>
      <c r="F133" s="2" t="s">
        <v>227</v>
      </c>
    </row>
    <row r="134" spans="1:6" x14ac:dyDescent="0.2">
      <c r="A134" s="2" t="s">
        <v>1005</v>
      </c>
      <c r="B134" s="5" t="s">
        <v>245</v>
      </c>
      <c r="C134" s="7">
        <v>1</v>
      </c>
      <c r="D134" s="2" t="s">
        <v>77</v>
      </c>
      <c r="E134" s="8"/>
      <c r="F134" s="16">
        <f>C134*E134</f>
        <v>0</v>
      </c>
    </row>
    <row r="135" spans="1:6" x14ac:dyDescent="0.2">
      <c r="A135" s="2" t="s">
        <v>1006</v>
      </c>
      <c r="B135" s="5" t="s">
        <v>247</v>
      </c>
      <c r="C135" s="7">
        <v>1</v>
      </c>
      <c r="D135" s="2" t="s">
        <v>77</v>
      </c>
      <c r="E135" s="8"/>
      <c r="F135" s="16">
        <f t="shared" ref="F135:F138" si="9">C135*E135</f>
        <v>0</v>
      </c>
    </row>
    <row r="136" spans="1:6" x14ac:dyDescent="0.2">
      <c r="A136" s="2" t="s">
        <v>1007</v>
      </c>
      <c r="B136" s="5" t="s">
        <v>249</v>
      </c>
      <c r="C136" s="7">
        <v>1</v>
      </c>
      <c r="D136" s="2" t="s">
        <v>77</v>
      </c>
      <c r="E136" s="8"/>
      <c r="F136" s="16">
        <f t="shared" si="9"/>
        <v>0</v>
      </c>
    </row>
    <row r="137" spans="1:6" x14ac:dyDescent="0.2">
      <c r="A137" s="2"/>
      <c r="B137" s="5" t="s">
        <v>250</v>
      </c>
      <c r="C137" s="2"/>
      <c r="D137" s="2"/>
      <c r="E137" s="2"/>
      <c r="F137" s="16"/>
    </row>
    <row r="138" spans="1:6" x14ac:dyDescent="0.2">
      <c r="A138" s="2" t="s">
        <v>1008</v>
      </c>
      <c r="B138" s="5" t="s">
        <v>252</v>
      </c>
      <c r="C138" s="7">
        <v>1</v>
      </c>
      <c r="D138" s="2" t="s">
        <v>77</v>
      </c>
      <c r="E138" s="8"/>
      <c r="F138" s="16">
        <f t="shared" si="9"/>
        <v>0</v>
      </c>
    </row>
    <row r="139" spans="1:6" x14ac:dyDescent="0.2">
      <c r="A139" s="2" t="s">
        <v>1009</v>
      </c>
      <c r="B139" s="5" t="s">
        <v>254</v>
      </c>
      <c r="C139" s="7">
        <v>1</v>
      </c>
      <c r="D139" s="2" t="s">
        <v>77</v>
      </c>
      <c r="E139" s="8"/>
      <c r="F139" s="16">
        <f t="shared" ref="F139:F159" si="10">C139*E139</f>
        <v>0</v>
      </c>
    </row>
    <row r="140" spans="1:6" x14ac:dyDescent="0.2">
      <c r="A140" s="2" t="s">
        <v>1010</v>
      </c>
      <c r="B140" s="5" t="s">
        <v>256</v>
      </c>
      <c r="C140" s="7">
        <v>1</v>
      </c>
      <c r="D140" s="2" t="s">
        <v>77</v>
      </c>
      <c r="E140" s="8"/>
      <c r="F140" s="16">
        <f t="shared" si="10"/>
        <v>0</v>
      </c>
    </row>
    <row r="141" spans="1:6" x14ac:dyDescent="0.2">
      <c r="A141" s="2" t="s">
        <v>1011</v>
      </c>
      <c r="B141" s="5" t="s">
        <v>258</v>
      </c>
      <c r="C141" s="7">
        <v>1</v>
      </c>
      <c r="D141" s="2" t="s">
        <v>77</v>
      </c>
      <c r="E141" s="8"/>
      <c r="F141" s="16">
        <f t="shared" si="10"/>
        <v>0</v>
      </c>
    </row>
    <row r="142" spans="1:6" x14ac:dyDescent="0.2">
      <c r="A142" s="2" t="s">
        <v>1012</v>
      </c>
      <c r="B142" s="5" t="s">
        <v>260</v>
      </c>
      <c r="C142" s="7">
        <v>1</v>
      </c>
      <c r="D142" s="2" t="s">
        <v>77</v>
      </c>
      <c r="E142" s="8"/>
      <c r="F142" s="16">
        <f t="shared" si="10"/>
        <v>0</v>
      </c>
    </row>
    <row r="143" spans="1:6" x14ac:dyDescent="0.2">
      <c r="A143" s="2"/>
      <c r="B143" s="5" t="s">
        <v>261</v>
      </c>
      <c r="C143" s="2"/>
      <c r="D143" s="2"/>
      <c r="E143" s="2"/>
      <c r="F143" s="16"/>
    </row>
    <row r="144" spans="1:6" x14ac:dyDescent="0.2">
      <c r="A144" s="2" t="s">
        <v>1013</v>
      </c>
      <c r="B144" s="5" t="s">
        <v>263</v>
      </c>
      <c r="C144" s="7">
        <v>2</v>
      </c>
      <c r="D144" s="2" t="s">
        <v>77</v>
      </c>
      <c r="E144" s="8"/>
      <c r="F144" s="16">
        <f t="shared" si="10"/>
        <v>0</v>
      </c>
    </row>
    <row r="145" spans="1:6" x14ac:dyDescent="0.2">
      <c r="A145" s="2" t="s">
        <v>1014</v>
      </c>
      <c r="B145" s="5" t="s">
        <v>252</v>
      </c>
      <c r="C145" s="7">
        <v>1</v>
      </c>
      <c r="D145" s="2" t="s">
        <v>77</v>
      </c>
      <c r="E145" s="8"/>
      <c r="F145" s="16">
        <f t="shared" si="10"/>
        <v>0</v>
      </c>
    </row>
    <row r="146" spans="1:6" x14ac:dyDescent="0.2">
      <c r="A146" s="2" t="s">
        <v>1015</v>
      </c>
      <c r="B146" s="5" t="s">
        <v>254</v>
      </c>
      <c r="C146" s="7">
        <v>3</v>
      </c>
      <c r="D146" s="2" t="s">
        <v>77</v>
      </c>
      <c r="E146" s="8"/>
      <c r="F146" s="16">
        <f t="shared" si="10"/>
        <v>0</v>
      </c>
    </row>
    <row r="147" spans="1:6" x14ac:dyDescent="0.2">
      <c r="A147" s="2" t="s">
        <v>1016</v>
      </c>
      <c r="B147" s="5" t="s">
        <v>267</v>
      </c>
      <c r="C147" s="7">
        <v>1</v>
      </c>
      <c r="D147" s="2" t="s">
        <v>77</v>
      </c>
      <c r="E147" s="8"/>
      <c r="F147" s="16">
        <f t="shared" si="10"/>
        <v>0</v>
      </c>
    </row>
    <row r="148" spans="1:6" x14ac:dyDescent="0.2">
      <c r="A148" s="2" t="s">
        <v>1017</v>
      </c>
      <c r="B148" s="5" t="s">
        <v>269</v>
      </c>
      <c r="C148" s="7">
        <v>2</v>
      </c>
      <c r="D148" s="2" t="s">
        <v>77</v>
      </c>
      <c r="E148" s="8"/>
      <c r="F148" s="16">
        <f t="shared" si="10"/>
        <v>0</v>
      </c>
    </row>
    <row r="149" spans="1:6" x14ac:dyDescent="0.2">
      <c r="A149" s="2" t="s">
        <v>1018</v>
      </c>
      <c r="B149" s="5" t="s">
        <v>256</v>
      </c>
      <c r="C149" s="7">
        <v>3</v>
      </c>
      <c r="D149" s="2" t="s">
        <v>77</v>
      </c>
      <c r="E149" s="8"/>
      <c r="F149" s="16">
        <f t="shared" si="10"/>
        <v>0</v>
      </c>
    </row>
    <row r="150" spans="1:6" x14ac:dyDescent="0.2">
      <c r="A150" s="2" t="s">
        <v>1019</v>
      </c>
      <c r="B150" s="5" t="s">
        <v>272</v>
      </c>
      <c r="C150" s="7">
        <v>4</v>
      </c>
      <c r="D150" s="2" t="s">
        <v>77</v>
      </c>
      <c r="E150" s="8"/>
      <c r="F150" s="16">
        <f>C150*E150</f>
        <v>0</v>
      </c>
    </row>
    <row r="151" spans="1:6" x14ac:dyDescent="0.2">
      <c r="A151" s="2" t="s">
        <v>1020</v>
      </c>
      <c r="B151" s="5" t="s">
        <v>274</v>
      </c>
      <c r="C151" s="7">
        <v>2</v>
      </c>
      <c r="D151" s="2" t="s">
        <v>77</v>
      </c>
      <c r="E151" s="8"/>
      <c r="F151" s="16">
        <f t="shared" si="10"/>
        <v>0</v>
      </c>
    </row>
    <row r="152" spans="1:6" x14ac:dyDescent="0.2">
      <c r="A152" s="2" t="s">
        <v>1021</v>
      </c>
      <c r="B152" s="5" t="s">
        <v>276</v>
      </c>
      <c r="C152" s="7">
        <v>2</v>
      </c>
      <c r="D152" s="2" t="s">
        <v>77</v>
      </c>
      <c r="E152" s="8"/>
      <c r="F152" s="16">
        <f t="shared" si="10"/>
        <v>0</v>
      </c>
    </row>
    <row r="153" spans="1:6" x14ac:dyDescent="0.2">
      <c r="A153" s="2" t="s">
        <v>1022</v>
      </c>
      <c r="B153" s="5" t="s">
        <v>278</v>
      </c>
      <c r="C153" s="7">
        <v>2</v>
      </c>
      <c r="D153" s="2" t="s">
        <v>77</v>
      </c>
      <c r="E153" s="8"/>
      <c r="F153" s="16">
        <f t="shared" si="10"/>
        <v>0</v>
      </c>
    </row>
    <row r="154" spans="1:6" x14ac:dyDescent="0.2">
      <c r="A154" s="2" t="s">
        <v>1023</v>
      </c>
      <c r="B154" s="5" t="s">
        <v>258</v>
      </c>
      <c r="C154" s="7">
        <v>1</v>
      </c>
      <c r="D154" s="2" t="s">
        <v>77</v>
      </c>
      <c r="E154" s="8"/>
      <c r="F154" s="16">
        <f t="shared" si="10"/>
        <v>0</v>
      </c>
    </row>
    <row r="155" spans="1:6" x14ac:dyDescent="0.2">
      <c r="A155" s="2" t="s">
        <v>1024</v>
      </c>
      <c r="B155" s="5" t="s">
        <v>260</v>
      </c>
      <c r="C155" s="7">
        <v>1</v>
      </c>
      <c r="D155" s="2" t="s">
        <v>77</v>
      </c>
      <c r="E155" s="8"/>
      <c r="F155" s="16">
        <f t="shared" si="10"/>
        <v>0</v>
      </c>
    </row>
    <row r="156" spans="1:6" x14ac:dyDescent="0.2">
      <c r="A156" s="2" t="s">
        <v>1025</v>
      </c>
      <c r="B156" s="5" t="s">
        <v>282</v>
      </c>
      <c r="C156" s="7">
        <v>1</v>
      </c>
      <c r="D156" s="2" t="s">
        <v>77</v>
      </c>
      <c r="E156" s="8"/>
      <c r="F156" s="16">
        <f t="shared" si="10"/>
        <v>0</v>
      </c>
    </row>
    <row r="157" spans="1:6" x14ac:dyDescent="0.2">
      <c r="A157" s="2" t="s">
        <v>1026</v>
      </c>
      <c r="B157" s="5" t="s">
        <v>284</v>
      </c>
      <c r="C157" s="7">
        <v>2</v>
      </c>
      <c r="D157" s="2" t="s">
        <v>77</v>
      </c>
      <c r="E157" s="8"/>
      <c r="F157" s="16">
        <f>C157*E157</f>
        <v>0</v>
      </c>
    </row>
    <row r="158" spans="1:6" x14ac:dyDescent="0.2">
      <c r="A158" s="2"/>
      <c r="B158" s="5" t="s">
        <v>285</v>
      </c>
      <c r="C158" s="2"/>
      <c r="D158" s="2"/>
      <c r="E158" s="2"/>
    </row>
    <row r="159" spans="1:6" ht="40" x14ac:dyDescent="0.2">
      <c r="A159" s="2" t="s">
        <v>1027</v>
      </c>
      <c r="B159" s="5" t="s">
        <v>287</v>
      </c>
      <c r="C159" s="7">
        <v>6.58</v>
      </c>
      <c r="D159" s="2" t="s">
        <v>86</v>
      </c>
      <c r="E159" s="8"/>
      <c r="F159" s="16">
        <f t="shared" si="10"/>
        <v>0</v>
      </c>
    </row>
    <row r="160" spans="1:6" ht="13" x14ac:dyDescent="0.3">
      <c r="B160" s="20" t="s">
        <v>288</v>
      </c>
      <c r="C160" s="9"/>
      <c r="D160" s="3"/>
      <c r="E160" s="9"/>
      <c r="F160" s="18">
        <f>SUM(F123:F159)</f>
        <v>0</v>
      </c>
    </row>
    <row r="162" spans="1:6" ht="10.5" x14ac:dyDescent="0.25">
      <c r="A162" s="6" t="s">
        <v>1028</v>
      </c>
      <c r="B162" s="21" t="s">
        <v>290</v>
      </c>
    </row>
    <row r="163" spans="1:6" x14ac:dyDescent="0.2">
      <c r="A163" s="2"/>
      <c r="B163" s="5" t="s">
        <v>431</v>
      </c>
      <c r="C163" s="2"/>
      <c r="D163" s="2"/>
      <c r="E163" s="2"/>
      <c r="F163" s="16"/>
    </row>
    <row r="164" spans="1:6" x14ac:dyDescent="0.2">
      <c r="A164" s="2"/>
      <c r="B164" s="5" t="s">
        <v>128</v>
      </c>
      <c r="C164" s="2"/>
      <c r="D164" s="2"/>
      <c r="E164" s="2"/>
      <c r="F164" s="16"/>
    </row>
    <row r="165" spans="1:6" x14ac:dyDescent="0.2">
      <c r="A165" s="2"/>
      <c r="B165" s="5" t="s">
        <v>291</v>
      </c>
      <c r="C165" s="2"/>
      <c r="D165" s="2" t="s">
        <v>73</v>
      </c>
      <c r="E165" s="2"/>
    </row>
    <row r="166" spans="1:6" ht="20" x14ac:dyDescent="0.2">
      <c r="A166" s="2"/>
      <c r="B166" s="5" t="s">
        <v>292</v>
      </c>
      <c r="C166" s="2"/>
      <c r="D166" s="2" t="s">
        <v>73</v>
      </c>
      <c r="E166" s="2"/>
      <c r="F166" s="16"/>
    </row>
    <row r="167" spans="1:6" ht="13" x14ac:dyDescent="0.3">
      <c r="A167" s="2"/>
      <c r="B167" s="5" t="s">
        <v>293</v>
      </c>
      <c r="C167" s="2"/>
      <c r="D167" s="2"/>
      <c r="E167" s="2"/>
      <c r="F167" s="18"/>
    </row>
    <row r="168" spans="1:6" ht="30" x14ac:dyDescent="0.2">
      <c r="A168" s="2" t="s">
        <v>1029</v>
      </c>
      <c r="B168" s="5" t="s">
        <v>295</v>
      </c>
      <c r="C168" s="7">
        <v>55</v>
      </c>
      <c r="D168" s="2" t="s">
        <v>89</v>
      </c>
      <c r="E168" s="8"/>
      <c r="F168" s="16">
        <f>C168*E168</f>
        <v>0</v>
      </c>
    </row>
    <row r="169" spans="1:6" ht="40" x14ac:dyDescent="0.2">
      <c r="A169" s="2" t="s">
        <v>1030</v>
      </c>
      <c r="B169" s="5" t="s">
        <v>297</v>
      </c>
      <c r="C169" s="7">
        <v>5</v>
      </c>
      <c r="D169" s="2" t="s">
        <v>86</v>
      </c>
      <c r="E169" s="8"/>
      <c r="F169" s="16">
        <f t="shared" ref="F169" si="11">C169*E169</f>
        <v>0</v>
      </c>
    </row>
    <row r="170" spans="1:6" x14ac:dyDescent="0.2">
      <c r="A170" s="2"/>
      <c r="B170" s="5" t="s">
        <v>298</v>
      </c>
      <c r="C170" s="2"/>
      <c r="D170" s="2"/>
      <c r="E170" s="2"/>
    </row>
    <row r="171" spans="1:6" ht="20" x14ac:dyDescent="0.2">
      <c r="A171" s="2" t="s">
        <v>1031</v>
      </c>
      <c r="B171" s="5" t="s">
        <v>300</v>
      </c>
      <c r="C171" s="7">
        <v>2</v>
      </c>
      <c r="D171" s="2" t="s">
        <v>89</v>
      </c>
      <c r="E171" s="8"/>
      <c r="F171" s="16">
        <f>C171*E171</f>
        <v>0</v>
      </c>
    </row>
    <row r="172" spans="1:6" ht="13" x14ac:dyDescent="0.3">
      <c r="B172" s="20" t="s">
        <v>301</v>
      </c>
      <c r="C172" s="9"/>
      <c r="D172" s="3"/>
      <c r="E172" s="9"/>
      <c r="F172" s="18">
        <f>SUM(F168:F171)</f>
        <v>0</v>
      </c>
    </row>
    <row r="174" spans="1:6" ht="10.5" x14ac:dyDescent="0.25">
      <c r="A174" s="6" t="s">
        <v>1032</v>
      </c>
      <c r="B174" s="21" t="s">
        <v>303</v>
      </c>
    </row>
    <row r="175" spans="1:6" x14ac:dyDescent="0.2">
      <c r="A175" s="2"/>
      <c r="B175" s="5" t="s">
        <v>304</v>
      </c>
      <c r="C175" s="2"/>
      <c r="D175" s="2"/>
      <c r="E175" s="2"/>
    </row>
    <row r="176" spans="1:6" x14ac:dyDescent="0.2">
      <c r="A176" s="2"/>
      <c r="B176" s="5" t="s">
        <v>128</v>
      </c>
      <c r="C176" s="2"/>
      <c r="D176" s="2"/>
      <c r="E176" s="2"/>
    </row>
    <row r="177" spans="1:6" ht="30" x14ac:dyDescent="0.2">
      <c r="A177" s="2"/>
      <c r="B177" s="5" t="s">
        <v>305</v>
      </c>
      <c r="C177" s="2"/>
      <c r="D177" s="2" t="s">
        <v>73</v>
      </c>
      <c r="E177" s="2"/>
    </row>
    <row r="178" spans="1:6" ht="40" x14ac:dyDescent="0.2">
      <c r="A178" s="2"/>
      <c r="B178" s="5" t="s">
        <v>306</v>
      </c>
      <c r="C178" s="2"/>
      <c r="D178" s="2" t="s">
        <v>73</v>
      </c>
      <c r="E178" s="2"/>
      <c r="F178" s="16"/>
    </row>
    <row r="179" spans="1:6" ht="31" x14ac:dyDescent="0.3">
      <c r="A179" s="2"/>
      <c r="B179" s="5" t="s">
        <v>307</v>
      </c>
      <c r="C179" s="2"/>
      <c r="D179" s="2" t="s">
        <v>73</v>
      </c>
      <c r="E179" s="2"/>
      <c r="F179" s="18"/>
    </row>
    <row r="180" spans="1:6" ht="30" x14ac:dyDescent="0.2">
      <c r="A180" s="2"/>
      <c r="B180" s="5" t="s">
        <v>308</v>
      </c>
      <c r="C180" s="2"/>
      <c r="D180" s="2" t="s">
        <v>73</v>
      </c>
      <c r="E180" s="2"/>
    </row>
    <row r="181" spans="1:6" ht="30" x14ac:dyDescent="0.2">
      <c r="A181" s="2"/>
      <c r="B181" s="5" t="s">
        <v>309</v>
      </c>
      <c r="C181" s="2"/>
      <c r="D181" s="2" t="s">
        <v>73</v>
      </c>
      <c r="E181" s="2"/>
    </row>
    <row r="182" spans="1:6" x14ac:dyDescent="0.2">
      <c r="A182" s="2"/>
      <c r="B182" s="5" t="s">
        <v>310</v>
      </c>
      <c r="C182" s="2"/>
      <c r="D182" s="2"/>
      <c r="E182" s="2"/>
    </row>
    <row r="183" spans="1:6" ht="30" x14ac:dyDescent="0.2">
      <c r="A183" s="2" t="s">
        <v>1033</v>
      </c>
      <c r="B183" s="5" t="s">
        <v>312</v>
      </c>
      <c r="C183" s="7">
        <v>174</v>
      </c>
      <c r="D183" s="2" t="s">
        <v>89</v>
      </c>
      <c r="E183" s="7"/>
      <c r="F183" s="16">
        <f>C183*E183</f>
        <v>0</v>
      </c>
    </row>
    <row r="184" spans="1:6" ht="13" x14ac:dyDescent="0.3">
      <c r="B184" s="20" t="s">
        <v>313</v>
      </c>
      <c r="C184" s="9"/>
      <c r="D184" s="3"/>
      <c r="E184" s="9"/>
      <c r="F184" s="18">
        <f>SUM(F183)</f>
        <v>0</v>
      </c>
    </row>
    <row r="186" spans="1:6" ht="10.5" x14ac:dyDescent="0.25">
      <c r="A186" s="6" t="s">
        <v>1034</v>
      </c>
      <c r="B186" s="21" t="s">
        <v>315</v>
      </c>
    </row>
    <row r="187" spans="1:6" x14ac:dyDescent="0.2">
      <c r="A187" s="2"/>
      <c r="B187" s="5" t="s">
        <v>316</v>
      </c>
      <c r="C187" s="2"/>
      <c r="D187" s="2"/>
      <c r="E187" s="2"/>
    </row>
    <row r="188" spans="1:6" x14ac:dyDescent="0.2">
      <c r="A188" s="2"/>
      <c r="B188" s="5" t="s">
        <v>128</v>
      </c>
      <c r="C188" s="2"/>
      <c r="D188" s="2"/>
      <c r="E188" s="2"/>
    </row>
    <row r="189" spans="1:6" ht="40" x14ac:dyDescent="0.2">
      <c r="A189" s="2"/>
      <c r="B189" s="5" t="s">
        <v>317</v>
      </c>
      <c r="C189" s="2"/>
      <c r="D189" s="2" t="s">
        <v>73</v>
      </c>
      <c r="E189" s="2"/>
    </row>
    <row r="190" spans="1:6" ht="50" x14ac:dyDescent="0.2">
      <c r="A190" s="2"/>
      <c r="B190" s="5" t="s">
        <v>318</v>
      </c>
      <c r="C190" s="2"/>
      <c r="D190" s="2" t="s">
        <v>73</v>
      </c>
      <c r="E190" s="2"/>
    </row>
    <row r="191" spans="1:6" ht="60" x14ac:dyDescent="0.2">
      <c r="A191" s="2"/>
      <c r="B191" s="5" t="s">
        <v>319</v>
      </c>
      <c r="C191" s="2"/>
      <c r="D191" s="2" t="s">
        <v>73</v>
      </c>
      <c r="E191" s="2"/>
      <c r="F191" s="16"/>
    </row>
    <row r="192" spans="1:6" ht="51" x14ac:dyDescent="0.3">
      <c r="A192" s="2"/>
      <c r="B192" s="5" t="s">
        <v>320</v>
      </c>
      <c r="C192" s="2"/>
      <c r="D192" s="2" t="s">
        <v>73</v>
      </c>
      <c r="E192" s="2"/>
      <c r="F192" s="18"/>
    </row>
    <row r="193" spans="1:6" ht="50" x14ac:dyDescent="0.2">
      <c r="A193" s="2"/>
      <c r="B193" s="5" t="s">
        <v>321</v>
      </c>
      <c r="C193" s="2"/>
      <c r="D193" s="2" t="s">
        <v>73</v>
      </c>
      <c r="E193" s="2"/>
    </row>
    <row r="194" spans="1:6" ht="40" x14ac:dyDescent="0.2">
      <c r="A194" s="2"/>
      <c r="B194" s="5" t="s">
        <v>322</v>
      </c>
      <c r="C194" s="2"/>
      <c r="D194" s="2" t="s">
        <v>73</v>
      </c>
      <c r="E194" s="2"/>
    </row>
    <row r="195" spans="1:6" x14ac:dyDescent="0.2">
      <c r="A195" s="2"/>
      <c r="B195" s="5" t="s">
        <v>323</v>
      </c>
      <c r="C195" s="2"/>
      <c r="D195" s="2"/>
      <c r="E195" s="2"/>
    </row>
    <row r="196" spans="1:6" ht="30" x14ac:dyDescent="0.2">
      <c r="A196" s="2" t="s">
        <v>1035</v>
      </c>
      <c r="B196" s="5" t="s">
        <v>325</v>
      </c>
      <c r="C196" s="7">
        <v>174</v>
      </c>
      <c r="D196" s="2" t="s">
        <v>89</v>
      </c>
      <c r="E196" s="7"/>
      <c r="F196" s="16"/>
    </row>
    <row r="197" spans="1:6" ht="13" x14ac:dyDescent="0.3">
      <c r="B197" s="20" t="s">
        <v>326</v>
      </c>
      <c r="C197" s="9"/>
      <c r="D197" s="3"/>
      <c r="E197" s="9"/>
      <c r="F197" s="18">
        <f>SUM(F196)</f>
        <v>0</v>
      </c>
    </row>
    <row r="199" spans="1:6" ht="10.5" x14ac:dyDescent="0.25">
      <c r="A199" s="6" t="s">
        <v>1036</v>
      </c>
      <c r="B199" s="21" t="s">
        <v>328</v>
      </c>
    </row>
    <row r="200" spans="1:6" x14ac:dyDescent="0.2">
      <c r="A200" s="2"/>
      <c r="B200" s="5" t="s">
        <v>329</v>
      </c>
      <c r="C200" s="2"/>
      <c r="D200" s="2"/>
      <c r="E200" s="2"/>
    </row>
    <row r="201" spans="1:6" x14ac:dyDescent="0.2">
      <c r="A201" s="2"/>
      <c r="B201" s="5" t="s">
        <v>71</v>
      </c>
      <c r="C201" s="2"/>
      <c r="D201" s="2"/>
      <c r="E201" s="2"/>
    </row>
    <row r="202" spans="1:6" ht="50" x14ac:dyDescent="0.2">
      <c r="A202" s="2"/>
      <c r="B202" s="5" t="s">
        <v>330</v>
      </c>
      <c r="C202" s="2"/>
      <c r="D202" s="2" t="s">
        <v>73</v>
      </c>
      <c r="E202" s="2"/>
    </row>
    <row r="203" spans="1:6" ht="70" x14ac:dyDescent="0.2">
      <c r="A203" s="2"/>
      <c r="B203" s="5" t="s">
        <v>331</v>
      </c>
      <c r="C203" s="2"/>
      <c r="D203" s="2" t="s">
        <v>73</v>
      </c>
      <c r="E203" s="2"/>
    </row>
    <row r="204" spans="1:6" ht="120" x14ac:dyDescent="0.2">
      <c r="A204" s="2"/>
      <c r="B204" s="5" t="s">
        <v>332</v>
      </c>
      <c r="C204" s="2"/>
      <c r="D204" s="2" t="s">
        <v>73</v>
      </c>
      <c r="E204" s="2"/>
    </row>
    <row r="205" spans="1:6" ht="60" x14ac:dyDescent="0.2">
      <c r="A205" s="2"/>
      <c r="B205" s="5" t="s">
        <v>333</v>
      </c>
      <c r="C205" s="2"/>
      <c r="D205" s="2" t="s">
        <v>73</v>
      </c>
      <c r="E205" s="2"/>
    </row>
    <row r="206" spans="1:6" ht="50" x14ac:dyDescent="0.2">
      <c r="A206" s="2"/>
      <c r="B206" s="5" t="s">
        <v>334</v>
      </c>
      <c r="C206" s="2"/>
      <c r="D206" s="2" t="s">
        <v>73</v>
      </c>
      <c r="E206" s="2"/>
    </row>
    <row r="207" spans="1:6" ht="60" x14ac:dyDescent="0.2">
      <c r="A207" s="2"/>
      <c r="B207" s="5" t="s">
        <v>335</v>
      </c>
      <c r="C207" s="2"/>
      <c r="D207" s="2" t="s">
        <v>73</v>
      </c>
      <c r="E207" s="2"/>
      <c r="F207" s="16"/>
    </row>
    <row r="208" spans="1:6" ht="41" x14ac:dyDescent="0.3">
      <c r="A208" s="2"/>
      <c r="B208" s="5" t="s">
        <v>336</v>
      </c>
      <c r="C208" s="2"/>
      <c r="D208" s="2" t="s">
        <v>73</v>
      </c>
      <c r="E208" s="2"/>
      <c r="F208" s="18"/>
    </row>
    <row r="209" spans="1:6" ht="41" x14ac:dyDescent="0.3">
      <c r="A209" s="2"/>
      <c r="B209" s="5" t="s">
        <v>337</v>
      </c>
      <c r="C209" s="2"/>
      <c r="D209" s="2" t="s">
        <v>73</v>
      </c>
      <c r="E209" s="2"/>
      <c r="F209" s="17"/>
    </row>
    <row r="210" spans="1:6" ht="50" x14ac:dyDescent="0.2">
      <c r="A210" s="2"/>
      <c r="B210" s="5" t="s">
        <v>338</v>
      </c>
      <c r="C210" s="2"/>
      <c r="D210" s="2" t="s">
        <v>73</v>
      </c>
      <c r="E210" s="2"/>
    </row>
    <row r="211" spans="1:6" x14ac:dyDescent="0.2">
      <c r="A211" s="2"/>
      <c r="B211" s="5" t="s">
        <v>339</v>
      </c>
      <c r="C211" s="2"/>
      <c r="D211" s="2"/>
      <c r="E211" s="2"/>
    </row>
    <row r="212" spans="1:6" ht="30" x14ac:dyDescent="0.2">
      <c r="A212" s="2" t="s">
        <v>1037</v>
      </c>
      <c r="B212" s="5" t="s">
        <v>341</v>
      </c>
      <c r="C212" s="7">
        <v>174</v>
      </c>
      <c r="D212" s="2" t="s">
        <v>89</v>
      </c>
      <c r="E212" s="7"/>
      <c r="F212" s="16">
        <f>C212*E212</f>
        <v>0</v>
      </c>
    </row>
    <row r="213" spans="1:6" ht="13" x14ac:dyDescent="0.3">
      <c r="B213" s="20" t="s">
        <v>342</v>
      </c>
      <c r="C213" s="9"/>
      <c r="D213" s="3"/>
      <c r="E213" s="9"/>
      <c r="F213" s="18">
        <f>SUM(F212)</f>
        <v>0</v>
      </c>
    </row>
    <row r="214" spans="1:6" ht="13" x14ac:dyDescent="0.3">
      <c r="B214" s="20" t="s">
        <v>1038</v>
      </c>
      <c r="C214" s="9"/>
      <c r="D214" s="3"/>
      <c r="E214" s="9"/>
      <c r="F214" s="17">
        <f>F213+F197+F184+F172+F160+F118+F91+F81+F74+F61+F39</f>
        <v>0</v>
      </c>
    </row>
  </sheetData>
  <mergeCells count="1">
    <mergeCell ref="A1:F1"/>
  </mergeCells>
  <phoneticPr fontId="13" type="noConversion"/>
  <pageMargins left="0.75" right="0.75" top="1" bottom="1" header="0.5" footer="0.5"/>
  <pageSetup scale="91" fitToHeight="6" orientation="portrait" r:id="rId1"/>
  <headerFooter>
    <oddHeader>&amp;C&amp;"Aptos"&amp;12&amp;KFF0000 OFFICIAL&amp;1#_x000D_</oddHeader>
    <oddFooter>&amp;C_x000D_&amp;1#&amp;"Aptos"&amp;12&amp;KFF0000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63565-D194-4E11-830E-1DB744DA9843}">
  <sheetPr codeName="Sheet10">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1815</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1039</v>
      </c>
      <c r="B6" s="20" t="s">
        <v>1040</v>
      </c>
    </row>
    <row r="7" spans="1:6" x14ac:dyDescent="0.2">
      <c r="A7" s="2"/>
      <c r="B7" s="5"/>
      <c r="C7" s="2"/>
      <c r="D7" s="2"/>
      <c r="E7" s="2"/>
    </row>
    <row r="8" spans="1:6" x14ac:dyDescent="0.2">
      <c r="A8" s="2"/>
      <c r="B8" s="5" t="s">
        <v>443</v>
      </c>
      <c r="C8" s="2"/>
      <c r="D8" s="2"/>
      <c r="E8" s="2"/>
    </row>
    <row r="10" spans="1:6" ht="10.5" x14ac:dyDescent="0.25">
      <c r="A10" s="6" t="s">
        <v>1041</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1042</v>
      </c>
      <c r="B15" s="5" t="s">
        <v>76</v>
      </c>
      <c r="C15" s="7">
        <v>14</v>
      </c>
      <c r="D15" s="2" t="s">
        <v>77</v>
      </c>
      <c r="E15" s="8"/>
      <c r="F15" s="16">
        <f>C15*E15</f>
        <v>0</v>
      </c>
    </row>
    <row r="16" spans="1:6" x14ac:dyDescent="0.2">
      <c r="A16" s="2" t="s">
        <v>1043</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1044</v>
      </c>
      <c r="B18" s="5" t="s">
        <v>83</v>
      </c>
      <c r="C18" s="7">
        <v>1</v>
      </c>
      <c r="D18" s="2" t="s">
        <v>80</v>
      </c>
      <c r="E18" s="8"/>
      <c r="F18" s="16">
        <f t="shared" si="0"/>
        <v>0</v>
      </c>
    </row>
    <row r="19" spans="1:6" x14ac:dyDescent="0.2">
      <c r="A19" s="2"/>
      <c r="B19" s="5" t="s">
        <v>69</v>
      </c>
      <c r="C19" s="2"/>
      <c r="D19" s="2"/>
      <c r="E19" s="2"/>
      <c r="F19" s="16"/>
    </row>
    <row r="20" spans="1:6" ht="20" x14ac:dyDescent="0.2">
      <c r="A20" s="2" t="s">
        <v>1045</v>
      </c>
      <c r="B20" s="5" t="s">
        <v>85</v>
      </c>
      <c r="C20" s="7">
        <v>11</v>
      </c>
      <c r="D20" s="2" t="s">
        <v>86</v>
      </c>
      <c r="E20" s="8"/>
      <c r="F20" s="16">
        <f t="shared" si="0"/>
        <v>0</v>
      </c>
    </row>
    <row r="21" spans="1:6" x14ac:dyDescent="0.2">
      <c r="A21" s="2" t="s">
        <v>1046</v>
      </c>
      <c r="B21" s="5" t="s">
        <v>88</v>
      </c>
      <c r="C21" s="7">
        <v>6</v>
      </c>
      <c r="D21" s="2" t="s">
        <v>89</v>
      </c>
      <c r="E21" s="8"/>
      <c r="F21" s="16">
        <f t="shared" si="0"/>
        <v>0</v>
      </c>
    </row>
    <row r="22" spans="1:6" ht="30" x14ac:dyDescent="0.2">
      <c r="A22" s="2" t="s">
        <v>1047</v>
      </c>
      <c r="B22" s="5" t="s">
        <v>91</v>
      </c>
      <c r="C22" s="7">
        <v>32</v>
      </c>
      <c r="D22" s="2" t="s">
        <v>89</v>
      </c>
      <c r="E22" s="8"/>
      <c r="F22" s="16">
        <f t="shared" si="0"/>
        <v>0</v>
      </c>
    </row>
    <row r="23" spans="1:6" x14ac:dyDescent="0.2">
      <c r="A23" s="2" t="s">
        <v>1048</v>
      </c>
      <c r="B23" s="5" t="s">
        <v>93</v>
      </c>
      <c r="C23" s="7">
        <v>10</v>
      </c>
      <c r="D23" s="2" t="s">
        <v>86</v>
      </c>
      <c r="E23" s="8"/>
      <c r="F23" s="16">
        <f t="shared" si="0"/>
        <v>0</v>
      </c>
    </row>
    <row r="24" spans="1:6" x14ac:dyDescent="0.2">
      <c r="A24" s="2" t="s">
        <v>1049</v>
      </c>
      <c r="B24" s="5" t="s">
        <v>95</v>
      </c>
      <c r="C24" s="7">
        <v>13</v>
      </c>
      <c r="D24" s="2" t="s">
        <v>77</v>
      </c>
      <c r="E24" s="8"/>
      <c r="F24" s="16">
        <f t="shared" si="0"/>
        <v>0</v>
      </c>
    </row>
    <row r="25" spans="1:6" ht="20" x14ac:dyDescent="0.2">
      <c r="A25" s="2" t="s">
        <v>1050</v>
      </c>
      <c r="B25" s="5" t="s">
        <v>97</v>
      </c>
      <c r="C25" s="7">
        <v>11</v>
      </c>
      <c r="D25" s="2" t="s">
        <v>86</v>
      </c>
      <c r="E25" s="8"/>
      <c r="F25" s="16">
        <f t="shared" si="0"/>
        <v>0</v>
      </c>
    </row>
    <row r="26" spans="1:6" x14ac:dyDescent="0.2">
      <c r="A26" s="2" t="s">
        <v>1051</v>
      </c>
      <c r="B26" s="5" t="s">
        <v>99</v>
      </c>
      <c r="C26" s="7">
        <v>136</v>
      </c>
      <c r="D26" s="2" t="s">
        <v>89</v>
      </c>
      <c r="E26" s="8"/>
      <c r="F26" s="16">
        <f t="shared" si="0"/>
        <v>0</v>
      </c>
    </row>
    <row r="27" spans="1:6" x14ac:dyDescent="0.2">
      <c r="A27" s="2" t="s">
        <v>1052</v>
      </c>
      <c r="B27" s="5" t="s">
        <v>101</v>
      </c>
      <c r="C27" s="7">
        <v>2</v>
      </c>
      <c r="D27" s="2" t="s">
        <v>77</v>
      </c>
      <c r="E27" s="8"/>
      <c r="F27" s="16">
        <f t="shared" si="0"/>
        <v>0</v>
      </c>
    </row>
    <row r="28" spans="1:6" x14ac:dyDescent="0.2">
      <c r="A28" s="2" t="s">
        <v>1053</v>
      </c>
      <c r="B28" s="5" t="s">
        <v>103</v>
      </c>
      <c r="C28" s="7">
        <v>1</v>
      </c>
      <c r="D28" s="2" t="s">
        <v>104</v>
      </c>
      <c r="E28" s="8"/>
      <c r="F28" s="16">
        <f t="shared" si="0"/>
        <v>0</v>
      </c>
    </row>
    <row r="29" spans="1:6" x14ac:dyDescent="0.2">
      <c r="A29" s="2" t="s">
        <v>1054</v>
      </c>
      <c r="B29" s="5" t="s">
        <v>106</v>
      </c>
      <c r="C29" s="7">
        <v>1</v>
      </c>
      <c r="D29" s="2" t="s">
        <v>77</v>
      </c>
      <c r="E29" s="8"/>
      <c r="F29" s="16">
        <f t="shared" si="0"/>
        <v>0</v>
      </c>
    </row>
    <row r="30" spans="1:6" x14ac:dyDescent="0.2">
      <c r="A30" s="2" t="s">
        <v>1055</v>
      </c>
      <c r="B30" s="5" t="s">
        <v>108</v>
      </c>
      <c r="C30" s="7">
        <v>89</v>
      </c>
      <c r="D30" s="2" t="s">
        <v>89</v>
      </c>
      <c r="E30" s="8"/>
      <c r="F30" s="16">
        <f t="shared" si="0"/>
        <v>0</v>
      </c>
    </row>
    <row r="31" spans="1:6" ht="20" x14ac:dyDescent="0.2">
      <c r="A31" s="2" t="s">
        <v>1056</v>
      </c>
      <c r="B31" s="5" t="s">
        <v>110</v>
      </c>
      <c r="C31" s="7">
        <v>1</v>
      </c>
      <c r="D31" s="2" t="s">
        <v>77</v>
      </c>
      <c r="E31" s="8"/>
      <c r="F31" s="16">
        <f t="shared" si="0"/>
        <v>0</v>
      </c>
    </row>
    <row r="32" spans="1:6" ht="20" x14ac:dyDescent="0.2">
      <c r="A32" s="2" t="s">
        <v>1057</v>
      </c>
      <c r="B32" s="5" t="s">
        <v>112</v>
      </c>
      <c r="C32" s="7">
        <v>26</v>
      </c>
      <c r="D32" s="2" t="s">
        <v>86</v>
      </c>
      <c r="E32" s="8"/>
      <c r="F32" s="16">
        <f t="shared" si="0"/>
        <v>0</v>
      </c>
    </row>
    <row r="33" spans="1:6" ht="40" x14ac:dyDescent="0.2">
      <c r="A33" s="2" t="s">
        <v>1058</v>
      </c>
      <c r="B33" s="5" t="s">
        <v>114</v>
      </c>
      <c r="C33" s="7">
        <v>44</v>
      </c>
      <c r="D33" s="2" t="s">
        <v>89</v>
      </c>
      <c r="E33" s="8"/>
      <c r="F33" s="16">
        <f t="shared" si="0"/>
        <v>0</v>
      </c>
    </row>
    <row r="34" spans="1:6" x14ac:dyDescent="0.2">
      <c r="A34" s="2"/>
      <c r="B34" s="5" t="s">
        <v>115</v>
      </c>
      <c r="C34" s="2"/>
      <c r="D34" s="2"/>
      <c r="E34" s="2"/>
      <c r="F34" s="16"/>
    </row>
    <row r="35" spans="1:6" ht="30" x14ac:dyDescent="0.2">
      <c r="A35" s="2" t="s">
        <v>1059</v>
      </c>
      <c r="B35" s="5" t="s">
        <v>117</v>
      </c>
      <c r="C35" s="7">
        <v>1</v>
      </c>
      <c r="D35" s="2" t="s">
        <v>80</v>
      </c>
      <c r="E35" s="8"/>
      <c r="F35" s="16">
        <f t="shared" si="0"/>
        <v>0</v>
      </c>
    </row>
    <row r="36" spans="1:6" x14ac:dyDescent="0.2">
      <c r="A36" s="2" t="s">
        <v>1060</v>
      </c>
      <c r="B36" s="5" t="s">
        <v>119</v>
      </c>
      <c r="C36" s="7">
        <v>1</v>
      </c>
      <c r="D36" s="2" t="s">
        <v>104</v>
      </c>
      <c r="E36" s="8"/>
      <c r="F36" s="16">
        <f t="shared" si="0"/>
        <v>0</v>
      </c>
    </row>
    <row r="37" spans="1:6" ht="20" x14ac:dyDescent="0.2">
      <c r="A37" s="2" t="s">
        <v>1061</v>
      </c>
      <c r="B37" s="5" t="s">
        <v>121</v>
      </c>
      <c r="C37" s="7">
        <v>1</v>
      </c>
      <c r="D37" s="2" t="s">
        <v>104</v>
      </c>
      <c r="E37" s="8"/>
      <c r="F37" s="16">
        <f t="shared" si="0"/>
        <v>0</v>
      </c>
    </row>
    <row r="38" spans="1:6" x14ac:dyDescent="0.2">
      <c r="A38" s="2" t="s">
        <v>1062</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1063</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1064</v>
      </c>
      <c r="B51" s="5" t="s">
        <v>137</v>
      </c>
      <c r="C51" s="7">
        <v>366</v>
      </c>
      <c r="D51" s="2" t="s">
        <v>89</v>
      </c>
      <c r="E51" s="8"/>
      <c r="F51" s="16">
        <f t="shared" ref="F51:F58" si="1">C51*E51</f>
        <v>0</v>
      </c>
    </row>
    <row r="52" spans="1:6" x14ac:dyDescent="0.2">
      <c r="A52" s="2"/>
      <c r="B52" s="5" t="s">
        <v>138</v>
      </c>
      <c r="C52" s="2"/>
      <c r="D52" s="2"/>
      <c r="E52" s="2"/>
      <c r="F52" s="16"/>
    </row>
    <row r="53" spans="1:6" ht="30" x14ac:dyDescent="0.2">
      <c r="A53" s="2" t="s">
        <v>1065</v>
      </c>
      <c r="B53" s="5" t="s">
        <v>140</v>
      </c>
      <c r="C53" s="7">
        <v>63</v>
      </c>
      <c r="D53" s="2" t="s">
        <v>89</v>
      </c>
      <c r="E53" s="8"/>
      <c r="F53" s="16">
        <f t="shared" si="1"/>
        <v>0</v>
      </c>
    </row>
    <row r="54" spans="1:6" ht="40" x14ac:dyDescent="0.2">
      <c r="A54" s="2" t="s">
        <v>1066</v>
      </c>
      <c r="B54" s="5" t="s">
        <v>964</v>
      </c>
      <c r="C54" s="7">
        <v>6</v>
      </c>
      <c r="D54" s="2" t="s">
        <v>89</v>
      </c>
      <c r="E54" s="8"/>
      <c r="F54" s="16">
        <f t="shared" si="1"/>
        <v>0</v>
      </c>
    </row>
    <row r="55" spans="1:6" ht="30" x14ac:dyDescent="0.2">
      <c r="A55" s="2" t="s">
        <v>1067</v>
      </c>
      <c r="B55" s="5" t="s">
        <v>142</v>
      </c>
      <c r="C55" s="7">
        <v>4</v>
      </c>
      <c r="D55" s="2" t="s">
        <v>89</v>
      </c>
      <c r="E55" s="8"/>
      <c r="F55" s="16">
        <f t="shared" si="1"/>
        <v>0</v>
      </c>
    </row>
    <row r="56" spans="1:6" ht="20" x14ac:dyDescent="0.2">
      <c r="A56" s="2" t="s">
        <v>1068</v>
      </c>
      <c r="B56" s="5" t="s">
        <v>144</v>
      </c>
      <c r="C56" s="7">
        <v>91</v>
      </c>
      <c r="D56" s="2" t="s">
        <v>89</v>
      </c>
      <c r="E56" s="8"/>
      <c r="F56" s="16">
        <f t="shared" si="1"/>
        <v>0</v>
      </c>
    </row>
    <row r="57" spans="1:6" x14ac:dyDescent="0.2">
      <c r="A57" s="2"/>
      <c r="B57" s="5" t="s">
        <v>145</v>
      </c>
      <c r="C57" s="2"/>
      <c r="D57" s="2"/>
      <c r="E57" s="2"/>
      <c r="F57" s="16"/>
    </row>
    <row r="58" spans="1:6" ht="40" x14ac:dyDescent="0.2">
      <c r="A58" s="2" t="s">
        <v>1069</v>
      </c>
      <c r="B58" s="5" t="s">
        <v>1070</v>
      </c>
      <c r="C58" s="7">
        <v>127</v>
      </c>
      <c r="D58" s="2" t="s">
        <v>86</v>
      </c>
      <c r="E58" s="8"/>
      <c r="F58" s="16">
        <f t="shared" si="1"/>
        <v>0</v>
      </c>
    </row>
    <row r="59" spans="1:6" x14ac:dyDescent="0.2">
      <c r="A59" s="2"/>
      <c r="B59" s="5" t="s">
        <v>148</v>
      </c>
      <c r="C59" s="2"/>
      <c r="D59" s="2"/>
      <c r="E59" s="2"/>
      <c r="F59" s="16"/>
    </row>
    <row r="60" spans="1:6" ht="30" x14ac:dyDescent="0.2">
      <c r="A60" s="2" t="s">
        <v>1071</v>
      </c>
      <c r="B60" s="5" t="s">
        <v>1072</v>
      </c>
      <c r="C60" s="7">
        <v>13</v>
      </c>
      <c r="D60" s="2" t="s">
        <v>77</v>
      </c>
      <c r="E60" s="8"/>
      <c r="F60" s="16">
        <f t="shared" ref="F60" si="2">C60*E60</f>
        <v>0</v>
      </c>
    </row>
    <row r="61" spans="1:6" ht="13" x14ac:dyDescent="0.3">
      <c r="B61" s="20" t="s">
        <v>151</v>
      </c>
      <c r="C61" s="9"/>
      <c r="D61" s="3"/>
      <c r="E61" s="9"/>
      <c r="F61" s="18">
        <f>SUM(F51:F60)</f>
        <v>0</v>
      </c>
    </row>
    <row r="63" spans="1:6" ht="10.5" x14ac:dyDescent="0.25">
      <c r="A63" s="6" t="s">
        <v>1073</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1074</v>
      </c>
      <c r="B69" s="5" t="s">
        <v>158</v>
      </c>
      <c r="C69" s="7">
        <v>115</v>
      </c>
      <c r="D69" s="2" t="s">
        <v>89</v>
      </c>
      <c r="E69" s="8"/>
      <c r="F69" s="16">
        <f t="shared" ref="F69:F73" si="3">C69*E69</f>
        <v>0</v>
      </c>
    </row>
    <row r="70" spans="1:6" ht="40" x14ac:dyDescent="0.2">
      <c r="A70" s="2" t="s">
        <v>1075</v>
      </c>
      <c r="B70" s="5" t="s">
        <v>160</v>
      </c>
      <c r="C70" s="7">
        <v>18</v>
      </c>
      <c r="D70" s="2" t="s">
        <v>89</v>
      </c>
      <c r="E70" s="8"/>
      <c r="F70" s="16">
        <f t="shared" si="3"/>
        <v>0</v>
      </c>
    </row>
    <row r="71" spans="1:6" x14ac:dyDescent="0.2">
      <c r="A71" s="2"/>
      <c r="B71" s="5" t="s">
        <v>161</v>
      </c>
      <c r="C71" s="2"/>
      <c r="D71" s="2"/>
      <c r="E71" s="2"/>
      <c r="F71" s="16"/>
    </row>
    <row r="72" spans="1:6" x14ac:dyDescent="0.2">
      <c r="A72" s="2" t="s">
        <v>1076</v>
      </c>
      <c r="B72" s="5" t="s">
        <v>163</v>
      </c>
      <c r="C72" s="7">
        <v>17.77</v>
      </c>
      <c r="D72" s="2" t="s">
        <v>86</v>
      </c>
      <c r="E72" s="8"/>
      <c r="F72" s="16">
        <f t="shared" si="3"/>
        <v>0</v>
      </c>
    </row>
    <row r="73" spans="1:6" ht="20" x14ac:dyDescent="0.2">
      <c r="A73" s="2" t="s">
        <v>1077</v>
      </c>
      <c r="B73" s="5" t="s">
        <v>165</v>
      </c>
      <c r="C73" s="7">
        <v>10</v>
      </c>
      <c r="D73" s="2" t="s">
        <v>89</v>
      </c>
      <c r="E73" s="8"/>
      <c r="F73" s="16">
        <f t="shared" si="3"/>
        <v>0</v>
      </c>
    </row>
    <row r="74" spans="1:6" ht="13" x14ac:dyDescent="0.3">
      <c r="B74" s="20" t="s">
        <v>166</v>
      </c>
      <c r="C74" s="9"/>
      <c r="D74" s="3"/>
      <c r="E74" s="9"/>
      <c r="F74" s="18">
        <f>SUM(F69:F73)</f>
        <v>0</v>
      </c>
    </row>
    <row r="76" spans="1:6" ht="10.5" x14ac:dyDescent="0.25">
      <c r="A76" s="6" t="s">
        <v>1078</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1079</v>
      </c>
      <c r="B80" s="5" t="s">
        <v>172</v>
      </c>
      <c r="C80" s="7">
        <v>157</v>
      </c>
      <c r="D80" s="2" t="s">
        <v>89</v>
      </c>
      <c r="E80" s="8"/>
      <c r="F80" s="16">
        <f t="shared" ref="F80" si="4">C80*E80</f>
        <v>0</v>
      </c>
    </row>
    <row r="81" spans="1:6" ht="13" x14ac:dyDescent="0.3">
      <c r="B81" s="20" t="s">
        <v>173</v>
      </c>
      <c r="C81" s="9"/>
      <c r="D81" s="3"/>
      <c r="E81" s="9"/>
      <c r="F81" s="18">
        <f>SUM(F80)</f>
        <v>0</v>
      </c>
    </row>
    <row r="83" spans="1:6" ht="10.5" x14ac:dyDescent="0.25">
      <c r="A83" s="6" t="s">
        <v>1080</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1081</v>
      </c>
      <c r="B88" s="5" t="s">
        <v>179</v>
      </c>
      <c r="C88" s="7">
        <v>1</v>
      </c>
      <c r="D88" s="2" t="s">
        <v>77</v>
      </c>
      <c r="E88" s="8"/>
      <c r="F88" s="16">
        <f>C88*E88</f>
        <v>0</v>
      </c>
    </row>
    <row r="89" spans="1:6" ht="20" x14ac:dyDescent="0.2">
      <c r="A89" s="2" t="s">
        <v>1082</v>
      </c>
      <c r="B89" s="5" t="s">
        <v>181</v>
      </c>
      <c r="C89" s="7">
        <v>13</v>
      </c>
      <c r="D89" s="2" t="s">
        <v>77</v>
      </c>
      <c r="E89" s="8"/>
      <c r="F89" s="16">
        <f>C89*E89</f>
        <v>0</v>
      </c>
    </row>
    <row r="90" spans="1:6" ht="30" x14ac:dyDescent="0.2">
      <c r="A90" s="2" t="s">
        <v>1083</v>
      </c>
      <c r="B90" s="5" t="s">
        <v>183</v>
      </c>
      <c r="C90" s="7">
        <v>1</v>
      </c>
      <c r="D90" s="2" t="s">
        <v>77</v>
      </c>
      <c r="E90" s="8"/>
      <c r="F90" s="16">
        <f t="shared" ref="F90" si="5">C90*E90</f>
        <v>0</v>
      </c>
    </row>
    <row r="91" spans="1:6" ht="13" x14ac:dyDescent="0.3">
      <c r="B91" s="20" t="s">
        <v>184</v>
      </c>
      <c r="C91" s="9"/>
      <c r="D91" s="3"/>
      <c r="E91" s="9"/>
      <c r="F91" s="18">
        <f>SUM(F86:F90)</f>
        <v>0</v>
      </c>
    </row>
    <row r="93" spans="1:6" ht="10.5" x14ac:dyDescent="0.25">
      <c r="A93" s="6" t="s">
        <v>1084</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1085</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1087</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1089</v>
      </c>
      <c r="B105" s="5" t="s">
        <v>200</v>
      </c>
      <c r="C105" s="7">
        <v>3.14</v>
      </c>
      <c r="D105" s="2" t="s">
        <v>86</v>
      </c>
      <c r="E105" s="8"/>
      <c r="F105" s="16">
        <f t="shared" si="6"/>
        <v>0</v>
      </c>
    </row>
    <row r="106" spans="1:6" ht="40" x14ac:dyDescent="0.2">
      <c r="A106" s="2" t="s">
        <v>1090</v>
      </c>
      <c r="B106" s="5" t="s">
        <v>202</v>
      </c>
      <c r="C106" s="7">
        <v>2.0299999999999998</v>
      </c>
      <c r="D106" s="2" t="s">
        <v>86</v>
      </c>
      <c r="E106" s="8"/>
      <c r="F106" s="16">
        <f t="shared" si="6"/>
        <v>0</v>
      </c>
    </row>
    <row r="107" spans="1:6" x14ac:dyDescent="0.2">
      <c r="A107" s="2"/>
      <c r="B107" s="5" t="s">
        <v>203</v>
      </c>
      <c r="C107" s="2"/>
      <c r="D107" s="2"/>
      <c r="E107" s="2"/>
      <c r="F107" s="16"/>
    </row>
    <row r="108" spans="1:6" ht="30" x14ac:dyDescent="0.2">
      <c r="A108" s="2" t="s">
        <v>1091</v>
      </c>
      <c r="B108" s="5" t="s">
        <v>205</v>
      </c>
      <c r="C108" s="7">
        <v>2.77</v>
      </c>
      <c r="D108" s="2" t="s">
        <v>86</v>
      </c>
      <c r="E108" s="8"/>
      <c r="F108" s="16">
        <f t="shared" si="6"/>
        <v>0</v>
      </c>
    </row>
    <row r="109" spans="1:6" x14ac:dyDescent="0.2">
      <c r="A109" s="2"/>
      <c r="B109" s="5" t="s">
        <v>206</v>
      </c>
      <c r="C109" s="2"/>
      <c r="D109" s="2"/>
      <c r="E109" s="2"/>
      <c r="F109" s="16"/>
    </row>
    <row r="110" spans="1:6" ht="30" x14ac:dyDescent="0.2">
      <c r="A110" s="2" t="s">
        <v>1092</v>
      </c>
      <c r="B110" s="5" t="s">
        <v>1093</v>
      </c>
      <c r="C110" s="7">
        <v>2.95</v>
      </c>
      <c r="D110" s="2" t="s">
        <v>86</v>
      </c>
      <c r="E110" s="8"/>
      <c r="F110" s="16">
        <f t="shared" si="6"/>
        <v>0</v>
      </c>
    </row>
    <row r="111" spans="1:6" x14ac:dyDescent="0.2">
      <c r="A111" s="2"/>
      <c r="B111" s="5" t="s">
        <v>209</v>
      </c>
      <c r="C111" s="2"/>
      <c r="D111" s="2"/>
      <c r="E111" s="2"/>
      <c r="F111" s="16"/>
    </row>
    <row r="112" spans="1:6" ht="20" x14ac:dyDescent="0.2">
      <c r="A112" s="2" t="s">
        <v>1094</v>
      </c>
      <c r="B112" s="5" t="s">
        <v>987</v>
      </c>
      <c r="C112" s="7">
        <v>1</v>
      </c>
      <c r="D112" s="2" t="s">
        <v>77</v>
      </c>
      <c r="E112" s="8"/>
      <c r="F112" s="16">
        <f t="shared" si="6"/>
        <v>0</v>
      </c>
    </row>
    <row r="113" spans="1:6" ht="20" x14ac:dyDescent="0.2">
      <c r="A113" s="2" t="s">
        <v>1095</v>
      </c>
      <c r="B113" s="5" t="s">
        <v>211</v>
      </c>
      <c r="C113" s="7">
        <v>1</v>
      </c>
      <c r="D113" s="2" t="s">
        <v>77</v>
      </c>
      <c r="E113" s="8"/>
      <c r="F113" s="16">
        <f t="shared" si="6"/>
        <v>0</v>
      </c>
    </row>
    <row r="114" spans="1:6" ht="20" x14ac:dyDescent="0.2">
      <c r="A114" s="2" t="s">
        <v>1096</v>
      </c>
      <c r="B114" s="5" t="s">
        <v>213</v>
      </c>
      <c r="C114" s="7">
        <v>2</v>
      </c>
      <c r="D114" s="2" t="s">
        <v>77</v>
      </c>
      <c r="E114" s="8"/>
      <c r="F114" s="16">
        <f t="shared" si="6"/>
        <v>0</v>
      </c>
    </row>
    <row r="115" spans="1:6" x14ac:dyDescent="0.2">
      <c r="A115" s="2"/>
      <c r="B115" s="5" t="s">
        <v>214</v>
      </c>
      <c r="C115" s="2"/>
      <c r="D115" s="2"/>
      <c r="E115" s="2"/>
    </row>
    <row r="116" spans="1:6" x14ac:dyDescent="0.2">
      <c r="A116" s="2" t="s">
        <v>1097</v>
      </c>
      <c r="B116" s="5" t="s">
        <v>216</v>
      </c>
      <c r="C116" s="7">
        <v>1</v>
      </c>
      <c r="D116" s="2" t="s">
        <v>77</v>
      </c>
      <c r="E116" s="8"/>
      <c r="F116" s="16">
        <f>C116*E116</f>
        <v>0</v>
      </c>
    </row>
    <row r="117" spans="1:6" x14ac:dyDescent="0.2">
      <c r="A117" s="2" t="s">
        <v>1098</v>
      </c>
      <c r="B117" s="5" t="s">
        <v>218</v>
      </c>
      <c r="C117" s="7">
        <v>2</v>
      </c>
      <c r="D117" s="2" t="s">
        <v>77</v>
      </c>
      <c r="E117" s="8"/>
      <c r="F117" s="16">
        <f>C117*E117</f>
        <v>0</v>
      </c>
    </row>
    <row r="118" spans="1:6" x14ac:dyDescent="0.2">
      <c r="A118" s="2" t="s">
        <v>1099</v>
      </c>
      <c r="B118" s="5" t="s">
        <v>992</v>
      </c>
      <c r="C118" s="7">
        <v>1</v>
      </c>
      <c r="D118" s="2" t="s">
        <v>77</v>
      </c>
      <c r="E118" s="8"/>
      <c r="F118" s="16">
        <f t="shared" ref="F118" si="7">C118*E118</f>
        <v>0</v>
      </c>
    </row>
    <row r="119" spans="1:6" ht="13" x14ac:dyDescent="0.3">
      <c r="B119" s="20" t="s">
        <v>219</v>
      </c>
      <c r="C119" s="9"/>
      <c r="D119" s="3"/>
      <c r="E119" s="9"/>
      <c r="F119" s="18">
        <f>SUM(F114:F118)</f>
        <v>0</v>
      </c>
    </row>
    <row r="121" spans="1:6" ht="10.5" x14ac:dyDescent="0.25">
      <c r="A121" s="6" t="s">
        <v>1100</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1101</v>
      </c>
      <c r="B124" s="5" t="s">
        <v>224</v>
      </c>
      <c r="C124" s="7">
        <v>1</v>
      </c>
      <c r="D124" s="2" t="s">
        <v>77</v>
      </c>
      <c r="E124" s="8"/>
      <c r="F124" s="16">
        <f t="shared" ref="F124:F126" si="8">C124*E124</f>
        <v>0</v>
      </c>
    </row>
    <row r="125" spans="1:6" x14ac:dyDescent="0.2">
      <c r="A125" s="2" t="s">
        <v>1102</v>
      </c>
      <c r="B125" s="5" t="s">
        <v>226</v>
      </c>
      <c r="C125" s="2"/>
      <c r="D125" s="2"/>
      <c r="E125" s="2"/>
      <c r="F125" s="2" t="s">
        <v>227</v>
      </c>
    </row>
    <row r="126" spans="1:6" x14ac:dyDescent="0.2">
      <c r="A126" s="2" t="s">
        <v>1103</v>
      </c>
      <c r="B126" s="5" t="s">
        <v>229</v>
      </c>
      <c r="C126" s="7">
        <v>1</v>
      </c>
      <c r="D126" s="2" t="s">
        <v>77</v>
      </c>
      <c r="E126" s="8"/>
      <c r="F126" s="16">
        <f t="shared" si="8"/>
        <v>0</v>
      </c>
    </row>
    <row r="127" spans="1:6" x14ac:dyDescent="0.2">
      <c r="A127" s="2" t="s">
        <v>1104</v>
      </c>
      <c r="B127" s="5" t="s">
        <v>1105</v>
      </c>
      <c r="C127" s="2"/>
      <c r="D127" s="2"/>
      <c r="E127" s="2"/>
      <c r="F127" s="2" t="s">
        <v>227</v>
      </c>
    </row>
    <row r="128" spans="1:6" x14ac:dyDescent="0.2">
      <c r="A128" s="2" t="s">
        <v>1106</v>
      </c>
      <c r="B128" s="5" t="s">
        <v>1107</v>
      </c>
      <c r="C128" s="2"/>
      <c r="D128" s="2"/>
      <c r="E128" s="2"/>
      <c r="F128" s="2" t="s">
        <v>227</v>
      </c>
    </row>
    <row r="129" spans="1:6" x14ac:dyDescent="0.2">
      <c r="A129" s="2" t="s">
        <v>1108</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1109</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1110</v>
      </c>
      <c r="B133" s="5" t="s">
        <v>252</v>
      </c>
      <c r="C133" s="7">
        <v>1</v>
      </c>
      <c r="D133" s="2" t="s">
        <v>77</v>
      </c>
      <c r="E133" s="8"/>
      <c r="F133" s="16">
        <f t="shared" ref="F133:F137" si="11">C133*E133</f>
        <v>0</v>
      </c>
    </row>
    <row r="134" spans="1:6" x14ac:dyDescent="0.2">
      <c r="A134" s="2" t="s">
        <v>1111</v>
      </c>
      <c r="B134" s="5" t="s">
        <v>254</v>
      </c>
      <c r="C134" s="7">
        <v>1</v>
      </c>
      <c r="D134" s="2" t="s">
        <v>77</v>
      </c>
      <c r="E134" s="8"/>
      <c r="F134" s="16">
        <f t="shared" si="11"/>
        <v>0</v>
      </c>
    </row>
    <row r="135" spans="1:6" x14ac:dyDescent="0.2">
      <c r="A135" s="2" t="s">
        <v>1112</v>
      </c>
      <c r="B135" s="5" t="s">
        <v>256</v>
      </c>
      <c r="C135" s="7">
        <v>1</v>
      </c>
      <c r="D135" s="2" t="s">
        <v>77</v>
      </c>
      <c r="E135" s="8"/>
      <c r="F135" s="16">
        <f t="shared" si="11"/>
        <v>0</v>
      </c>
    </row>
    <row r="136" spans="1:6" x14ac:dyDescent="0.2">
      <c r="A136" s="2" t="s">
        <v>1113</v>
      </c>
      <c r="B136" s="5" t="s">
        <v>258</v>
      </c>
      <c r="C136" s="7">
        <v>1</v>
      </c>
      <c r="D136" s="2" t="s">
        <v>77</v>
      </c>
      <c r="E136" s="8"/>
      <c r="F136" s="16">
        <f t="shared" si="11"/>
        <v>0</v>
      </c>
    </row>
    <row r="137" spans="1:6" x14ac:dyDescent="0.2">
      <c r="A137" s="2" t="s">
        <v>1114</v>
      </c>
      <c r="B137" s="5" t="s">
        <v>260</v>
      </c>
      <c r="C137" s="7">
        <v>1</v>
      </c>
      <c r="D137" s="2" t="s">
        <v>77</v>
      </c>
      <c r="E137" s="8"/>
      <c r="F137" s="16">
        <f t="shared" si="11"/>
        <v>0</v>
      </c>
    </row>
    <row r="138" spans="1:6" x14ac:dyDescent="0.2">
      <c r="A138" s="2"/>
      <c r="B138" s="5" t="s">
        <v>261</v>
      </c>
      <c r="C138" s="2"/>
      <c r="D138" s="2"/>
      <c r="E138" s="2"/>
    </row>
    <row r="139" spans="1:6" x14ac:dyDescent="0.2">
      <c r="A139" s="2" t="s">
        <v>1115</v>
      </c>
      <c r="B139" s="5" t="s">
        <v>263</v>
      </c>
      <c r="C139" s="7">
        <v>2</v>
      </c>
      <c r="D139" s="2" t="s">
        <v>77</v>
      </c>
      <c r="E139" s="8"/>
      <c r="F139" s="16">
        <f t="shared" ref="F139:F152" si="12">C139*E139</f>
        <v>0</v>
      </c>
    </row>
    <row r="140" spans="1:6" x14ac:dyDescent="0.2">
      <c r="A140" s="2" t="s">
        <v>1116</v>
      </c>
      <c r="B140" s="5" t="s">
        <v>252</v>
      </c>
      <c r="C140" s="7">
        <v>1</v>
      </c>
      <c r="D140" s="2" t="s">
        <v>77</v>
      </c>
      <c r="E140" s="8"/>
      <c r="F140" s="16">
        <f t="shared" si="12"/>
        <v>0</v>
      </c>
    </row>
    <row r="141" spans="1:6" x14ac:dyDescent="0.2">
      <c r="A141" s="2" t="s">
        <v>1117</v>
      </c>
      <c r="B141" s="5" t="s">
        <v>254</v>
      </c>
      <c r="C141" s="7">
        <v>3</v>
      </c>
      <c r="D141" s="2" t="s">
        <v>77</v>
      </c>
      <c r="E141" s="8"/>
      <c r="F141" s="16">
        <f t="shared" si="12"/>
        <v>0</v>
      </c>
    </row>
    <row r="142" spans="1:6" x14ac:dyDescent="0.2">
      <c r="A142" s="2" t="s">
        <v>1118</v>
      </c>
      <c r="B142" s="5" t="s">
        <v>267</v>
      </c>
      <c r="C142" s="7">
        <v>1</v>
      </c>
      <c r="D142" s="2" t="s">
        <v>77</v>
      </c>
      <c r="E142" s="8"/>
      <c r="F142" s="16">
        <f t="shared" si="12"/>
        <v>0</v>
      </c>
    </row>
    <row r="143" spans="1:6" x14ac:dyDescent="0.2">
      <c r="A143" s="2" t="s">
        <v>1119</v>
      </c>
      <c r="B143" s="5" t="s">
        <v>269</v>
      </c>
      <c r="C143" s="7">
        <v>2</v>
      </c>
      <c r="D143" s="2" t="s">
        <v>77</v>
      </c>
      <c r="E143" s="8"/>
      <c r="F143" s="16">
        <f t="shared" si="12"/>
        <v>0</v>
      </c>
    </row>
    <row r="144" spans="1:6" x14ac:dyDescent="0.2">
      <c r="A144" s="2" t="s">
        <v>1120</v>
      </c>
      <c r="B144" s="5" t="s">
        <v>256</v>
      </c>
      <c r="C144" s="7">
        <v>3</v>
      </c>
      <c r="D144" s="2" t="s">
        <v>77</v>
      </c>
      <c r="E144" s="8"/>
      <c r="F144" s="16">
        <f t="shared" si="12"/>
        <v>0</v>
      </c>
    </row>
    <row r="145" spans="1:6" x14ac:dyDescent="0.2">
      <c r="A145" s="2" t="s">
        <v>1121</v>
      </c>
      <c r="B145" s="5" t="s">
        <v>272</v>
      </c>
      <c r="C145" s="7">
        <v>4</v>
      </c>
      <c r="D145" s="2" t="s">
        <v>77</v>
      </c>
      <c r="E145" s="8"/>
      <c r="F145" s="16">
        <f t="shared" si="12"/>
        <v>0</v>
      </c>
    </row>
    <row r="146" spans="1:6" x14ac:dyDescent="0.2">
      <c r="A146" s="2" t="s">
        <v>1122</v>
      </c>
      <c r="B146" s="5" t="s">
        <v>274</v>
      </c>
      <c r="C146" s="7">
        <v>2</v>
      </c>
      <c r="D146" s="2" t="s">
        <v>77</v>
      </c>
      <c r="E146" s="8"/>
      <c r="F146" s="16">
        <f t="shared" si="12"/>
        <v>0</v>
      </c>
    </row>
    <row r="147" spans="1:6" x14ac:dyDescent="0.2">
      <c r="A147" s="2" t="s">
        <v>1123</v>
      </c>
      <c r="B147" s="5" t="s">
        <v>276</v>
      </c>
      <c r="C147" s="7">
        <v>2</v>
      </c>
      <c r="D147" s="2" t="s">
        <v>77</v>
      </c>
      <c r="E147" s="8"/>
      <c r="F147" s="16">
        <f t="shared" si="12"/>
        <v>0</v>
      </c>
    </row>
    <row r="148" spans="1:6" ht="20" x14ac:dyDescent="0.2">
      <c r="A148" s="2" t="s">
        <v>1124</v>
      </c>
      <c r="B148" s="5" t="s">
        <v>278</v>
      </c>
      <c r="C148" s="7">
        <v>2</v>
      </c>
      <c r="D148" s="2" t="s">
        <v>77</v>
      </c>
      <c r="E148" s="8"/>
      <c r="F148" s="16">
        <f t="shared" si="12"/>
        <v>0</v>
      </c>
    </row>
    <row r="149" spans="1:6" x14ac:dyDescent="0.2">
      <c r="A149" s="2" t="s">
        <v>1125</v>
      </c>
      <c r="B149" s="5" t="s">
        <v>258</v>
      </c>
      <c r="C149" s="7">
        <v>1</v>
      </c>
      <c r="D149" s="2" t="s">
        <v>77</v>
      </c>
      <c r="E149" s="8"/>
      <c r="F149" s="16">
        <f t="shared" si="12"/>
        <v>0</v>
      </c>
    </row>
    <row r="150" spans="1:6" x14ac:dyDescent="0.2">
      <c r="A150" s="2" t="s">
        <v>1126</v>
      </c>
      <c r="B150" s="5" t="s">
        <v>260</v>
      </c>
      <c r="C150" s="7">
        <v>1</v>
      </c>
      <c r="D150" s="2" t="s">
        <v>77</v>
      </c>
      <c r="E150" s="8"/>
      <c r="F150" s="16">
        <f>C150*E150</f>
        <v>0</v>
      </c>
    </row>
    <row r="151" spans="1:6" x14ac:dyDescent="0.2">
      <c r="A151" s="2" t="s">
        <v>1127</v>
      </c>
      <c r="B151" s="5" t="s">
        <v>282</v>
      </c>
      <c r="C151" s="7">
        <v>1</v>
      </c>
      <c r="D151" s="2" t="s">
        <v>77</v>
      </c>
      <c r="E151" s="8"/>
      <c r="F151" s="16">
        <f t="shared" si="12"/>
        <v>0</v>
      </c>
    </row>
    <row r="152" spans="1:6" x14ac:dyDescent="0.2">
      <c r="A152" s="2" t="s">
        <v>1128</v>
      </c>
      <c r="B152" s="5" t="s">
        <v>284</v>
      </c>
      <c r="C152" s="7">
        <v>2</v>
      </c>
      <c r="D152" s="2" t="s">
        <v>77</v>
      </c>
      <c r="E152" s="8"/>
      <c r="F152" s="16">
        <f t="shared" si="12"/>
        <v>0</v>
      </c>
    </row>
    <row r="153" spans="1:6" x14ac:dyDescent="0.2">
      <c r="A153" s="2"/>
      <c r="B153" s="5" t="s">
        <v>285</v>
      </c>
      <c r="C153" s="2"/>
      <c r="D153" s="2"/>
      <c r="E153" s="2"/>
    </row>
    <row r="154" spans="1:6" ht="60" x14ac:dyDescent="0.2">
      <c r="A154" s="2" t="s">
        <v>1129</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1130</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50" x14ac:dyDescent="0.2">
      <c r="A163" s="2" t="s">
        <v>1131</v>
      </c>
      <c r="B163" s="5" t="s">
        <v>295</v>
      </c>
      <c r="C163" s="7">
        <v>46</v>
      </c>
      <c r="D163" s="2" t="s">
        <v>89</v>
      </c>
      <c r="E163" s="8"/>
      <c r="F163" s="16">
        <f t="shared" ref="F163:F164" si="14">C163*E163</f>
        <v>0</v>
      </c>
    </row>
    <row r="164" spans="1:6" ht="50" x14ac:dyDescent="0.2">
      <c r="A164" s="2" t="s">
        <v>1132</v>
      </c>
      <c r="B164" s="5" t="s">
        <v>297</v>
      </c>
      <c r="C164" s="7">
        <v>4</v>
      </c>
      <c r="D164" s="2" t="s">
        <v>86</v>
      </c>
      <c r="E164" s="8"/>
      <c r="F164" s="16">
        <f t="shared" si="14"/>
        <v>0</v>
      </c>
    </row>
    <row r="165" spans="1:6" x14ac:dyDescent="0.2">
      <c r="A165" s="2"/>
      <c r="B165" s="5" t="s">
        <v>298</v>
      </c>
      <c r="C165" s="2"/>
      <c r="D165" s="2"/>
      <c r="E165" s="2"/>
    </row>
    <row r="166" spans="1:6" ht="30" x14ac:dyDescent="0.2">
      <c r="A166" s="2" t="s">
        <v>1133</v>
      </c>
      <c r="B166" s="5" t="s">
        <v>300</v>
      </c>
      <c r="C166" s="7">
        <v>2</v>
      </c>
      <c r="D166" s="2" t="s">
        <v>89</v>
      </c>
      <c r="E166" s="8"/>
      <c r="F166" s="16">
        <f>C166*E166</f>
        <v>0</v>
      </c>
    </row>
    <row r="167" spans="1:6" ht="13" x14ac:dyDescent="0.3">
      <c r="B167" s="20" t="s">
        <v>301</v>
      </c>
      <c r="C167" s="9"/>
      <c r="D167" s="3"/>
      <c r="E167" s="9"/>
      <c r="F167" s="18">
        <f>SUM(F163:F166)</f>
        <v>0</v>
      </c>
    </row>
    <row r="169" spans="1:6" ht="10.5" x14ac:dyDescent="0.25">
      <c r="A169" s="6" t="s">
        <v>1134</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1135</v>
      </c>
      <c r="B178" s="5" t="s">
        <v>312</v>
      </c>
      <c r="C178" s="7">
        <v>194</v>
      </c>
      <c r="D178" s="2" t="s">
        <v>89</v>
      </c>
      <c r="E178" s="7"/>
      <c r="F178" s="16">
        <f>C178*E178</f>
        <v>0</v>
      </c>
    </row>
    <row r="179" spans="1:6" ht="13" x14ac:dyDescent="0.3">
      <c r="B179" s="20" t="s">
        <v>313</v>
      </c>
      <c r="C179" s="9"/>
      <c r="D179" s="3"/>
      <c r="E179" s="9"/>
      <c r="F179" s="18">
        <f>SUM(F178)</f>
        <v>0</v>
      </c>
    </row>
    <row r="181" spans="1:6" ht="10.5" x14ac:dyDescent="0.25">
      <c r="A181" s="6" t="s">
        <v>1136</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1137</v>
      </c>
      <c r="B191" s="5" t="s">
        <v>325</v>
      </c>
      <c r="C191" s="7">
        <v>194</v>
      </c>
      <c r="D191" s="2" t="s">
        <v>89</v>
      </c>
      <c r="E191" s="7"/>
      <c r="F191" s="16">
        <f>C191*E191</f>
        <v>0</v>
      </c>
    </row>
    <row r="192" spans="1:6" ht="13" x14ac:dyDescent="0.3">
      <c r="B192" s="20" t="s">
        <v>326</v>
      </c>
      <c r="C192" s="9"/>
      <c r="D192" s="3"/>
      <c r="E192" s="9"/>
      <c r="F192" s="18">
        <f>SUM(F191)</f>
        <v>0</v>
      </c>
    </row>
    <row r="194" spans="1:6" ht="10.5" x14ac:dyDescent="0.25">
      <c r="A194" s="6" t="s">
        <v>1138</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1139</v>
      </c>
      <c r="B207" s="5" t="s">
        <v>341</v>
      </c>
      <c r="C207" s="7">
        <v>194</v>
      </c>
      <c r="D207" s="2" t="s">
        <v>89</v>
      </c>
      <c r="E207" s="7"/>
      <c r="F207" s="16">
        <f>C207*E207</f>
        <v>0</v>
      </c>
    </row>
    <row r="208" spans="1:6" ht="21.5" x14ac:dyDescent="0.3">
      <c r="B208" s="20" t="s">
        <v>342</v>
      </c>
      <c r="C208" s="9"/>
      <c r="D208" s="3"/>
      <c r="E208" s="9"/>
      <c r="F208" s="18">
        <f>SUM(F207)</f>
        <v>0</v>
      </c>
    </row>
    <row r="209" spans="2:6" ht="13" x14ac:dyDescent="0.3">
      <c r="B209" s="20" t="s">
        <v>1140</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8E7A-787A-4830-AD8D-677832F59375}">
  <sheetPr codeName="Sheet11">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1816</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1141</v>
      </c>
      <c r="B6" s="20" t="s">
        <v>1142</v>
      </c>
    </row>
    <row r="7" spans="1:6" x14ac:dyDescent="0.2">
      <c r="A7" s="2"/>
      <c r="B7" s="5"/>
      <c r="C7" s="2"/>
      <c r="D7" s="2"/>
      <c r="E7" s="2"/>
    </row>
    <row r="8" spans="1:6" x14ac:dyDescent="0.2">
      <c r="A8" s="2"/>
      <c r="B8" s="5" t="s">
        <v>443</v>
      </c>
      <c r="C8" s="2"/>
      <c r="D8" s="2"/>
      <c r="E8" s="2"/>
    </row>
    <row r="10" spans="1:6" ht="10.5" x14ac:dyDescent="0.25">
      <c r="A10" s="6" t="s">
        <v>1143</v>
      </c>
      <c r="B10" s="21" t="s">
        <v>69</v>
      </c>
    </row>
    <row r="11" spans="1:6" ht="30" x14ac:dyDescent="0.2">
      <c r="A11" s="2"/>
      <c r="B11" s="5" t="s">
        <v>1144</v>
      </c>
      <c r="C11" s="2"/>
      <c r="D11" s="2"/>
      <c r="E11" s="2"/>
    </row>
    <row r="12" spans="1:6" x14ac:dyDescent="0.2">
      <c r="A12" s="2"/>
      <c r="B12" s="5" t="s">
        <v>72</v>
      </c>
      <c r="C12" s="2"/>
      <c r="D12" s="2" t="s">
        <v>73</v>
      </c>
      <c r="E12" s="2"/>
    </row>
    <row r="13" spans="1:6" x14ac:dyDescent="0.2">
      <c r="A13" s="2"/>
      <c r="B13" s="5" t="s">
        <v>71</v>
      </c>
      <c r="C13" s="2"/>
      <c r="D13" s="2"/>
      <c r="E13" s="2"/>
    </row>
    <row r="14" spans="1:6" x14ac:dyDescent="0.2">
      <c r="A14" s="2"/>
      <c r="B14" s="5" t="s">
        <v>74</v>
      </c>
      <c r="C14" s="2"/>
      <c r="D14" s="2"/>
      <c r="E14" s="2"/>
    </row>
    <row r="15" spans="1:6" ht="20" x14ac:dyDescent="0.2">
      <c r="A15" s="2" t="s">
        <v>1145</v>
      </c>
      <c r="B15" s="5" t="s">
        <v>76</v>
      </c>
      <c r="C15" s="7">
        <v>14</v>
      </c>
      <c r="D15" s="2" t="s">
        <v>77</v>
      </c>
      <c r="E15" s="8"/>
      <c r="F15" s="16">
        <f>C15*E15</f>
        <v>0</v>
      </c>
    </row>
    <row r="16" spans="1:6" x14ac:dyDescent="0.2">
      <c r="A16" s="2" t="s">
        <v>1146</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1147</v>
      </c>
      <c r="B18" s="5" t="s">
        <v>83</v>
      </c>
      <c r="C18" s="7">
        <v>1</v>
      </c>
      <c r="D18" s="2" t="s">
        <v>80</v>
      </c>
      <c r="E18" s="8"/>
      <c r="F18" s="16">
        <f t="shared" si="0"/>
        <v>0</v>
      </c>
    </row>
    <row r="19" spans="1:6" x14ac:dyDescent="0.2">
      <c r="A19" s="2"/>
      <c r="B19" s="5" t="s">
        <v>69</v>
      </c>
      <c r="C19" s="2"/>
      <c r="D19" s="2"/>
      <c r="E19" s="2"/>
      <c r="F19" s="16"/>
    </row>
    <row r="20" spans="1:6" ht="20" x14ac:dyDescent="0.2">
      <c r="A20" s="2" t="s">
        <v>1148</v>
      </c>
      <c r="B20" s="5" t="s">
        <v>85</v>
      </c>
      <c r="C20" s="7">
        <v>10</v>
      </c>
      <c r="D20" s="2" t="s">
        <v>86</v>
      </c>
      <c r="E20" s="8"/>
      <c r="F20" s="16">
        <f t="shared" si="0"/>
        <v>0</v>
      </c>
    </row>
    <row r="21" spans="1:6" x14ac:dyDescent="0.2">
      <c r="A21" s="2" t="s">
        <v>1149</v>
      </c>
      <c r="B21" s="5" t="s">
        <v>88</v>
      </c>
      <c r="C21" s="7">
        <v>6</v>
      </c>
      <c r="D21" s="2" t="s">
        <v>89</v>
      </c>
      <c r="E21" s="8"/>
      <c r="F21" s="16">
        <f t="shared" si="0"/>
        <v>0</v>
      </c>
    </row>
    <row r="22" spans="1:6" ht="30" x14ac:dyDescent="0.2">
      <c r="A22" s="2" t="s">
        <v>1150</v>
      </c>
      <c r="B22" s="5" t="s">
        <v>91</v>
      </c>
      <c r="C22" s="7">
        <v>33</v>
      </c>
      <c r="D22" s="2" t="s">
        <v>89</v>
      </c>
      <c r="E22" s="8"/>
      <c r="F22" s="16">
        <f t="shared" si="0"/>
        <v>0</v>
      </c>
    </row>
    <row r="23" spans="1:6" x14ac:dyDescent="0.2">
      <c r="A23" s="2" t="s">
        <v>1151</v>
      </c>
      <c r="B23" s="5" t="s">
        <v>93</v>
      </c>
      <c r="C23" s="7">
        <v>10</v>
      </c>
      <c r="D23" s="2" t="s">
        <v>86</v>
      </c>
      <c r="E23" s="8"/>
      <c r="F23" s="16">
        <f t="shared" si="0"/>
        <v>0</v>
      </c>
    </row>
    <row r="24" spans="1:6" x14ac:dyDescent="0.2">
      <c r="A24" s="2" t="s">
        <v>1152</v>
      </c>
      <c r="B24" s="5" t="s">
        <v>95</v>
      </c>
      <c r="C24" s="7">
        <v>12</v>
      </c>
      <c r="D24" s="2" t="s">
        <v>77</v>
      </c>
      <c r="E24" s="8"/>
      <c r="F24" s="16">
        <f t="shared" si="0"/>
        <v>0</v>
      </c>
    </row>
    <row r="25" spans="1:6" ht="20" x14ac:dyDescent="0.2">
      <c r="A25" s="2" t="s">
        <v>1153</v>
      </c>
      <c r="B25" s="5" t="s">
        <v>97</v>
      </c>
      <c r="C25" s="7">
        <v>12</v>
      </c>
      <c r="D25" s="2" t="s">
        <v>86</v>
      </c>
      <c r="E25" s="8"/>
      <c r="F25" s="16">
        <f t="shared" si="0"/>
        <v>0</v>
      </c>
    </row>
    <row r="26" spans="1:6" x14ac:dyDescent="0.2">
      <c r="A26" s="2" t="s">
        <v>1154</v>
      </c>
      <c r="B26" s="5" t="s">
        <v>99</v>
      </c>
      <c r="C26" s="7">
        <v>136</v>
      </c>
      <c r="D26" s="2" t="s">
        <v>89</v>
      </c>
      <c r="E26" s="8"/>
      <c r="F26" s="16">
        <f t="shared" si="0"/>
        <v>0</v>
      </c>
    </row>
    <row r="27" spans="1:6" x14ac:dyDescent="0.2">
      <c r="A27" s="2" t="s">
        <v>1155</v>
      </c>
      <c r="B27" s="5" t="s">
        <v>101</v>
      </c>
      <c r="C27" s="7">
        <v>2</v>
      </c>
      <c r="D27" s="2" t="s">
        <v>77</v>
      </c>
      <c r="E27" s="8"/>
      <c r="F27" s="16">
        <f t="shared" si="0"/>
        <v>0</v>
      </c>
    </row>
    <row r="28" spans="1:6" x14ac:dyDescent="0.2">
      <c r="A28" s="2" t="s">
        <v>1156</v>
      </c>
      <c r="B28" s="5" t="s">
        <v>103</v>
      </c>
      <c r="C28" s="7">
        <v>1</v>
      </c>
      <c r="D28" s="2" t="s">
        <v>104</v>
      </c>
      <c r="E28" s="8"/>
      <c r="F28" s="16">
        <f t="shared" si="0"/>
        <v>0</v>
      </c>
    </row>
    <row r="29" spans="1:6" x14ac:dyDescent="0.2">
      <c r="A29" s="2" t="s">
        <v>1157</v>
      </c>
      <c r="B29" s="5" t="s">
        <v>106</v>
      </c>
      <c r="C29" s="7">
        <v>1</v>
      </c>
      <c r="D29" s="2" t="s">
        <v>77</v>
      </c>
      <c r="E29" s="8"/>
      <c r="F29" s="16">
        <f t="shared" si="0"/>
        <v>0</v>
      </c>
    </row>
    <row r="30" spans="1:6" x14ac:dyDescent="0.2">
      <c r="A30" s="2" t="s">
        <v>1158</v>
      </c>
      <c r="B30" s="5" t="s">
        <v>108</v>
      </c>
      <c r="C30" s="7">
        <v>69</v>
      </c>
      <c r="D30" s="2" t="s">
        <v>89</v>
      </c>
      <c r="E30" s="8"/>
      <c r="F30" s="16">
        <f t="shared" si="0"/>
        <v>0</v>
      </c>
    </row>
    <row r="31" spans="1:6" ht="20" x14ac:dyDescent="0.2">
      <c r="A31" s="2" t="s">
        <v>1159</v>
      </c>
      <c r="B31" s="5" t="s">
        <v>110</v>
      </c>
      <c r="C31" s="7">
        <v>1</v>
      </c>
      <c r="D31" s="2" t="s">
        <v>77</v>
      </c>
      <c r="E31" s="8"/>
      <c r="F31" s="16">
        <f t="shared" si="0"/>
        <v>0</v>
      </c>
    </row>
    <row r="32" spans="1:6" ht="20" x14ac:dyDescent="0.2">
      <c r="A32" s="2" t="s">
        <v>1160</v>
      </c>
      <c r="B32" s="5" t="s">
        <v>112</v>
      </c>
      <c r="C32" s="7">
        <v>26</v>
      </c>
      <c r="D32" s="2" t="s">
        <v>86</v>
      </c>
      <c r="E32" s="8"/>
      <c r="F32" s="16">
        <f t="shared" si="0"/>
        <v>0</v>
      </c>
    </row>
    <row r="33" spans="1:6" ht="40" x14ac:dyDescent="0.2">
      <c r="A33" s="2" t="s">
        <v>1161</v>
      </c>
      <c r="B33" s="5" t="s">
        <v>114</v>
      </c>
      <c r="C33" s="7">
        <v>44</v>
      </c>
      <c r="D33" s="2" t="s">
        <v>89</v>
      </c>
      <c r="E33" s="8"/>
      <c r="F33" s="16">
        <f t="shared" si="0"/>
        <v>0</v>
      </c>
    </row>
    <row r="34" spans="1:6" x14ac:dyDescent="0.2">
      <c r="A34" s="2"/>
      <c r="B34" s="5" t="s">
        <v>115</v>
      </c>
      <c r="C34" s="2"/>
      <c r="D34" s="2"/>
      <c r="E34" s="2"/>
      <c r="F34" s="16"/>
    </row>
    <row r="35" spans="1:6" ht="30" x14ac:dyDescent="0.2">
      <c r="A35" s="2" t="s">
        <v>1162</v>
      </c>
      <c r="B35" s="5" t="s">
        <v>117</v>
      </c>
      <c r="C35" s="7">
        <v>1</v>
      </c>
      <c r="D35" s="2" t="s">
        <v>80</v>
      </c>
      <c r="E35" s="8"/>
      <c r="F35" s="16">
        <f t="shared" si="0"/>
        <v>0</v>
      </c>
    </row>
    <row r="36" spans="1:6" x14ac:dyDescent="0.2">
      <c r="A36" s="2" t="s">
        <v>1163</v>
      </c>
      <c r="B36" s="5" t="s">
        <v>119</v>
      </c>
      <c r="C36" s="7">
        <v>1</v>
      </c>
      <c r="D36" s="2" t="s">
        <v>104</v>
      </c>
      <c r="E36" s="8"/>
      <c r="F36" s="16">
        <f t="shared" si="0"/>
        <v>0</v>
      </c>
    </row>
    <row r="37" spans="1:6" ht="20" x14ac:dyDescent="0.2">
      <c r="A37" s="2" t="s">
        <v>1164</v>
      </c>
      <c r="B37" s="5" t="s">
        <v>121</v>
      </c>
      <c r="C37" s="7">
        <v>1</v>
      </c>
      <c r="D37" s="2" t="s">
        <v>104</v>
      </c>
      <c r="E37" s="8"/>
      <c r="F37" s="16">
        <f t="shared" si="0"/>
        <v>0</v>
      </c>
    </row>
    <row r="38" spans="1:6" x14ac:dyDescent="0.2">
      <c r="A38" s="2" t="s">
        <v>1165</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1166</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1167</v>
      </c>
      <c r="B51" s="5" t="s">
        <v>137</v>
      </c>
      <c r="C51" s="7">
        <v>366</v>
      </c>
      <c r="D51" s="2" t="s">
        <v>89</v>
      </c>
      <c r="E51" s="8"/>
      <c r="F51" s="16">
        <f t="shared" ref="F51:F58" si="1">C51*E51</f>
        <v>0</v>
      </c>
    </row>
    <row r="52" spans="1:6" x14ac:dyDescent="0.2">
      <c r="A52" s="2"/>
      <c r="B52" s="5" t="s">
        <v>138</v>
      </c>
      <c r="C52" s="2"/>
      <c r="D52" s="2"/>
      <c r="E52" s="2"/>
      <c r="F52" s="16"/>
    </row>
    <row r="53" spans="1:6" ht="30" x14ac:dyDescent="0.2">
      <c r="A53" s="2" t="s">
        <v>1168</v>
      </c>
      <c r="B53" s="5" t="s">
        <v>140</v>
      </c>
      <c r="C53" s="7">
        <v>63</v>
      </c>
      <c r="D53" s="2" t="s">
        <v>89</v>
      </c>
      <c r="E53" s="8"/>
      <c r="F53" s="16">
        <f t="shared" si="1"/>
        <v>0</v>
      </c>
    </row>
    <row r="54" spans="1:6" ht="40" x14ac:dyDescent="0.2">
      <c r="A54" s="2" t="s">
        <v>1169</v>
      </c>
      <c r="B54" s="5" t="s">
        <v>964</v>
      </c>
      <c r="C54" s="7">
        <v>6</v>
      </c>
      <c r="D54" s="2" t="s">
        <v>89</v>
      </c>
      <c r="E54" s="8"/>
      <c r="F54" s="16">
        <f t="shared" si="1"/>
        <v>0</v>
      </c>
    </row>
    <row r="55" spans="1:6" ht="30" x14ac:dyDescent="0.2">
      <c r="A55" s="2" t="s">
        <v>1170</v>
      </c>
      <c r="B55" s="5" t="s">
        <v>142</v>
      </c>
      <c r="C55" s="7">
        <v>4</v>
      </c>
      <c r="D55" s="2" t="s">
        <v>89</v>
      </c>
      <c r="E55" s="8"/>
      <c r="F55" s="16">
        <f t="shared" si="1"/>
        <v>0</v>
      </c>
    </row>
    <row r="56" spans="1:6" ht="20" x14ac:dyDescent="0.2">
      <c r="A56" s="2" t="s">
        <v>1171</v>
      </c>
      <c r="B56" s="5" t="s">
        <v>144</v>
      </c>
      <c r="C56" s="7">
        <v>91</v>
      </c>
      <c r="D56" s="2" t="s">
        <v>89</v>
      </c>
      <c r="E56" s="8"/>
      <c r="F56" s="16">
        <f t="shared" si="1"/>
        <v>0</v>
      </c>
    </row>
    <row r="57" spans="1:6" x14ac:dyDescent="0.2">
      <c r="A57" s="2"/>
      <c r="B57" s="5" t="s">
        <v>145</v>
      </c>
      <c r="C57" s="2"/>
      <c r="D57" s="2"/>
      <c r="E57" s="2"/>
      <c r="F57" s="16"/>
    </row>
    <row r="58" spans="1:6" ht="30" x14ac:dyDescent="0.2">
      <c r="A58" s="2" t="s">
        <v>1172</v>
      </c>
      <c r="B58" s="5" t="s">
        <v>147</v>
      </c>
      <c r="C58" s="7">
        <v>127</v>
      </c>
      <c r="D58" s="2" t="s">
        <v>86</v>
      </c>
      <c r="E58" s="8"/>
      <c r="F58" s="16">
        <f t="shared" si="1"/>
        <v>0</v>
      </c>
    </row>
    <row r="59" spans="1:6" x14ac:dyDescent="0.2">
      <c r="A59" s="2"/>
      <c r="B59" s="5" t="s">
        <v>148</v>
      </c>
      <c r="C59" s="2"/>
      <c r="D59" s="2"/>
      <c r="E59" s="2"/>
      <c r="F59" s="16"/>
    </row>
    <row r="60" spans="1:6" ht="30" x14ac:dyDescent="0.2">
      <c r="A60" s="2" t="s">
        <v>1173</v>
      </c>
      <c r="B60" s="5" t="s">
        <v>150</v>
      </c>
      <c r="C60" s="7">
        <v>13</v>
      </c>
      <c r="D60" s="2" t="s">
        <v>77</v>
      </c>
      <c r="E60" s="8"/>
      <c r="F60" s="16">
        <f t="shared" ref="F60" si="2">C60*E60</f>
        <v>0</v>
      </c>
    </row>
    <row r="61" spans="1:6" ht="13" x14ac:dyDescent="0.3">
      <c r="B61" s="20" t="s">
        <v>151</v>
      </c>
      <c r="C61" s="9"/>
      <c r="D61" s="3"/>
      <c r="E61" s="9"/>
      <c r="F61" s="18">
        <f>SUM(F51:F60)</f>
        <v>0</v>
      </c>
    </row>
    <row r="63" spans="1:6" ht="10.5" x14ac:dyDescent="0.25">
      <c r="A63" s="6" t="s">
        <v>1174</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1175</v>
      </c>
      <c r="B69" s="5" t="s">
        <v>158</v>
      </c>
      <c r="C69" s="7">
        <v>115</v>
      </c>
      <c r="D69" s="2" t="s">
        <v>89</v>
      </c>
      <c r="E69" s="8"/>
      <c r="F69" s="16">
        <f t="shared" ref="F69:F73" si="3">C69*E69</f>
        <v>0</v>
      </c>
    </row>
    <row r="70" spans="1:6" ht="40" x14ac:dyDescent="0.2">
      <c r="A70" s="2" t="s">
        <v>1176</v>
      </c>
      <c r="B70" s="5" t="s">
        <v>160</v>
      </c>
      <c r="C70" s="7">
        <v>18</v>
      </c>
      <c r="D70" s="2" t="s">
        <v>89</v>
      </c>
      <c r="E70" s="8"/>
      <c r="F70" s="16">
        <f t="shared" si="3"/>
        <v>0</v>
      </c>
    </row>
    <row r="71" spans="1:6" x14ac:dyDescent="0.2">
      <c r="A71" s="2"/>
      <c r="B71" s="5" t="s">
        <v>161</v>
      </c>
      <c r="C71" s="2"/>
      <c r="D71" s="2"/>
      <c r="E71" s="2"/>
      <c r="F71" s="16"/>
    </row>
    <row r="72" spans="1:6" x14ac:dyDescent="0.2">
      <c r="A72" s="2" t="s">
        <v>1177</v>
      </c>
      <c r="B72" s="5" t="s">
        <v>163</v>
      </c>
      <c r="C72" s="7">
        <v>17.77</v>
      </c>
      <c r="D72" s="2" t="s">
        <v>86</v>
      </c>
      <c r="E72" s="8"/>
      <c r="F72" s="16">
        <f t="shared" si="3"/>
        <v>0</v>
      </c>
    </row>
    <row r="73" spans="1:6" ht="20" x14ac:dyDescent="0.2">
      <c r="A73" s="2" t="s">
        <v>1178</v>
      </c>
      <c r="B73" s="5" t="s">
        <v>165</v>
      </c>
      <c r="C73" s="7">
        <v>10</v>
      </c>
      <c r="D73" s="2" t="s">
        <v>89</v>
      </c>
      <c r="E73" s="8"/>
      <c r="F73" s="16">
        <f t="shared" si="3"/>
        <v>0</v>
      </c>
    </row>
    <row r="74" spans="1:6" ht="13" x14ac:dyDescent="0.3">
      <c r="B74" s="20" t="s">
        <v>166</v>
      </c>
      <c r="C74" s="9"/>
      <c r="D74" s="3"/>
      <c r="E74" s="9"/>
      <c r="F74" s="18">
        <f>SUM(F69:F73)</f>
        <v>0</v>
      </c>
    </row>
    <row r="76" spans="1:6" ht="10.5" x14ac:dyDescent="0.25">
      <c r="A76" s="6" t="s">
        <v>1179</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1180</v>
      </c>
      <c r="B80" s="5" t="s">
        <v>172</v>
      </c>
      <c r="C80" s="7">
        <v>157</v>
      </c>
      <c r="D80" s="2" t="s">
        <v>89</v>
      </c>
      <c r="E80" s="8"/>
      <c r="F80" s="16">
        <f t="shared" ref="F80" si="4">C80*E80</f>
        <v>0</v>
      </c>
    </row>
    <row r="81" spans="1:6" ht="13" x14ac:dyDescent="0.3">
      <c r="B81" s="20" t="s">
        <v>173</v>
      </c>
      <c r="C81" s="9"/>
      <c r="D81" s="3"/>
      <c r="E81" s="9"/>
      <c r="F81" s="18">
        <f>SUM(F80)</f>
        <v>0</v>
      </c>
    </row>
    <row r="83" spans="1:6" ht="10.5" x14ac:dyDescent="0.25">
      <c r="A83" s="6" t="s">
        <v>1181</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1182</v>
      </c>
      <c r="B88" s="5" t="s">
        <v>179</v>
      </c>
      <c r="C88" s="7">
        <v>1</v>
      </c>
      <c r="D88" s="2" t="s">
        <v>77</v>
      </c>
      <c r="E88" s="8"/>
      <c r="F88" s="16">
        <f>C88*E88</f>
        <v>0</v>
      </c>
    </row>
    <row r="89" spans="1:6" ht="20" x14ac:dyDescent="0.2">
      <c r="A89" s="2" t="s">
        <v>1183</v>
      </c>
      <c r="B89" s="5" t="s">
        <v>181</v>
      </c>
      <c r="C89" s="7">
        <v>12</v>
      </c>
      <c r="D89" s="2" t="s">
        <v>77</v>
      </c>
      <c r="E89" s="8"/>
      <c r="F89" s="16">
        <f>C89*E89</f>
        <v>0</v>
      </c>
    </row>
    <row r="90" spans="1:6" ht="30" x14ac:dyDescent="0.2">
      <c r="A90" s="2" t="s">
        <v>1184</v>
      </c>
      <c r="B90" s="5" t="s">
        <v>183</v>
      </c>
      <c r="C90" s="7">
        <v>2</v>
      </c>
      <c r="D90" s="2" t="s">
        <v>77</v>
      </c>
      <c r="E90" s="8"/>
      <c r="F90" s="16">
        <f t="shared" ref="F90" si="5">C90*E90</f>
        <v>0</v>
      </c>
    </row>
    <row r="91" spans="1:6" ht="13" x14ac:dyDescent="0.3">
      <c r="B91" s="20" t="s">
        <v>184</v>
      </c>
      <c r="C91" s="9"/>
      <c r="D91" s="3"/>
      <c r="E91" s="9"/>
      <c r="F91" s="18">
        <f>SUM(F86:F90)</f>
        <v>0</v>
      </c>
    </row>
    <row r="93" spans="1:6" ht="10.5" x14ac:dyDescent="0.25">
      <c r="A93" s="6" t="s">
        <v>1185</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1186</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1187</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1188</v>
      </c>
      <c r="B105" s="5" t="s">
        <v>200</v>
      </c>
      <c r="C105" s="7">
        <v>3.14</v>
      </c>
      <c r="D105" s="2" t="s">
        <v>86</v>
      </c>
      <c r="E105" s="8"/>
      <c r="F105" s="16">
        <f t="shared" si="6"/>
        <v>0</v>
      </c>
    </row>
    <row r="106" spans="1:6" ht="40" x14ac:dyDescent="0.2">
      <c r="A106" s="2" t="s">
        <v>1189</v>
      </c>
      <c r="B106" s="5" t="s">
        <v>202</v>
      </c>
      <c r="C106" s="7">
        <v>2.0299999999999998</v>
      </c>
      <c r="D106" s="2" t="s">
        <v>86</v>
      </c>
      <c r="E106" s="8"/>
      <c r="F106" s="16">
        <f t="shared" si="6"/>
        <v>0</v>
      </c>
    </row>
    <row r="107" spans="1:6" x14ac:dyDescent="0.2">
      <c r="A107" s="2"/>
      <c r="B107" s="5" t="s">
        <v>203</v>
      </c>
      <c r="C107" s="2"/>
      <c r="D107" s="2"/>
      <c r="E107" s="2"/>
      <c r="F107" s="16"/>
    </row>
    <row r="108" spans="1:6" ht="30" x14ac:dyDescent="0.2">
      <c r="A108" s="2" t="s">
        <v>1190</v>
      </c>
      <c r="B108" s="5" t="s">
        <v>205</v>
      </c>
      <c r="C108" s="7">
        <v>2.77</v>
      </c>
      <c r="D108" s="2" t="s">
        <v>86</v>
      </c>
      <c r="E108" s="8"/>
      <c r="F108" s="16">
        <f t="shared" si="6"/>
        <v>0</v>
      </c>
    </row>
    <row r="109" spans="1:6" x14ac:dyDescent="0.2">
      <c r="A109" s="2"/>
      <c r="B109" s="5" t="s">
        <v>206</v>
      </c>
      <c r="C109" s="2"/>
      <c r="D109" s="2"/>
      <c r="E109" s="2"/>
      <c r="F109" s="16"/>
    </row>
    <row r="110" spans="1:6" ht="30" x14ac:dyDescent="0.2">
      <c r="A110" s="2" t="s">
        <v>1191</v>
      </c>
      <c r="B110" s="5" t="s">
        <v>1093</v>
      </c>
      <c r="C110" s="7">
        <v>2.95</v>
      </c>
      <c r="D110" s="2" t="s">
        <v>86</v>
      </c>
      <c r="E110" s="8"/>
      <c r="F110" s="16">
        <f t="shared" si="6"/>
        <v>0</v>
      </c>
    </row>
    <row r="111" spans="1:6" x14ac:dyDescent="0.2">
      <c r="A111" s="2"/>
      <c r="B111" s="5" t="s">
        <v>209</v>
      </c>
      <c r="C111" s="2"/>
      <c r="D111" s="2"/>
      <c r="E111" s="2"/>
      <c r="F111" s="16"/>
    </row>
    <row r="112" spans="1:6" ht="20" x14ac:dyDescent="0.2">
      <c r="A112" s="2" t="s">
        <v>1192</v>
      </c>
      <c r="B112" s="5" t="s">
        <v>987</v>
      </c>
      <c r="C112" s="7">
        <v>1</v>
      </c>
      <c r="D112" s="2" t="s">
        <v>77</v>
      </c>
      <c r="E112" s="8"/>
      <c r="F112" s="16">
        <f t="shared" si="6"/>
        <v>0</v>
      </c>
    </row>
    <row r="113" spans="1:6" ht="20" x14ac:dyDescent="0.2">
      <c r="A113" s="2" t="s">
        <v>1193</v>
      </c>
      <c r="B113" s="5" t="s">
        <v>211</v>
      </c>
      <c r="C113" s="7">
        <v>1</v>
      </c>
      <c r="D113" s="2" t="s">
        <v>77</v>
      </c>
      <c r="E113" s="8"/>
      <c r="F113" s="16">
        <f t="shared" si="6"/>
        <v>0</v>
      </c>
    </row>
    <row r="114" spans="1:6" ht="20" x14ac:dyDescent="0.2">
      <c r="A114" s="2" t="s">
        <v>1194</v>
      </c>
      <c r="B114" s="5" t="s">
        <v>213</v>
      </c>
      <c r="C114" s="7">
        <v>2</v>
      </c>
      <c r="D114" s="2" t="s">
        <v>77</v>
      </c>
      <c r="E114" s="8"/>
      <c r="F114" s="16">
        <f t="shared" si="6"/>
        <v>0</v>
      </c>
    </row>
    <row r="115" spans="1:6" x14ac:dyDescent="0.2">
      <c r="A115" s="2"/>
      <c r="B115" s="5" t="s">
        <v>214</v>
      </c>
      <c r="C115" s="2"/>
      <c r="D115" s="2"/>
      <c r="E115" s="2"/>
    </row>
    <row r="116" spans="1:6" x14ac:dyDescent="0.2">
      <c r="A116" s="2" t="s">
        <v>1195</v>
      </c>
      <c r="B116" s="5" t="s">
        <v>216</v>
      </c>
      <c r="C116" s="7">
        <v>1</v>
      </c>
      <c r="D116" s="2" t="s">
        <v>77</v>
      </c>
      <c r="E116" s="8"/>
      <c r="F116" s="16">
        <f>C116*E116</f>
        <v>0</v>
      </c>
    </row>
    <row r="117" spans="1:6" x14ac:dyDescent="0.2">
      <c r="A117" s="2" t="s">
        <v>1196</v>
      </c>
      <c r="B117" s="5" t="s">
        <v>992</v>
      </c>
      <c r="C117" s="7">
        <v>1</v>
      </c>
      <c r="D117" s="2" t="s">
        <v>77</v>
      </c>
      <c r="E117" s="8"/>
      <c r="F117" s="16">
        <f>C117*E117</f>
        <v>0</v>
      </c>
    </row>
    <row r="118" spans="1:6" x14ac:dyDescent="0.2">
      <c r="A118" s="2" t="s">
        <v>1197</v>
      </c>
      <c r="B118" s="5" t="s">
        <v>218</v>
      </c>
      <c r="C118" s="7">
        <v>2</v>
      </c>
      <c r="D118" s="2" t="s">
        <v>77</v>
      </c>
      <c r="E118" s="8"/>
      <c r="F118" s="16">
        <f t="shared" ref="F118" si="7">C118*E118</f>
        <v>0</v>
      </c>
    </row>
    <row r="119" spans="1:6" ht="13" x14ac:dyDescent="0.3">
      <c r="B119" s="20" t="s">
        <v>219</v>
      </c>
      <c r="C119" s="9"/>
      <c r="D119" s="3"/>
      <c r="E119" s="9"/>
      <c r="F119" s="18">
        <f>SUM(F114:F118)</f>
        <v>0</v>
      </c>
    </row>
    <row r="121" spans="1:6" ht="10.5" x14ac:dyDescent="0.25">
      <c r="A121" s="6" t="s">
        <v>1198</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1199</v>
      </c>
      <c r="B124" s="5" t="s">
        <v>224</v>
      </c>
      <c r="C124" s="7">
        <v>1</v>
      </c>
      <c r="D124" s="2" t="s">
        <v>77</v>
      </c>
      <c r="E124" s="8"/>
      <c r="F124" s="16">
        <f t="shared" ref="F124:F126" si="8">C124*E124</f>
        <v>0</v>
      </c>
    </row>
    <row r="125" spans="1:6" x14ac:dyDescent="0.2">
      <c r="A125" s="2" t="s">
        <v>1200</v>
      </c>
      <c r="B125" s="5" t="s">
        <v>226</v>
      </c>
      <c r="C125" s="2"/>
      <c r="D125" s="2"/>
      <c r="E125" s="2"/>
      <c r="F125" s="2" t="s">
        <v>227</v>
      </c>
    </row>
    <row r="126" spans="1:6" x14ac:dyDescent="0.2">
      <c r="A126" s="2" t="s">
        <v>1201</v>
      </c>
      <c r="B126" s="5" t="s">
        <v>229</v>
      </c>
      <c r="C126" s="7">
        <v>1</v>
      </c>
      <c r="D126" s="2" t="s">
        <v>77</v>
      </c>
      <c r="E126" s="8"/>
      <c r="F126" s="16">
        <f t="shared" si="8"/>
        <v>0</v>
      </c>
    </row>
    <row r="127" spans="1:6" x14ac:dyDescent="0.2">
      <c r="A127" s="2" t="s">
        <v>1202</v>
      </c>
      <c r="B127" s="5" t="s">
        <v>1105</v>
      </c>
      <c r="C127" s="2"/>
      <c r="D127" s="2"/>
      <c r="E127" s="2"/>
      <c r="F127" s="2" t="s">
        <v>227</v>
      </c>
    </row>
    <row r="128" spans="1:6" x14ac:dyDescent="0.2">
      <c r="A128" s="2" t="s">
        <v>1203</v>
      </c>
      <c r="B128" s="5" t="s">
        <v>1107</v>
      </c>
      <c r="C128" s="2"/>
      <c r="D128" s="2"/>
      <c r="E128" s="2"/>
      <c r="F128" s="2" t="s">
        <v>227</v>
      </c>
    </row>
    <row r="129" spans="1:6" x14ac:dyDescent="0.2">
      <c r="A129" s="2" t="s">
        <v>1204</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1205</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1206</v>
      </c>
      <c r="B133" s="5" t="s">
        <v>252</v>
      </c>
      <c r="C133" s="7">
        <v>1</v>
      </c>
      <c r="D133" s="2" t="s">
        <v>77</v>
      </c>
      <c r="E133" s="8"/>
      <c r="F133" s="16">
        <f t="shared" ref="F133:F137" si="11">C133*E133</f>
        <v>0</v>
      </c>
    </row>
    <row r="134" spans="1:6" x14ac:dyDescent="0.2">
      <c r="A134" s="2" t="s">
        <v>1207</v>
      </c>
      <c r="B134" s="5" t="s">
        <v>254</v>
      </c>
      <c r="C134" s="7">
        <v>1</v>
      </c>
      <c r="D134" s="2" t="s">
        <v>77</v>
      </c>
      <c r="E134" s="8"/>
      <c r="F134" s="16">
        <f t="shared" si="11"/>
        <v>0</v>
      </c>
    </row>
    <row r="135" spans="1:6" x14ac:dyDescent="0.2">
      <c r="A135" s="2" t="s">
        <v>1208</v>
      </c>
      <c r="B135" s="5" t="s">
        <v>256</v>
      </c>
      <c r="C135" s="7">
        <v>1</v>
      </c>
      <c r="D135" s="2" t="s">
        <v>77</v>
      </c>
      <c r="E135" s="8"/>
      <c r="F135" s="16">
        <f t="shared" si="11"/>
        <v>0</v>
      </c>
    </row>
    <row r="136" spans="1:6" x14ac:dyDescent="0.2">
      <c r="A136" s="2" t="s">
        <v>1209</v>
      </c>
      <c r="B136" s="5" t="s">
        <v>258</v>
      </c>
      <c r="C136" s="7">
        <v>1</v>
      </c>
      <c r="D136" s="2" t="s">
        <v>77</v>
      </c>
      <c r="E136" s="8"/>
      <c r="F136" s="16">
        <f t="shared" si="11"/>
        <v>0</v>
      </c>
    </row>
    <row r="137" spans="1:6" x14ac:dyDescent="0.2">
      <c r="A137" s="2" t="s">
        <v>1210</v>
      </c>
      <c r="B137" s="5" t="s">
        <v>260</v>
      </c>
      <c r="C137" s="7">
        <v>1</v>
      </c>
      <c r="D137" s="2" t="s">
        <v>77</v>
      </c>
      <c r="E137" s="8"/>
      <c r="F137" s="16">
        <f t="shared" si="11"/>
        <v>0</v>
      </c>
    </row>
    <row r="138" spans="1:6" x14ac:dyDescent="0.2">
      <c r="A138" s="2"/>
      <c r="B138" s="5" t="s">
        <v>261</v>
      </c>
      <c r="C138" s="2"/>
      <c r="D138" s="2"/>
      <c r="E138" s="2"/>
    </row>
    <row r="139" spans="1:6" x14ac:dyDescent="0.2">
      <c r="A139" s="2" t="s">
        <v>1211</v>
      </c>
      <c r="B139" s="5" t="s">
        <v>263</v>
      </c>
      <c r="C139" s="7">
        <v>2</v>
      </c>
      <c r="D139" s="2" t="s">
        <v>77</v>
      </c>
      <c r="E139" s="8"/>
      <c r="F139" s="16">
        <f t="shared" ref="F139:F152" si="12">C139*E139</f>
        <v>0</v>
      </c>
    </row>
    <row r="140" spans="1:6" x14ac:dyDescent="0.2">
      <c r="A140" s="2" t="s">
        <v>1212</v>
      </c>
      <c r="B140" s="5" t="s">
        <v>252</v>
      </c>
      <c r="C140" s="7">
        <v>1</v>
      </c>
      <c r="D140" s="2" t="s">
        <v>77</v>
      </c>
      <c r="E140" s="8"/>
      <c r="F140" s="16">
        <f t="shared" si="12"/>
        <v>0</v>
      </c>
    </row>
    <row r="141" spans="1:6" x14ac:dyDescent="0.2">
      <c r="A141" s="2" t="s">
        <v>1213</v>
      </c>
      <c r="B141" s="5" t="s">
        <v>254</v>
      </c>
      <c r="C141" s="7">
        <v>3</v>
      </c>
      <c r="D141" s="2" t="s">
        <v>77</v>
      </c>
      <c r="E141" s="8"/>
      <c r="F141" s="16">
        <f t="shared" si="12"/>
        <v>0</v>
      </c>
    </row>
    <row r="142" spans="1:6" x14ac:dyDescent="0.2">
      <c r="A142" s="2" t="s">
        <v>1214</v>
      </c>
      <c r="B142" s="5" t="s">
        <v>267</v>
      </c>
      <c r="C142" s="7">
        <v>1</v>
      </c>
      <c r="D142" s="2" t="s">
        <v>77</v>
      </c>
      <c r="E142" s="8"/>
      <c r="F142" s="16">
        <f t="shared" si="12"/>
        <v>0</v>
      </c>
    </row>
    <row r="143" spans="1:6" x14ac:dyDescent="0.2">
      <c r="A143" s="2" t="s">
        <v>1215</v>
      </c>
      <c r="B143" s="5" t="s">
        <v>269</v>
      </c>
      <c r="C143" s="7">
        <v>2</v>
      </c>
      <c r="D143" s="2" t="s">
        <v>77</v>
      </c>
      <c r="E143" s="8"/>
      <c r="F143" s="16">
        <f t="shared" si="12"/>
        <v>0</v>
      </c>
    </row>
    <row r="144" spans="1:6" x14ac:dyDescent="0.2">
      <c r="A144" s="2" t="s">
        <v>1216</v>
      </c>
      <c r="B144" s="5" t="s">
        <v>256</v>
      </c>
      <c r="C144" s="7">
        <v>3</v>
      </c>
      <c r="D144" s="2" t="s">
        <v>77</v>
      </c>
      <c r="E144" s="8"/>
      <c r="F144" s="16">
        <f t="shared" si="12"/>
        <v>0</v>
      </c>
    </row>
    <row r="145" spans="1:6" x14ac:dyDescent="0.2">
      <c r="A145" s="2" t="s">
        <v>1217</v>
      </c>
      <c r="B145" s="5" t="s">
        <v>272</v>
      </c>
      <c r="C145" s="7">
        <v>4</v>
      </c>
      <c r="D145" s="2" t="s">
        <v>77</v>
      </c>
      <c r="E145" s="8"/>
      <c r="F145" s="16">
        <f t="shared" si="12"/>
        <v>0</v>
      </c>
    </row>
    <row r="146" spans="1:6" x14ac:dyDescent="0.2">
      <c r="A146" s="2" t="s">
        <v>1218</v>
      </c>
      <c r="B146" s="5" t="s">
        <v>274</v>
      </c>
      <c r="C146" s="7">
        <v>2</v>
      </c>
      <c r="D146" s="2" t="s">
        <v>77</v>
      </c>
      <c r="E146" s="8"/>
      <c r="F146" s="16">
        <f t="shared" si="12"/>
        <v>0</v>
      </c>
    </row>
    <row r="147" spans="1:6" x14ac:dyDescent="0.2">
      <c r="A147" s="2" t="s">
        <v>1219</v>
      </c>
      <c r="B147" s="5" t="s">
        <v>276</v>
      </c>
      <c r="C147" s="7">
        <v>2</v>
      </c>
      <c r="D147" s="2" t="s">
        <v>77</v>
      </c>
      <c r="E147" s="8"/>
      <c r="F147" s="16">
        <f t="shared" si="12"/>
        <v>0</v>
      </c>
    </row>
    <row r="148" spans="1:6" ht="20" x14ac:dyDescent="0.2">
      <c r="A148" s="2" t="s">
        <v>1220</v>
      </c>
      <c r="B148" s="5" t="s">
        <v>278</v>
      </c>
      <c r="C148" s="7">
        <v>2</v>
      </c>
      <c r="D148" s="2" t="s">
        <v>77</v>
      </c>
      <c r="E148" s="8"/>
      <c r="F148" s="16">
        <f t="shared" si="12"/>
        <v>0</v>
      </c>
    </row>
    <row r="149" spans="1:6" x14ac:dyDescent="0.2">
      <c r="A149" s="2" t="s">
        <v>1221</v>
      </c>
      <c r="B149" s="5" t="s">
        <v>258</v>
      </c>
      <c r="C149" s="7">
        <v>1</v>
      </c>
      <c r="D149" s="2" t="s">
        <v>77</v>
      </c>
      <c r="E149" s="8"/>
      <c r="F149" s="16">
        <f t="shared" si="12"/>
        <v>0</v>
      </c>
    </row>
    <row r="150" spans="1:6" x14ac:dyDescent="0.2">
      <c r="A150" s="2" t="s">
        <v>1222</v>
      </c>
      <c r="B150" s="5" t="s">
        <v>260</v>
      </c>
      <c r="C150" s="7">
        <v>1</v>
      </c>
      <c r="D150" s="2" t="s">
        <v>77</v>
      </c>
      <c r="E150" s="8"/>
      <c r="F150" s="16">
        <f>C150*E150</f>
        <v>0</v>
      </c>
    </row>
    <row r="151" spans="1:6" x14ac:dyDescent="0.2">
      <c r="A151" s="2" t="s">
        <v>1223</v>
      </c>
      <c r="B151" s="5" t="s">
        <v>282</v>
      </c>
      <c r="C151" s="7">
        <v>1</v>
      </c>
      <c r="D151" s="2" t="s">
        <v>77</v>
      </c>
      <c r="E151" s="8"/>
      <c r="F151" s="16">
        <f t="shared" si="12"/>
        <v>0</v>
      </c>
    </row>
    <row r="152" spans="1:6" x14ac:dyDescent="0.2">
      <c r="A152" s="2" t="s">
        <v>1224</v>
      </c>
      <c r="B152" s="5" t="s">
        <v>284</v>
      </c>
      <c r="C152" s="7">
        <v>2</v>
      </c>
      <c r="D152" s="2" t="s">
        <v>77</v>
      </c>
      <c r="E152" s="8"/>
      <c r="F152" s="16">
        <f t="shared" si="12"/>
        <v>0</v>
      </c>
    </row>
    <row r="153" spans="1:6" x14ac:dyDescent="0.2">
      <c r="A153" s="2"/>
      <c r="B153" s="5" t="s">
        <v>285</v>
      </c>
      <c r="C153" s="2"/>
      <c r="D153" s="2"/>
      <c r="E153" s="2"/>
    </row>
    <row r="154" spans="1:6" ht="60" x14ac:dyDescent="0.2">
      <c r="A154" s="2" t="s">
        <v>1225</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1226</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50" x14ac:dyDescent="0.2">
      <c r="A163" s="2" t="s">
        <v>1227</v>
      </c>
      <c r="B163" s="5" t="s">
        <v>295</v>
      </c>
      <c r="C163" s="7">
        <v>44</v>
      </c>
      <c r="D163" s="2" t="s">
        <v>89</v>
      </c>
      <c r="E163" s="8"/>
      <c r="F163" s="16">
        <f t="shared" ref="F163:F164" si="14">C163*E163</f>
        <v>0</v>
      </c>
    </row>
    <row r="164" spans="1:6" ht="50" x14ac:dyDescent="0.2">
      <c r="A164" s="2" t="s">
        <v>1228</v>
      </c>
      <c r="B164" s="5" t="s">
        <v>297</v>
      </c>
      <c r="C164" s="7">
        <v>5</v>
      </c>
      <c r="D164" s="2" t="s">
        <v>86</v>
      </c>
      <c r="E164" s="8"/>
      <c r="F164" s="16">
        <f t="shared" si="14"/>
        <v>0</v>
      </c>
    </row>
    <row r="165" spans="1:6" x14ac:dyDescent="0.2">
      <c r="A165" s="2"/>
      <c r="B165" s="5" t="s">
        <v>298</v>
      </c>
      <c r="C165" s="2"/>
      <c r="D165" s="2"/>
      <c r="E165" s="2"/>
    </row>
    <row r="166" spans="1:6" ht="30" x14ac:dyDescent="0.2">
      <c r="A166" s="2" t="s">
        <v>1229</v>
      </c>
      <c r="B166" s="5" t="s">
        <v>300</v>
      </c>
      <c r="C166" s="7">
        <v>3</v>
      </c>
      <c r="D166" s="2" t="s">
        <v>89</v>
      </c>
      <c r="E166" s="8"/>
      <c r="F166" s="16">
        <f>C166*E166</f>
        <v>0</v>
      </c>
    </row>
    <row r="167" spans="1:6" ht="13" x14ac:dyDescent="0.3">
      <c r="B167" s="20" t="s">
        <v>301</v>
      </c>
      <c r="C167" s="9"/>
      <c r="D167" s="3"/>
      <c r="E167" s="9"/>
      <c r="F167" s="18">
        <f>SUM(F163:F166)</f>
        <v>0</v>
      </c>
    </row>
    <row r="169" spans="1:6" ht="10.5" x14ac:dyDescent="0.25">
      <c r="A169" s="6" t="s">
        <v>1230</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1231</v>
      </c>
      <c r="B178" s="5" t="s">
        <v>312</v>
      </c>
      <c r="C178" s="7">
        <v>194</v>
      </c>
      <c r="D178" s="2" t="s">
        <v>89</v>
      </c>
      <c r="E178" s="7"/>
      <c r="F178" s="16">
        <f>C178*E178</f>
        <v>0</v>
      </c>
    </row>
    <row r="179" spans="1:6" ht="13" x14ac:dyDescent="0.3">
      <c r="B179" s="20" t="s">
        <v>313</v>
      </c>
      <c r="C179" s="9"/>
      <c r="D179" s="3"/>
      <c r="E179" s="9"/>
      <c r="F179" s="18">
        <f>SUM(F178)</f>
        <v>0</v>
      </c>
    </row>
    <row r="181" spans="1:6" ht="10.5" x14ac:dyDescent="0.25">
      <c r="A181" s="6" t="s">
        <v>1232</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1233</v>
      </c>
      <c r="B191" s="5" t="s">
        <v>325</v>
      </c>
      <c r="C191" s="7">
        <v>194</v>
      </c>
      <c r="D191" s="2" t="s">
        <v>89</v>
      </c>
      <c r="E191" s="7"/>
      <c r="F191" s="16">
        <f>C191*E191</f>
        <v>0</v>
      </c>
    </row>
    <row r="192" spans="1:6" ht="13" x14ac:dyDescent="0.3">
      <c r="B192" s="20" t="s">
        <v>326</v>
      </c>
      <c r="C192" s="9"/>
      <c r="D192" s="3"/>
      <c r="E192" s="9"/>
      <c r="F192" s="18">
        <f>SUM(F191)</f>
        <v>0</v>
      </c>
    </row>
    <row r="194" spans="1:6" ht="10.5" x14ac:dyDescent="0.25">
      <c r="A194" s="6" t="s">
        <v>1234</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1235</v>
      </c>
      <c r="B207" s="5" t="s">
        <v>341</v>
      </c>
      <c r="C207" s="7">
        <v>194</v>
      </c>
      <c r="D207" s="2" t="s">
        <v>89</v>
      </c>
      <c r="E207" s="7"/>
      <c r="F207" s="16">
        <f>C207*E207</f>
        <v>0</v>
      </c>
    </row>
    <row r="208" spans="1:6" ht="21.5" x14ac:dyDescent="0.3">
      <c r="B208" s="20" t="s">
        <v>342</v>
      </c>
      <c r="C208" s="9"/>
      <c r="D208" s="3"/>
      <c r="E208" s="9"/>
      <c r="F208" s="18">
        <f>SUM(F207)</f>
        <v>0</v>
      </c>
    </row>
    <row r="209" spans="2:6" ht="13" x14ac:dyDescent="0.3">
      <c r="B209" s="20" t="s">
        <v>1236</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3E1D-672E-45CD-B53F-DCB73E1587AC}">
  <sheetPr codeName="Sheet12">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1817</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1237</v>
      </c>
      <c r="B6" s="20" t="s">
        <v>1238</v>
      </c>
    </row>
    <row r="7" spans="1:6" x14ac:dyDescent="0.2">
      <c r="A7" s="2"/>
      <c r="B7" s="5"/>
      <c r="C7" s="2"/>
      <c r="D7" s="2"/>
      <c r="E7" s="2"/>
    </row>
    <row r="8" spans="1:6" x14ac:dyDescent="0.2">
      <c r="A8" s="2"/>
      <c r="B8" s="5" t="s">
        <v>67</v>
      </c>
      <c r="C8" s="2"/>
      <c r="D8" s="2"/>
      <c r="E8" s="2"/>
    </row>
    <row r="10" spans="1:6" ht="10.5" x14ac:dyDescent="0.25">
      <c r="A10" s="6" t="s">
        <v>1239</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1240</v>
      </c>
      <c r="B15" s="5" t="s">
        <v>76</v>
      </c>
      <c r="C15" s="7">
        <v>14</v>
      </c>
      <c r="D15" s="2" t="s">
        <v>77</v>
      </c>
      <c r="E15" s="8"/>
      <c r="F15" s="16">
        <f>C15*E15</f>
        <v>0</v>
      </c>
    </row>
    <row r="16" spans="1:6" x14ac:dyDescent="0.2">
      <c r="A16" s="2" t="s">
        <v>1241</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1242</v>
      </c>
      <c r="B18" s="5" t="s">
        <v>83</v>
      </c>
      <c r="C18" s="7">
        <v>1</v>
      </c>
      <c r="D18" s="2" t="s">
        <v>80</v>
      </c>
      <c r="E18" s="8"/>
      <c r="F18" s="16">
        <f t="shared" si="0"/>
        <v>0</v>
      </c>
    </row>
    <row r="19" spans="1:6" x14ac:dyDescent="0.2">
      <c r="A19" s="2"/>
      <c r="B19" s="5" t="s">
        <v>69</v>
      </c>
      <c r="C19" s="2"/>
      <c r="D19" s="2"/>
      <c r="E19" s="2"/>
      <c r="F19" s="16"/>
    </row>
    <row r="20" spans="1:6" ht="20" x14ac:dyDescent="0.2">
      <c r="A20" s="2" t="s">
        <v>1243</v>
      </c>
      <c r="B20" s="5" t="s">
        <v>85</v>
      </c>
      <c r="C20" s="7">
        <v>11</v>
      </c>
      <c r="D20" s="2" t="s">
        <v>86</v>
      </c>
      <c r="E20" s="8"/>
      <c r="F20" s="16">
        <f t="shared" si="0"/>
        <v>0</v>
      </c>
    </row>
    <row r="21" spans="1:6" x14ac:dyDescent="0.2">
      <c r="A21" s="2" t="s">
        <v>1244</v>
      </c>
      <c r="B21" s="5" t="s">
        <v>88</v>
      </c>
      <c r="C21" s="7">
        <v>6</v>
      </c>
      <c r="D21" s="2" t="s">
        <v>89</v>
      </c>
      <c r="E21" s="8"/>
      <c r="F21" s="16">
        <f t="shared" si="0"/>
        <v>0</v>
      </c>
    </row>
    <row r="22" spans="1:6" ht="30" x14ac:dyDescent="0.2">
      <c r="A22" s="2" t="s">
        <v>1245</v>
      </c>
      <c r="B22" s="5" t="s">
        <v>91</v>
      </c>
      <c r="C22" s="7">
        <v>48</v>
      </c>
      <c r="D22" s="2" t="s">
        <v>89</v>
      </c>
      <c r="E22" s="8"/>
      <c r="F22" s="16">
        <f t="shared" si="0"/>
        <v>0</v>
      </c>
    </row>
    <row r="23" spans="1:6" x14ac:dyDescent="0.2">
      <c r="A23" s="2" t="s">
        <v>1246</v>
      </c>
      <c r="B23" s="5" t="s">
        <v>93</v>
      </c>
      <c r="C23" s="7">
        <v>11</v>
      </c>
      <c r="D23" s="2" t="s">
        <v>86</v>
      </c>
      <c r="E23" s="8"/>
      <c r="F23" s="16">
        <f t="shared" si="0"/>
        <v>0</v>
      </c>
    </row>
    <row r="24" spans="1:6" x14ac:dyDescent="0.2">
      <c r="A24" s="2" t="s">
        <v>1247</v>
      </c>
      <c r="B24" s="5" t="s">
        <v>95</v>
      </c>
      <c r="C24" s="7">
        <v>13</v>
      </c>
      <c r="D24" s="2" t="s">
        <v>77</v>
      </c>
      <c r="E24" s="8"/>
      <c r="F24" s="16">
        <f t="shared" si="0"/>
        <v>0</v>
      </c>
    </row>
    <row r="25" spans="1:6" ht="20" x14ac:dyDescent="0.2">
      <c r="A25" s="2" t="s">
        <v>1248</v>
      </c>
      <c r="B25" s="5" t="s">
        <v>97</v>
      </c>
      <c r="C25" s="7">
        <v>9</v>
      </c>
      <c r="D25" s="2" t="s">
        <v>86</v>
      </c>
      <c r="E25" s="8"/>
      <c r="F25" s="16">
        <f t="shared" si="0"/>
        <v>0</v>
      </c>
    </row>
    <row r="26" spans="1:6" x14ac:dyDescent="0.2">
      <c r="A26" s="2" t="s">
        <v>1249</v>
      </c>
      <c r="B26" s="5" t="s">
        <v>99</v>
      </c>
      <c r="C26" s="7">
        <v>155</v>
      </c>
      <c r="D26" s="2" t="s">
        <v>89</v>
      </c>
      <c r="E26" s="8"/>
      <c r="F26" s="16">
        <f t="shared" si="0"/>
        <v>0</v>
      </c>
    </row>
    <row r="27" spans="1:6" x14ac:dyDescent="0.2">
      <c r="A27" s="2" t="s">
        <v>1250</v>
      </c>
      <c r="B27" s="5" t="s">
        <v>101</v>
      </c>
      <c r="C27" s="7">
        <v>2</v>
      </c>
      <c r="D27" s="2" t="s">
        <v>77</v>
      </c>
      <c r="E27" s="8"/>
      <c r="F27" s="16">
        <f t="shared" si="0"/>
        <v>0</v>
      </c>
    </row>
    <row r="28" spans="1:6" x14ac:dyDescent="0.2">
      <c r="A28" s="2" t="s">
        <v>1251</v>
      </c>
      <c r="B28" s="5" t="s">
        <v>103</v>
      </c>
      <c r="C28" s="7">
        <v>1</v>
      </c>
      <c r="D28" s="2" t="s">
        <v>104</v>
      </c>
      <c r="E28" s="8"/>
      <c r="F28" s="16">
        <f t="shared" si="0"/>
        <v>0</v>
      </c>
    </row>
    <row r="29" spans="1:6" x14ac:dyDescent="0.2">
      <c r="A29" s="2" t="s">
        <v>1252</v>
      </c>
      <c r="B29" s="5" t="s">
        <v>106</v>
      </c>
      <c r="C29" s="7">
        <v>1</v>
      </c>
      <c r="D29" s="2" t="s">
        <v>77</v>
      </c>
      <c r="E29" s="8"/>
      <c r="F29" s="16">
        <f t="shared" si="0"/>
        <v>0</v>
      </c>
    </row>
    <row r="30" spans="1:6" x14ac:dyDescent="0.2">
      <c r="A30" s="2" t="s">
        <v>1253</v>
      </c>
      <c r="B30" s="5" t="s">
        <v>108</v>
      </c>
      <c r="C30" s="7">
        <v>72</v>
      </c>
      <c r="D30" s="2" t="s">
        <v>89</v>
      </c>
      <c r="E30" s="8"/>
      <c r="F30" s="16">
        <f t="shared" si="0"/>
        <v>0</v>
      </c>
    </row>
    <row r="31" spans="1:6" ht="20" x14ac:dyDescent="0.2">
      <c r="A31" s="2" t="s">
        <v>1254</v>
      </c>
      <c r="B31" s="5" t="s">
        <v>110</v>
      </c>
      <c r="C31" s="7">
        <v>1</v>
      </c>
      <c r="D31" s="2" t="s">
        <v>77</v>
      </c>
      <c r="E31" s="8"/>
      <c r="F31" s="16">
        <f t="shared" si="0"/>
        <v>0</v>
      </c>
    </row>
    <row r="32" spans="1:6" ht="20" x14ac:dyDescent="0.2">
      <c r="A32" s="2" t="s">
        <v>1255</v>
      </c>
      <c r="B32" s="5" t="s">
        <v>112</v>
      </c>
      <c r="C32" s="7">
        <v>28</v>
      </c>
      <c r="D32" s="2" t="s">
        <v>86</v>
      </c>
      <c r="E32" s="8"/>
      <c r="F32" s="16">
        <f t="shared" si="0"/>
        <v>0</v>
      </c>
    </row>
    <row r="33" spans="1:6" ht="40" x14ac:dyDescent="0.2">
      <c r="A33" s="2" t="s">
        <v>1256</v>
      </c>
      <c r="B33" s="5" t="s">
        <v>114</v>
      </c>
      <c r="C33" s="7">
        <v>54</v>
      </c>
      <c r="D33" s="2" t="s">
        <v>89</v>
      </c>
      <c r="E33" s="8"/>
      <c r="F33" s="16">
        <f t="shared" si="0"/>
        <v>0</v>
      </c>
    </row>
    <row r="34" spans="1:6" x14ac:dyDescent="0.2">
      <c r="A34" s="2"/>
      <c r="B34" s="5" t="s">
        <v>115</v>
      </c>
      <c r="C34" s="2"/>
      <c r="D34" s="2"/>
      <c r="E34" s="2"/>
      <c r="F34" s="16"/>
    </row>
    <row r="35" spans="1:6" ht="30" x14ac:dyDescent="0.2">
      <c r="A35" s="2" t="s">
        <v>1257</v>
      </c>
      <c r="B35" s="5" t="s">
        <v>117</v>
      </c>
      <c r="C35" s="7">
        <v>1</v>
      </c>
      <c r="D35" s="2" t="s">
        <v>80</v>
      </c>
      <c r="E35" s="8"/>
      <c r="F35" s="16">
        <f t="shared" si="0"/>
        <v>0</v>
      </c>
    </row>
    <row r="36" spans="1:6" x14ac:dyDescent="0.2">
      <c r="A36" s="2" t="s">
        <v>1258</v>
      </c>
      <c r="B36" s="5" t="s">
        <v>119</v>
      </c>
      <c r="C36" s="7">
        <v>1</v>
      </c>
      <c r="D36" s="2" t="s">
        <v>104</v>
      </c>
      <c r="E36" s="8"/>
      <c r="F36" s="16">
        <f t="shared" si="0"/>
        <v>0</v>
      </c>
    </row>
    <row r="37" spans="1:6" ht="20" x14ac:dyDescent="0.2">
      <c r="A37" s="2" t="s">
        <v>1259</v>
      </c>
      <c r="B37" s="5" t="s">
        <v>121</v>
      </c>
      <c r="C37" s="7">
        <v>1</v>
      </c>
      <c r="D37" s="2" t="s">
        <v>104</v>
      </c>
      <c r="E37" s="8"/>
      <c r="F37" s="16">
        <f t="shared" si="0"/>
        <v>0</v>
      </c>
    </row>
    <row r="38" spans="1:6" x14ac:dyDescent="0.2">
      <c r="A38" s="2" t="s">
        <v>1260</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1261</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1262</v>
      </c>
      <c r="B51" s="5" t="s">
        <v>137</v>
      </c>
      <c r="C51" s="7">
        <v>405</v>
      </c>
      <c r="D51" s="2" t="s">
        <v>89</v>
      </c>
      <c r="E51" s="8"/>
      <c r="F51" s="16">
        <f t="shared" ref="F51:F58" si="1">C51*E51</f>
        <v>0</v>
      </c>
    </row>
    <row r="52" spans="1:6" x14ac:dyDescent="0.2">
      <c r="A52" s="2"/>
      <c r="B52" s="5" t="s">
        <v>138</v>
      </c>
      <c r="C52" s="2"/>
      <c r="D52" s="2"/>
      <c r="E52" s="2"/>
      <c r="F52" s="16"/>
    </row>
    <row r="53" spans="1:6" ht="30" x14ac:dyDescent="0.2">
      <c r="A53" s="2" t="s">
        <v>1263</v>
      </c>
      <c r="B53" s="5" t="s">
        <v>140</v>
      </c>
      <c r="C53" s="7">
        <v>66</v>
      </c>
      <c r="D53" s="2" t="s">
        <v>89</v>
      </c>
      <c r="E53" s="8"/>
      <c r="F53" s="16">
        <f t="shared" si="1"/>
        <v>0</v>
      </c>
    </row>
    <row r="54" spans="1:6" ht="40" x14ac:dyDescent="0.2">
      <c r="A54" s="2" t="s">
        <v>1264</v>
      </c>
      <c r="B54" s="5" t="s">
        <v>964</v>
      </c>
      <c r="C54" s="7">
        <v>7</v>
      </c>
      <c r="D54" s="2" t="s">
        <v>89</v>
      </c>
      <c r="E54" s="8"/>
      <c r="F54" s="16">
        <f t="shared" si="1"/>
        <v>0</v>
      </c>
    </row>
    <row r="55" spans="1:6" ht="30" x14ac:dyDescent="0.2">
      <c r="A55" s="2" t="s">
        <v>1265</v>
      </c>
      <c r="B55" s="5" t="s">
        <v>142</v>
      </c>
      <c r="C55" s="7">
        <v>4</v>
      </c>
      <c r="D55" s="2" t="s">
        <v>89</v>
      </c>
      <c r="E55" s="8"/>
      <c r="F55" s="16">
        <f t="shared" si="1"/>
        <v>0</v>
      </c>
    </row>
    <row r="56" spans="1:6" ht="20" x14ac:dyDescent="0.2">
      <c r="A56" s="2" t="s">
        <v>1266</v>
      </c>
      <c r="B56" s="5" t="s">
        <v>144</v>
      </c>
      <c r="C56" s="7">
        <v>95</v>
      </c>
      <c r="D56" s="2" t="s">
        <v>89</v>
      </c>
      <c r="E56" s="8"/>
      <c r="F56" s="16">
        <f t="shared" si="1"/>
        <v>0</v>
      </c>
    </row>
    <row r="57" spans="1:6" x14ac:dyDescent="0.2">
      <c r="A57" s="2"/>
      <c r="B57" s="5" t="s">
        <v>145</v>
      </c>
      <c r="C57" s="2"/>
      <c r="D57" s="2"/>
      <c r="E57" s="2"/>
      <c r="F57" s="16"/>
    </row>
    <row r="58" spans="1:6" ht="30" x14ac:dyDescent="0.2">
      <c r="A58" s="2" t="s">
        <v>1267</v>
      </c>
      <c r="B58" s="5" t="s">
        <v>147</v>
      </c>
      <c r="C58" s="7">
        <v>134</v>
      </c>
      <c r="D58" s="2" t="s">
        <v>86</v>
      </c>
      <c r="E58" s="8"/>
      <c r="F58" s="16">
        <f t="shared" si="1"/>
        <v>0</v>
      </c>
    </row>
    <row r="59" spans="1:6" x14ac:dyDescent="0.2">
      <c r="A59" s="2"/>
      <c r="B59" s="5" t="s">
        <v>148</v>
      </c>
      <c r="C59" s="2"/>
      <c r="D59" s="2"/>
      <c r="E59" s="2"/>
      <c r="F59" s="16"/>
    </row>
    <row r="60" spans="1:6" ht="30" x14ac:dyDescent="0.2">
      <c r="A60" s="2" t="s">
        <v>1268</v>
      </c>
      <c r="B60" s="5" t="s">
        <v>150</v>
      </c>
      <c r="C60" s="7">
        <v>13</v>
      </c>
      <c r="D60" s="2" t="s">
        <v>77</v>
      </c>
      <c r="E60" s="8"/>
      <c r="F60" s="16">
        <f t="shared" ref="F60" si="2">C60*E60</f>
        <v>0</v>
      </c>
    </row>
    <row r="61" spans="1:6" ht="13" x14ac:dyDescent="0.3">
      <c r="B61" s="20" t="s">
        <v>151</v>
      </c>
      <c r="C61" s="9"/>
      <c r="D61" s="3"/>
      <c r="E61" s="9"/>
      <c r="F61" s="18">
        <f>SUM(F51:F60)</f>
        <v>0</v>
      </c>
    </row>
    <row r="63" spans="1:6" ht="10.5" x14ac:dyDescent="0.25">
      <c r="A63" s="6" t="s">
        <v>1269</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1270</v>
      </c>
      <c r="B69" s="5" t="s">
        <v>158</v>
      </c>
      <c r="C69" s="7">
        <v>134</v>
      </c>
      <c r="D69" s="2" t="s">
        <v>89</v>
      </c>
      <c r="E69" s="8"/>
      <c r="F69" s="16">
        <f t="shared" ref="F69:F73" si="3">C69*E69</f>
        <v>0</v>
      </c>
    </row>
    <row r="70" spans="1:6" ht="40" x14ac:dyDescent="0.2">
      <c r="A70" s="2" t="s">
        <v>1271</v>
      </c>
      <c r="B70" s="5" t="s">
        <v>160</v>
      </c>
      <c r="C70" s="7">
        <v>18</v>
      </c>
      <c r="D70" s="2" t="s">
        <v>89</v>
      </c>
      <c r="E70" s="8"/>
      <c r="F70" s="16">
        <f t="shared" si="3"/>
        <v>0</v>
      </c>
    </row>
    <row r="71" spans="1:6" x14ac:dyDescent="0.2">
      <c r="A71" s="2"/>
      <c r="B71" s="5" t="s">
        <v>161</v>
      </c>
      <c r="C71" s="2"/>
      <c r="D71" s="2"/>
      <c r="E71" s="2"/>
      <c r="F71" s="16"/>
    </row>
    <row r="72" spans="1:6" x14ac:dyDescent="0.2">
      <c r="A72" s="2" t="s">
        <v>1272</v>
      </c>
      <c r="B72" s="5" t="s">
        <v>163</v>
      </c>
      <c r="C72" s="7">
        <v>17.77</v>
      </c>
      <c r="D72" s="2" t="s">
        <v>86</v>
      </c>
      <c r="E72" s="8"/>
      <c r="F72" s="16">
        <f t="shared" si="3"/>
        <v>0</v>
      </c>
    </row>
    <row r="73" spans="1:6" ht="20" x14ac:dyDescent="0.2">
      <c r="A73" s="2" t="s">
        <v>1273</v>
      </c>
      <c r="B73" s="5" t="s">
        <v>165</v>
      </c>
      <c r="C73" s="7">
        <v>10</v>
      </c>
      <c r="D73" s="2" t="s">
        <v>89</v>
      </c>
      <c r="E73" s="8"/>
      <c r="F73" s="16">
        <f t="shared" si="3"/>
        <v>0</v>
      </c>
    </row>
    <row r="74" spans="1:6" ht="13" x14ac:dyDescent="0.3">
      <c r="B74" s="20" t="s">
        <v>166</v>
      </c>
      <c r="C74" s="9"/>
      <c r="D74" s="3"/>
      <c r="E74" s="9"/>
      <c r="F74" s="18">
        <f>SUM(F69:F73)</f>
        <v>0</v>
      </c>
    </row>
    <row r="76" spans="1:6" ht="10.5" x14ac:dyDescent="0.25">
      <c r="A76" s="6" t="s">
        <v>1274</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1275</v>
      </c>
      <c r="B80" s="5" t="s">
        <v>172</v>
      </c>
      <c r="C80" s="7">
        <v>177</v>
      </c>
      <c r="D80" s="2" t="s">
        <v>89</v>
      </c>
      <c r="E80" s="8"/>
      <c r="F80" s="16">
        <f t="shared" ref="F80" si="4">C80*E80</f>
        <v>0</v>
      </c>
    </row>
    <row r="81" spans="1:6" ht="13" x14ac:dyDescent="0.3">
      <c r="B81" s="20" t="s">
        <v>173</v>
      </c>
      <c r="C81" s="9"/>
      <c r="D81" s="3"/>
      <c r="E81" s="9"/>
      <c r="F81" s="18">
        <f>SUM(F80)</f>
        <v>0</v>
      </c>
    </row>
    <row r="83" spans="1:6" ht="10.5" x14ac:dyDescent="0.25">
      <c r="A83" s="6" t="s">
        <v>1276</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1277</v>
      </c>
      <c r="B88" s="5" t="s">
        <v>179</v>
      </c>
      <c r="C88" s="7">
        <v>1</v>
      </c>
      <c r="D88" s="2" t="s">
        <v>77</v>
      </c>
      <c r="E88" s="8"/>
      <c r="F88" s="16">
        <f>C88*E88</f>
        <v>0</v>
      </c>
    </row>
    <row r="89" spans="1:6" ht="20" x14ac:dyDescent="0.2">
      <c r="A89" s="2" t="s">
        <v>1278</v>
      </c>
      <c r="B89" s="5" t="s">
        <v>181</v>
      </c>
      <c r="C89" s="7">
        <v>13</v>
      </c>
      <c r="D89" s="2" t="s">
        <v>77</v>
      </c>
      <c r="E89" s="8"/>
      <c r="F89" s="16">
        <f>C89*E89</f>
        <v>0</v>
      </c>
    </row>
    <row r="90" spans="1:6" ht="30" x14ac:dyDescent="0.2">
      <c r="A90" s="2" t="s">
        <v>1279</v>
      </c>
      <c r="B90" s="5" t="s">
        <v>183</v>
      </c>
      <c r="C90" s="7">
        <v>3</v>
      </c>
      <c r="D90" s="2" t="s">
        <v>77</v>
      </c>
      <c r="E90" s="8"/>
      <c r="F90" s="16">
        <f t="shared" ref="F90" si="5">C90*E90</f>
        <v>0</v>
      </c>
    </row>
    <row r="91" spans="1:6" ht="13" x14ac:dyDescent="0.3">
      <c r="B91" s="20" t="s">
        <v>184</v>
      </c>
      <c r="C91" s="9"/>
      <c r="D91" s="3"/>
      <c r="E91" s="9"/>
      <c r="F91" s="18">
        <f>SUM(F86:F90)</f>
        <v>0</v>
      </c>
    </row>
    <row r="93" spans="1:6" ht="10.5" x14ac:dyDescent="0.25">
      <c r="A93" s="6" t="s">
        <v>1280</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1281</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1282</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1283</v>
      </c>
      <c r="B105" s="5" t="s">
        <v>200</v>
      </c>
      <c r="C105" s="7">
        <v>3.14</v>
      </c>
      <c r="D105" s="2" t="s">
        <v>86</v>
      </c>
      <c r="E105" s="8"/>
      <c r="F105" s="16">
        <f t="shared" si="6"/>
        <v>0</v>
      </c>
    </row>
    <row r="106" spans="1:6" ht="40" x14ac:dyDescent="0.2">
      <c r="A106" s="2" t="s">
        <v>1284</v>
      </c>
      <c r="B106" s="5" t="s">
        <v>202</v>
      </c>
      <c r="C106" s="7">
        <v>3.62</v>
      </c>
      <c r="D106" s="2" t="s">
        <v>86</v>
      </c>
      <c r="E106" s="8"/>
      <c r="F106" s="16">
        <f t="shared" si="6"/>
        <v>0</v>
      </c>
    </row>
    <row r="107" spans="1:6" x14ac:dyDescent="0.2">
      <c r="A107" s="2"/>
      <c r="B107" s="5" t="s">
        <v>203</v>
      </c>
      <c r="C107" s="2"/>
      <c r="D107" s="2"/>
      <c r="E107" s="2"/>
      <c r="F107" s="16"/>
    </row>
    <row r="108" spans="1:6" ht="30" x14ac:dyDescent="0.2">
      <c r="A108" s="2" t="s">
        <v>1285</v>
      </c>
      <c r="B108" s="5" t="s">
        <v>205</v>
      </c>
      <c r="C108" s="7">
        <v>2.77</v>
      </c>
      <c r="D108" s="2" t="s">
        <v>86</v>
      </c>
      <c r="E108" s="8"/>
      <c r="F108" s="16">
        <f t="shared" si="6"/>
        <v>0</v>
      </c>
    </row>
    <row r="109" spans="1:6" x14ac:dyDescent="0.2">
      <c r="A109" s="2"/>
      <c r="B109" s="5" t="s">
        <v>206</v>
      </c>
      <c r="C109" s="2"/>
      <c r="D109" s="2"/>
      <c r="E109" s="2"/>
      <c r="F109" s="16"/>
    </row>
    <row r="110" spans="1:6" ht="30" x14ac:dyDescent="0.2">
      <c r="A110" s="2" t="s">
        <v>1286</v>
      </c>
      <c r="B110" s="5" t="s">
        <v>208</v>
      </c>
      <c r="C110" s="7">
        <v>2.04</v>
      </c>
      <c r="D110" s="2" t="s">
        <v>86</v>
      </c>
      <c r="E110" s="8"/>
      <c r="F110" s="16">
        <f t="shared" si="6"/>
        <v>0</v>
      </c>
    </row>
    <row r="111" spans="1:6" x14ac:dyDescent="0.2">
      <c r="A111" s="2"/>
      <c r="B111" s="5" t="s">
        <v>209</v>
      </c>
      <c r="C111" s="2"/>
      <c r="D111" s="2"/>
      <c r="E111" s="2"/>
      <c r="F111" s="16"/>
    </row>
    <row r="112" spans="1:6" ht="20" x14ac:dyDescent="0.2">
      <c r="A112" s="2" t="s">
        <v>1287</v>
      </c>
      <c r="B112" s="5" t="s">
        <v>987</v>
      </c>
      <c r="C112" s="7">
        <v>1</v>
      </c>
      <c r="D112" s="2" t="s">
        <v>77</v>
      </c>
      <c r="E112" s="8"/>
      <c r="F112" s="16">
        <f t="shared" si="6"/>
        <v>0</v>
      </c>
    </row>
    <row r="113" spans="1:6" ht="20" x14ac:dyDescent="0.2">
      <c r="A113" s="2" t="s">
        <v>1288</v>
      </c>
      <c r="B113" s="5" t="s">
        <v>211</v>
      </c>
      <c r="C113" s="7">
        <v>1</v>
      </c>
      <c r="D113" s="2" t="s">
        <v>77</v>
      </c>
      <c r="E113" s="8"/>
      <c r="F113" s="16">
        <f t="shared" si="6"/>
        <v>0</v>
      </c>
    </row>
    <row r="114" spans="1:6" ht="20" x14ac:dyDescent="0.2">
      <c r="A114" s="2" t="s">
        <v>1289</v>
      </c>
      <c r="B114" s="5" t="s">
        <v>213</v>
      </c>
      <c r="C114" s="7">
        <v>2</v>
      </c>
      <c r="D114" s="2" t="s">
        <v>77</v>
      </c>
      <c r="E114" s="8"/>
      <c r="F114" s="16">
        <f t="shared" si="6"/>
        <v>0</v>
      </c>
    </row>
    <row r="115" spans="1:6" x14ac:dyDescent="0.2">
      <c r="A115" s="2"/>
      <c r="B115" s="5" t="s">
        <v>214</v>
      </c>
      <c r="C115" s="2"/>
      <c r="D115" s="2"/>
      <c r="E115" s="2"/>
    </row>
    <row r="116" spans="1:6" x14ac:dyDescent="0.2">
      <c r="A116" s="2" t="s">
        <v>1290</v>
      </c>
      <c r="B116" s="5" t="s">
        <v>216</v>
      </c>
      <c r="C116" s="7">
        <v>1</v>
      </c>
      <c r="D116" s="2" t="s">
        <v>77</v>
      </c>
      <c r="E116" s="8"/>
      <c r="F116" s="16">
        <f>C116*E116</f>
        <v>0</v>
      </c>
    </row>
    <row r="117" spans="1:6" x14ac:dyDescent="0.2">
      <c r="A117" s="2" t="s">
        <v>1291</v>
      </c>
      <c r="B117" s="5" t="s">
        <v>992</v>
      </c>
      <c r="C117" s="7">
        <v>1</v>
      </c>
      <c r="D117" s="2" t="s">
        <v>77</v>
      </c>
      <c r="E117" s="8"/>
      <c r="F117" s="16">
        <f>C117*E117</f>
        <v>0</v>
      </c>
    </row>
    <row r="118" spans="1:6" x14ac:dyDescent="0.2">
      <c r="A118" s="2" t="s">
        <v>1292</v>
      </c>
      <c r="B118" s="5" t="s">
        <v>218</v>
      </c>
      <c r="C118" s="7">
        <v>2</v>
      </c>
      <c r="D118" s="2" t="s">
        <v>77</v>
      </c>
      <c r="E118" s="8"/>
      <c r="F118" s="16">
        <f t="shared" ref="F118" si="7">C118*E118</f>
        <v>0</v>
      </c>
    </row>
    <row r="119" spans="1:6" ht="13" x14ac:dyDescent="0.3">
      <c r="B119" s="20" t="s">
        <v>219</v>
      </c>
      <c r="C119" s="9"/>
      <c r="D119" s="3"/>
      <c r="E119" s="9"/>
      <c r="F119" s="18">
        <f>SUM(F114:F118)</f>
        <v>0</v>
      </c>
    </row>
    <row r="121" spans="1:6" ht="10.5" x14ac:dyDescent="0.25">
      <c r="A121" s="6" t="s">
        <v>1293</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1294</v>
      </c>
      <c r="B124" s="5" t="s">
        <v>224</v>
      </c>
      <c r="C124" s="7">
        <v>1</v>
      </c>
      <c r="D124" s="2" t="s">
        <v>77</v>
      </c>
      <c r="E124" s="8"/>
      <c r="F124" s="16">
        <f t="shared" ref="F124:F126" si="8">C124*E124</f>
        <v>0</v>
      </c>
    </row>
    <row r="125" spans="1:6" x14ac:dyDescent="0.2">
      <c r="A125" s="2" t="s">
        <v>1295</v>
      </c>
      <c r="B125" s="5" t="s">
        <v>226</v>
      </c>
      <c r="C125" s="2"/>
      <c r="D125" s="2"/>
      <c r="E125" s="2"/>
      <c r="F125" s="2" t="s">
        <v>227</v>
      </c>
    </row>
    <row r="126" spans="1:6" x14ac:dyDescent="0.2">
      <c r="A126" s="2" t="s">
        <v>1296</v>
      </c>
      <c r="B126" s="5" t="s">
        <v>229</v>
      </c>
      <c r="C126" s="7">
        <v>1</v>
      </c>
      <c r="D126" s="2" t="s">
        <v>77</v>
      </c>
      <c r="E126" s="8"/>
      <c r="F126" s="16">
        <f t="shared" si="8"/>
        <v>0</v>
      </c>
    </row>
    <row r="127" spans="1:6" x14ac:dyDescent="0.2">
      <c r="A127" s="2" t="s">
        <v>1297</v>
      </c>
      <c r="B127" s="5" t="s">
        <v>1105</v>
      </c>
      <c r="C127" s="2"/>
      <c r="D127" s="2"/>
      <c r="E127" s="2"/>
      <c r="F127" s="2" t="s">
        <v>227</v>
      </c>
    </row>
    <row r="128" spans="1:6" x14ac:dyDescent="0.2">
      <c r="A128" s="2" t="s">
        <v>1298</v>
      </c>
      <c r="B128" s="5" t="s">
        <v>1107</v>
      </c>
      <c r="C128" s="2"/>
      <c r="D128" s="2"/>
      <c r="E128" s="2"/>
      <c r="F128" s="2" t="s">
        <v>227</v>
      </c>
    </row>
    <row r="129" spans="1:6" x14ac:dyDescent="0.2">
      <c r="A129" s="2" t="s">
        <v>1299</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1300</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1301</v>
      </c>
      <c r="B133" s="5" t="s">
        <v>252</v>
      </c>
      <c r="C133" s="7">
        <v>1</v>
      </c>
      <c r="D133" s="2" t="s">
        <v>77</v>
      </c>
      <c r="E133" s="8"/>
      <c r="F133" s="16">
        <f t="shared" ref="F133:F137" si="11">C133*E133</f>
        <v>0</v>
      </c>
    </row>
    <row r="134" spans="1:6" x14ac:dyDescent="0.2">
      <c r="A134" s="2" t="s">
        <v>1302</v>
      </c>
      <c r="B134" s="5" t="s">
        <v>254</v>
      </c>
      <c r="C134" s="7">
        <v>1</v>
      </c>
      <c r="D134" s="2" t="s">
        <v>77</v>
      </c>
      <c r="E134" s="8"/>
      <c r="F134" s="16">
        <f t="shared" si="11"/>
        <v>0</v>
      </c>
    </row>
    <row r="135" spans="1:6" x14ac:dyDescent="0.2">
      <c r="A135" s="2" t="s">
        <v>1303</v>
      </c>
      <c r="B135" s="5" t="s">
        <v>256</v>
      </c>
      <c r="C135" s="7">
        <v>1</v>
      </c>
      <c r="D135" s="2" t="s">
        <v>77</v>
      </c>
      <c r="E135" s="8"/>
      <c r="F135" s="16">
        <f t="shared" si="11"/>
        <v>0</v>
      </c>
    </row>
    <row r="136" spans="1:6" x14ac:dyDescent="0.2">
      <c r="A136" s="2" t="s">
        <v>1304</v>
      </c>
      <c r="B136" s="5" t="s">
        <v>258</v>
      </c>
      <c r="C136" s="7">
        <v>1</v>
      </c>
      <c r="D136" s="2" t="s">
        <v>77</v>
      </c>
      <c r="E136" s="8"/>
      <c r="F136" s="16">
        <f t="shared" si="11"/>
        <v>0</v>
      </c>
    </row>
    <row r="137" spans="1:6" x14ac:dyDescent="0.2">
      <c r="A137" s="2" t="s">
        <v>1305</v>
      </c>
      <c r="B137" s="5" t="s">
        <v>260</v>
      </c>
      <c r="C137" s="7">
        <v>1</v>
      </c>
      <c r="D137" s="2" t="s">
        <v>77</v>
      </c>
      <c r="E137" s="8"/>
      <c r="F137" s="16">
        <f t="shared" si="11"/>
        <v>0</v>
      </c>
    </row>
    <row r="138" spans="1:6" x14ac:dyDescent="0.2">
      <c r="A138" s="2"/>
      <c r="B138" s="5" t="s">
        <v>261</v>
      </c>
      <c r="C138" s="2"/>
      <c r="D138" s="2"/>
      <c r="E138" s="2"/>
    </row>
    <row r="139" spans="1:6" x14ac:dyDescent="0.2">
      <c r="A139" s="2" t="s">
        <v>1306</v>
      </c>
      <c r="B139" s="5" t="s">
        <v>263</v>
      </c>
      <c r="C139" s="7">
        <v>2</v>
      </c>
      <c r="D139" s="2" t="s">
        <v>77</v>
      </c>
      <c r="E139" s="8"/>
      <c r="F139" s="16">
        <f t="shared" ref="F139:F152" si="12">C139*E139</f>
        <v>0</v>
      </c>
    </row>
    <row r="140" spans="1:6" x14ac:dyDescent="0.2">
      <c r="A140" s="2" t="s">
        <v>1307</v>
      </c>
      <c r="B140" s="5" t="s">
        <v>252</v>
      </c>
      <c r="C140" s="7">
        <v>1</v>
      </c>
      <c r="D140" s="2" t="s">
        <v>77</v>
      </c>
      <c r="E140" s="8"/>
      <c r="F140" s="16">
        <f t="shared" si="12"/>
        <v>0</v>
      </c>
    </row>
    <row r="141" spans="1:6" x14ac:dyDescent="0.2">
      <c r="A141" s="2" t="s">
        <v>1308</v>
      </c>
      <c r="B141" s="5" t="s">
        <v>254</v>
      </c>
      <c r="C141" s="7">
        <v>3</v>
      </c>
      <c r="D141" s="2" t="s">
        <v>77</v>
      </c>
      <c r="E141" s="8"/>
      <c r="F141" s="16">
        <f t="shared" si="12"/>
        <v>0</v>
      </c>
    </row>
    <row r="142" spans="1:6" x14ac:dyDescent="0.2">
      <c r="A142" s="2" t="s">
        <v>1309</v>
      </c>
      <c r="B142" s="5" t="s">
        <v>267</v>
      </c>
      <c r="C142" s="7">
        <v>1</v>
      </c>
      <c r="D142" s="2" t="s">
        <v>77</v>
      </c>
      <c r="E142" s="8"/>
      <c r="F142" s="16">
        <f t="shared" si="12"/>
        <v>0</v>
      </c>
    </row>
    <row r="143" spans="1:6" x14ac:dyDescent="0.2">
      <c r="A143" s="2" t="s">
        <v>1310</v>
      </c>
      <c r="B143" s="5" t="s">
        <v>269</v>
      </c>
      <c r="C143" s="7">
        <v>2</v>
      </c>
      <c r="D143" s="2" t="s">
        <v>77</v>
      </c>
      <c r="E143" s="8"/>
      <c r="F143" s="16">
        <f t="shared" si="12"/>
        <v>0</v>
      </c>
    </row>
    <row r="144" spans="1:6" x14ac:dyDescent="0.2">
      <c r="A144" s="2" t="s">
        <v>1311</v>
      </c>
      <c r="B144" s="5" t="s">
        <v>256</v>
      </c>
      <c r="C144" s="7">
        <v>3</v>
      </c>
      <c r="D144" s="2" t="s">
        <v>77</v>
      </c>
      <c r="E144" s="8"/>
      <c r="F144" s="16">
        <f t="shared" si="12"/>
        <v>0</v>
      </c>
    </row>
    <row r="145" spans="1:6" x14ac:dyDescent="0.2">
      <c r="A145" s="2" t="s">
        <v>1312</v>
      </c>
      <c r="B145" s="5" t="s">
        <v>272</v>
      </c>
      <c r="C145" s="7">
        <v>4</v>
      </c>
      <c r="D145" s="2" t="s">
        <v>77</v>
      </c>
      <c r="E145" s="8"/>
      <c r="F145" s="16">
        <f t="shared" si="12"/>
        <v>0</v>
      </c>
    </row>
    <row r="146" spans="1:6" x14ac:dyDescent="0.2">
      <c r="A146" s="2" t="s">
        <v>1313</v>
      </c>
      <c r="B146" s="5" t="s">
        <v>274</v>
      </c>
      <c r="C146" s="7">
        <v>2</v>
      </c>
      <c r="D146" s="2" t="s">
        <v>77</v>
      </c>
      <c r="E146" s="8"/>
      <c r="F146" s="16">
        <f t="shared" si="12"/>
        <v>0</v>
      </c>
    </row>
    <row r="147" spans="1:6" x14ac:dyDescent="0.2">
      <c r="A147" s="2" t="s">
        <v>1314</v>
      </c>
      <c r="B147" s="5" t="s">
        <v>276</v>
      </c>
      <c r="C147" s="7">
        <v>2</v>
      </c>
      <c r="D147" s="2" t="s">
        <v>77</v>
      </c>
      <c r="E147" s="8"/>
      <c r="F147" s="16">
        <f t="shared" si="12"/>
        <v>0</v>
      </c>
    </row>
    <row r="148" spans="1:6" ht="20" x14ac:dyDescent="0.2">
      <c r="A148" s="2" t="s">
        <v>1315</v>
      </c>
      <c r="B148" s="5" t="s">
        <v>278</v>
      </c>
      <c r="C148" s="7">
        <v>2</v>
      </c>
      <c r="D148" s="2" t="s">
        <v>77</v>
      </c>
      <c r="E148" s="8"/>
      <c r="F148" s="16">
        <f t="shared" si="12"/>
        <v>0</v>
      </c>
    </row>
    <row r="149" spans="1:6" x14ac:dyDescent="0.2">
      <c r="A149" s="2" t="s">
        <v>1316</v>
      </c>
      <c r="B149" s="5" t="s">
        <v>258</v>
      </c>
      <c r="C149" s="7">
        <v>1</v>
      </c>
      <c r="D149" s="2" t="s">
        <v>77</v>
      </c>
      <c r="E149" s="8"/>
      <c r="F149" s="16">
        <f t="shared" si="12"/>
        <v>0</v>
      </c>
    </row>
    <row r="150" spans="1:6" x14ac:dyDescent="0.2">
      <c r="A150" s="2" t="s">
        <v>1317</v>
      </c>
      <c r="B150" s="5" t="s">
        <v>260</v>
      </c>
      <c r="C150" s="7">
        <v>1</v>
      </c>
      <c r="D150" s="2" t="s">
        <v>77</v>
      </c>
      <c r="E150" s="8"/>
      <c r="F150" s="16">
        <f>C150*E150</f>
        <v>0</v>
      </c>
    </row>
    <row r="151" spans="1:6" x14ac:dyDescent="0.2">
      <c r="A151" s="2" t="s">
        <v>1318</v>
      </c>
      <c r="B151" s="5" t="s">
        <v>282</v>
      </c>
      <c r="C151" s="7">
        <v>1</v>
      </c>
      <c r="D151" s="2" t="s">
        <v>77</v>
      </c>
      <c r="E151" s="8"/>
      <c r="F151" s="16">
        <f t="shared" si="12"/>
        <v>0</v>
      </c>
    </row>
    <row r="152" spans="1:6" x14ac:dyDescent="0.2">
      <c r="A152" s="2" t="s">
        <v>1319</v>
      </c>
      <c r="B152" s="5" t="s">
        <v>284</v>
      </c>
      <c r="C152" s="7">
        <v>2</v>
      </c>
      <c r="D152" s="2" t="s">
        <v>77</v>
      </c>
      <c r="E152" s="8"/>
      <c r="F152" s="16">
        <f t="shared" si="12"/>
        <v>0</v>
      </c>
    </row>
    <row r="153" spans="1:6" x14ac:dyDescent="0.2">
      <c r="A153" s="2"/>
      <c r="B153" s="5" t="s">
        <v>285</v>
      </c>
      <c r="C153" s="2"/>
      <c r="D153" s="2"/>
      <c r="E153" s="2"/>
    </row>
    <row r="154" spans="1:6" ht="60" x14ac:dyDescent="0.2">
      <c r="A154" s="2" t="s">
        <v>1320</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1321</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50" x14ac:dyDescent="0.2">
      <c r="A163" s="2" t="s">
        <v>1322</v>
      </c>
      <c r="B163" s="5" t="s">
        <v>295</v>
      </c>
      <c r="C163" s="7">
        <v>50</v>
      </c>
      <c r="D163" s="2" t="s">
        <v>89</v>
      </c>
      <c r="E163" s="8"/>
      <c r="F163" s="16">
        <f t="shared" ref="F163:F164" si="14">C163*E163</f>
        <v>0</v>
      </c>
    </row>
    <row r="164" spans="1:6" ht="50" x14ac:dyDescent="0.2">
      <c r="A164" s="2" t="s">
        <v>1323</v>
      </c>
      <c r="B164" s="5" t="s">
        <v>297</v>
      </c>
      <c r="C164" s="7">
        <v>5</v>
      </c>
      <c r="D164" s="2" t="s">
        <v>86</v>
      </c>
      <c r="E164" s="8"/>
      <c r="F164" s="16">
        <f t="shared" si="14"/>
        <v>0</v>
      </c>
    </row>
    <row r="165" spans="1:6" x14ac:dyDescent="0.2">
      <c r="A165" s="2"/>
      <c r="B165" s="5" t="s">
        <v>298</v>
      </c>
      <c r="C165" s="2"/>
      <c r="D165" s="2"/>
      <c r="E165" s="2"/>
    </row>
    <row r="166" spans="1:6" ht="30" x14ac:dyDescent="0.2">
      <c r="A166" s="2" t="s">
        <v>1324</v>
      </c>
      <c r="B166" s="5" t="s">
        <v>300</v>
      </c>
      <c r="C166" s="7">
        <v>5</v>
      </c>
      <c r="D166" s="2" t="s">
        <v>89</v>
      </c>
      <c r="E166" s="8"/>
      <c r="F166" s="16">
        <f>C166*E166</f>
        <v>0</v>
      </c>
    </row>
    <row r="167" spans="1:6" ht="13" x14ac:dyDescent="0.3">
      <c r="B167" s="20" t="s">
        <v>301</v>
      </c>
      <c r="C167" s="9"/>
      <c r="D167" s="3"/>
      <c r="E167" s="9"/>
      <c r="F167" s="18">
        <f>SUM(F163:F166)</f>
        <v>0</v>
      </c>
    </row>
    <row r="169" spans="1:6" ht="10.5" x14ac:dyDescent="0.25">
      <c r="A169" s="6" t="s">
        <v>1325</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1326</v>
      </c>
      <c r="B178" s="5" t="s">
        <v>312</v>
      </c>
      <c r="C178" s="7">
        <v>222</v>
      </c>
      <c r="D178" s="2" t="s">
        <v>89</v>
      </c>
      <c r="E178" s="7"/>
      <c r="F178" s="16">
        <f>C178*E178</f>
        <v>0</v>
      </c>
    </row>
    <row r="179" spans="1:6" ht="13" x14ac:dyDescent="0.3">
      <c r="B179" s="20" t="s">
        <v>313</v>
      </c>
      <c r="C179" s="9"/>
      <c r="D179" s="3"/>
      <c r="E179" s="9"/>
      <c r="F179" s="18">
        <f>SUM(F178)</f>
        <v>0</v>
      </c>
    </row>
    <row r="181" spans="1:6" ht="10.5" x14ac:dyDescent="0.25">
      <c r="A181" s="6" t="s">
        <v>1327</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1328</v>
      </c>
      <c r="B191" s="5" t="s">
        <v>325</v>
      </c>
      <c r="C191" s="7">
        <v>222</v>
      </c>
      <c r="D191" s="2" t="s">
        <v>89</v>
      </c>
      <c r="E191" s="7"/>
      <c r="F191" s="16">
        <f>C191*E191</f>
        <v>0</v>
      </c>
    </row>
    <row r="192" spans="1:6" ht="13" x14ac:dyDescent="0.3">
      <c r="B192" s="20" t="s">
        <v>326</v>
      </c>
      <c r="C192" s="9"/>
      <c r="D192" s="3"/>
      <c r="E192" s="9"/>
      <c r="F192" s="18">
        <f>SUM(F191)</f>
        <v>0</v>
      </c>
    </row>
    <row r="194" spans="1:6" ht="10.5" x14ac:dyDescent="0.25">
      <c r="A194" s="6" t="s">
        <v>1329</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1330</v>
      </c>
      <c r="B207" s="5" t="s">
        <v>341</v>
      </c>
      <c r="C207" s="7">
        <v>222</v>
      </c>
      <c r="D207" s="2" t="s">
        <v>89</v>
      </c>
      <c r="E207" s="7"/>
      <c r="F207" s="16">
        <f>C207*E207</f>
        <v>0</v>
      </c>
    </row>
    <row r="208" spans="1:6" ht="21.5" x14ac:dyDescent="0.3">
      <c r="B208" s="20" t="s">
        <v>342</v>
      </c>
      <c r="C208" s="9"/>
      <c r="D208" s="3"/>
      <c r="E208" s="9"/>
      <c r="F208" s="18">
        <f>SUM(F207)</f>
        <v>0</v>
      </c>
    </row>
    <row r="209" spans="2:6" ht="13" x14ac:dyDescent="0.3">
      <c r="B209" s="20" t="s">
        <v>1331</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3042-019E-4178-9362-EEF188A1EAD8}">
  <sheetPr codeName="Sheet13">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1818</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1332</v>
      </c>
      <c r="B6" s="20" t="s">
        <v>1333</v>
      </c>
    </row>
    <row r="7" spans="1:6" x14ac:dyDescent="0.2">
      <c r="A7" s="2"/>
      <c r="B7" s="5"/>
      <c r="C7" s="2"/>
      <c r="D7" s="2"/>
      <c r="E7" s="2"/>
    </row>
    <row r="8" spans="1:6" x14ac:dyDescent="0.2">
      <c r="A8" s="2"/>
      <c r="B8" s="5" t="s">
        <v>443</v>
      </c>
      <c r="C8" s="2"/>
      <c r="D8" s="2"/>
      <c r="E8" s="2"/>
    </row>
    <row r="10" spans="1:6" ht="10.5" x14ac:dyDescent="0.25">
      <c r="A10" s="6" t="s">
        <v>1334</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1335</v>
      </c>
      <c r="B15" s="5" t="s">
        <v>76</v>
      </c>
      <c r="C15" s="7">
        <v>14</v>
      </c>
      <c r="D15" s="2" t="s">
        <v>77</v>
      </c>
      <c r="E15" s="8"/>
      <c r="F15" s="16">
        <f>C15*E15</f>
        <v>0</v>
      </c>
    </row>
    <row r="16" spans="1:6" x14ac:dyDescent="0.2">
      <c r="A16" s="2" t="s">
        <v>1336</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1337</v>
      </c>
      <c r="B18" s="5" t="s">
        <v>83</v>
      </c>
      <c r="C18" s="7">
        <v>1</v>
      </c>
      <c r="D18" s="2" t="s">
        <v>80</v>
      </c>
      <c r="E18" s="8"/>
      <c r="F18" s="16">
        <f t="shared" si="0"/>
        <v>0</v>
      </c>
    </row>
    <row r="19" spans="1:6" x14ac:dyDescent="0.2">
      <c r="A19" s="2"/>
      <c r="B19" s="5" t="s">
        <v>69</v>
      </c>
      <c r="C19" s="2"/>
      <c r="D19" s="2"/>
      <c r="E19" s="2"/>
      <c r="F19" s="16"/>
    </row>
    <row r="20" spans="1:6" ht="20" x14ac:dyDescent="0.2">
      <c r="A20" s="2" t="s">
        <v>1338</v>
      </c>
      <c r="B20" s="5" t="s">
        <v>85</v>
      </c>
      <c r="C20" s="7">
        <v>11</v>
      </c>
      <c r="D20" s="2" t="s">
        <v>86</v>
      </c>
      <c r="E20" s="8"/>
      <c r="F20" s="16">
        <f t="shared" si="0"/>
        <v>0</v>
      </c>
    </row>
    <row r="21" spans="1:6" x14ac:dyDescent="0.2">
      <c r="A21" s="2" t="s">
        <v>1339</v>
      </c>
      <c r="B21" s="5" t="s">
        <v>88</v>
      </c>
      <c r="C21" s="7">
        <v>6</v>
      </c>
      <c r="D21" s="2" t="s">
        <v>89</v>
      </c>
      <c r="E21" s="8"/>
      <c r="F21" s="16">
        <f t="shared" si="0"/>
        <v>0</v>
      </c>
    </row>
    <row r="22" spans="1:6" ht="30" x14ac:dyDescent="0.2">
      <c r="A22" s="2" t="s">
        <v>1340</v>
      </c>
      <c r="B22" s="5" t="s">
        <v>91</v>
      </c>
      <c r="C22" s="7">
        <v>32</v>
      </c>
      <c r="D22" s="2" t="s">
        <v>89</v>
      </c>
      <c r="E22" s="8"/>
      <c r="F22" s="16">
        <f t="shared" si="0"/>
        <v>0</v>
      </c>
    </row>
    <row r="23" spans="1:6" x14ac:dyDescent="0.2">
      <c r="A23" s="2" t="s">
        <v>1341</v>
      </c>
      <c r="B23" s="5" t="s">
        <v>93</v>
      </c>
      <c r="C23" s="7">
        <v>10</v>
      </c>
      <c r="D23" s="2" t="s">
        <v>86</v>
      </c>
      <c r="E23" s="8"/>
      <c r="F23" s="16">
        <f t="shared" si="0"/>
        <v>0</v>
      </c>
    </row>
    <row r="24" spans="1:6" x14ac:dyDescent="0.2">
      <c r="A24" s="2" t="s">
        <v>1342</v>
      </c>
      <c r="B24" s="5" t="s">
        <v>95</v>
      </c>
      <c r="C24" s="7">
        <v>13</v>
      </c>
      <c r="D24" s="2" t="s">
        <v>77</v>
      </c>
      <c r="E24" s="8"/>
      <c r="F24" s="16">
        <f t="shared" si="0"/>
        <v>0</v>
      </c>
    </row>
    <row r="25" spans="1:6" ht="20" x14ac:dyDescent="0.2">
      <c r="A25" s="2" t="s">
        <v>1343</v>
      </c>
      <c r="B25" s="5" t="s">
        <v>97</v>
      </c>
      <c r="C25" s="7">
        <v>11</v>
      </c>
      <c r="D25" s="2" t="s">
        <v>86</v>
      </c>
      <c r="E25" s="8"/>
      <c r="F25" s="16">
        <f t="shared" si="0"/>
        <v>0</v>
      </c>
    </row>
    <row r="26" spans="1:6" x14ac:dyDescent="0.2">
      <c r="A26" s="2" t="s">
        <v>1344</v>
      </c>
      <c r="B26" s="5" t="s">
        <v>99</v>
      </c>
      <c r="C26" s="7">
        <v>136</v>
      </c>
      <c r="D26" s="2" t="s">
        <v>89</v>
      </c>
      <c r="E26" s="8"/>
      <c r="F26" s="16">
        <f t="shared" si="0"/>
        <v>0</v>
      </c>
    </row>
    <row r="27" spans="1:6" x14ac:dyDescent="0.2">
      <c r="A27" s="2" t="s">
        <v>1345</v>
      </c>
      <c r="B27" s="5" t="s">
        <v>101</v>
      </c>
      <c r="C27" s="7">
        <v>2</v>
      </c>
      <c r="D27" s="2" t="s">
        <v>77</v>
      </c>
      <c r="E27" s="8"/>
      <c r="F27" s="16">
        <f t="shared" si="0"/>
        <v>0</v>
      </c>
    </row>
    <row r="28" spans="1:6" x14ac:dyDescent="0.2">
      <c r="A28" s="2" t="s">
        <v>1346</v>
      </c>
      <c r="B28" s="5" t="s">
        <v>103</v>
      </c>
      <c r="C28" s="7">
        <v>1</v>
      </c>
      <c r="D28" s="2" t="s">
        <v>104</v>
      </c>
      <c r="E28" s="8"/>
      <c r="F28" s="16">
        <f t="shared" si="0"/>
        <v>0</v>
      </c>
    </row>
    <row r="29" spans="1:6" x14ac:dyDescent="0.2">
      <c r="A29" s="2" t="s">
        <v>1347</v>
      </c>
      <c r="B29" s="5" t="s">
        <v>106</v>
      </c>
      <c r="C29" s="7">
        <v>1</v>
      </c>
      <c r="D29" s="2" t="s">
        <v>77</v>
      </c>
      <c r="E29" s="8"/>
      <c r="F29" s="16">
        <f t="shared" si="0"/>
        <v>0</v>
      </c>
    </row>
    <row r="30" spans="1:6" x14ac:dyDescent="0.2">
      <c r="A30" s="2" t="s">
        <v>1348</v>
      </c>
      <c r="B30" s="5" t="s">
        <v>108</v>
      </c>
      <c r="C30" s="7">
        <v>89</v>
      </c>
      <c r="D30" s="2" t="s">
        <v>89</v>
      </c>
      <c r="E30" s="8"/>
      <c r="F30" s="16">
        <f t="shared" si="0"/>
        <v>0</v>
      </c>
    </row>
    <row r="31" spans="1:6" ht="20" x14ac:dyDescent="0.2">
      <c r="A31" s="2" t="s">
        <v>1349</v>
      </c>
      <c r="B31" s="5" t="s">
        <v>110</v>
      </c>
      <c r="C31" s="7">
        <v>1</v>
      </c>
      <c r="D31" s="2" t="s">
        <v>77</v>
      </c>
      <c r="E31" s="8"/>
      <c r="F31" s="16">
        <f t="shared" si="0"/>
        <v>0</v>
      </c>
    </row>
    <row r="32" spans="1:6" ht="20" x14ac:dyDescent="0.2">
      <c r="A32" s="2" t="s">
        <v>1350</v>
      </c>
      <c r="B32" s="5" t="s">
        <v>112</v>
      </c>
      <c r="C32" s="7">
        <v>26</v>
      </c>
      <c r="D32" s="2" t="s">
        <v>86</v>
      </c>
      <c r="E32" s="8"/>
      <c r="F32" s="16">
        <f t="shared" si="0"/>
        <v>0</v>
      </c>
    </row>
    <row r="33" spans="1:6" ht="40" x14ac:dyDescent="0.2">
      <c r="A33" s="2" t="s">
        <v>1351</v>
      </c>
      <c r="B33" s="5" t="s">
        <v>114</v>
      </c>
      <c r="C33" s="7">
        <v>44</v>
      </c>
      <c r="D33" s="2" t="s">
        <v>89</v>
      </c>
      <c r="E33" s="8"/>
      <c r="F33" s="16">
        <f t="shared" si="0"/>
        <v>0</v>
      </c>
    </row>
    <row r="34" spans="1:6" x14ac:dyDescent="0.2">
      <c r="A34" s="2"/>
      <c r="B34" s="5" t="s">
        <v>115</v>
      </c>
      <c r="C34" s="2"/>
      <c r="D34" s="2"/>
      <c r="E34" s="2"/>
      <c r="F34" s="16"/>
    </row>
    <row r="35" spans="1:6" ht="30" x14ac:dyDescent="0.2">
      <c r="A35" s="2" t="s">
        <v>1352</v>
      </c>
      <c r="B35" s="5" t="s">
        <v>117</v>
      </c>
      <c r="C35" s="7">
        <v>1</v>
      </c>
      <c r="D35" s="2" t="s">
        <v>80</v>
      </c>
      <c r="E35" s="8"/>
      <c r="F35" s="16">
        <f t="shared" si="0"/>
        <v>0</v>
      </c>
    </row>
    <row r="36" spans="1:6" x14ac:dyDescent="0.2">
      <c r="A36" s="2" t="s">
        <v>1353</v>
      </c>
      <c r="B36" s="5" t="s">
        <v>119</v>
      </c>
      <c r="C36" s="7">
        <v>1</v>
      </c>
      <c r="D36" s="2" t="s">
        <v>104</v>
      </c>
      <c r="E36" s="8"/>
      <c r="F36" s="16">
        <f t="shared" si="0"/>
        <v>0</v>
      </c>
    </row>
    <row r="37" spans="1:6" ht="20" x14ac:dyDescent="0.2">
      <c r="A37" s="2" t="s">
        <v>1354</v>
      </c>
      <c r="B37" s="5" t="s">
        <v>121</v>
      </c>
      <c r="C37" s="7">
        <v>1</v>
      </c>
      <c r="D37" s="2" t="s">
        <v>104</v>
      </c>
      <c r="E37" s="8"/>
      <c r="F37" s="16">
        <f t="shared" si="0"/>
        <v>0</v>
      </c>
    </row>
    <row r="38" spans="1:6" x14ac:dyDescent="0.2">
      <c r="A38" s="2" t="s">
        <v>1355</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1356</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1357</v>
      </c>
      <c r="B51" s="5" t="s">
        <v>137</v>
      </c>
      <c r="C51" s="7">
        <v>366</v>
      </c>
      <c r="D51" s="2" t="s">
        <v>89</v>
      </c>
      <c r="E51" s="8"/>
      <c r="F51" s="16">
        <f t="shared" ref="F51:F58" si="1">C51*E51</f>
        <v>0</v>
      </c>
    </row>
    <row r="52" spans="1:6" x14ac:dyDescent="0.2">
      <c r="A52" s="2"/>
      <c r="B52" s="5" t="s">
        <v>138</v>
      </c>
      <c r="C52" s="2"/>
      <c r="D52" s="2"/>
      <c r="E52" s="2"/>
      <c r="F52" s="16"/>
    </row>
    <row r="53" spans="1:6" ht="30" x14ac:dyDescent="0.2">
      <c r="A53" s="2" t="s">
        <v>1358</v>
      </c>
      <c r="B53" s="5" t="s">
        <v>140</v>
      </c>
      <c r="C53" s="7">
        <v>63</v>
      </c>
      <c r="D53" s="2" t="s">
        <v>89</v>
      </c>
      <c r="E53" s="8"/>
      <c r="F53" s="16">
        <f t="shared" si="1"/>
        <v>0</v>
      </c>
    </row>
    <row r="54" spans="1:6" ht="40" x14ac:dyDescent="0.2">
      <c r="A54" s="2" t="s">
        <v>1359</v>
      </c>
      <c r="B54" s="5" t="s">
        <v>964</v>
      </c>
      <c r="C54" s="7">
        <v>6</v>
      </c>
      <c r="D54" s="2" t="s">
        <v>89</v>
      </c>
      <c r="E54" s="8"/>
      <c r="F54" s="16">
        <f t="shared" si="1"/>
        <v>0</v>
      </c>
    </row>
    <row r="55" spans="1:6" ht="30" x14ac:dyDescent="0.2">
      <c r="A55" s="2" t="s">
        <v>1360</v>
      </c>
      <c r="B55" s="5" t="s">
        <v>142</v>
      </c>
      <c r="C55" s="7">
        <v>4</v>
      </c>
      <c r="D55" s="2" t="s">
        <v>89</v>
      </c>
      <c r="E55" s="8"/>
      <c r="F55" s="16">
        <f t="shared" si="1"/>
        <v>0</v>
      </c>
    </row>
    <row r="56" spans="1:6" ht="20" x14ac:dyDescent="0.2">
      <c r="A56" s="2" t="s">
        <v>1361</v>
      </c>
      <c r="B56" s="5" t="s">
        <v>144</v>
      </c>
      <c r="C56" s="7">
        <v>91</v>
      </c>
      <c r="D56" s="2" t="s">
        <v>89</v>
      </c>
      <c r="E56" s="8"/>
      <c r="F56" s="16">
        <f t="shared" si="1"/>
        <v>0</v>
      </c>
    </row>
    <row r="57" spans="1:6" x14ac:dyDescent="0.2">
      <c r="A57" s="2"/>
      <c r="B57" s="5" t="s">
        <v>145</v>
      </c>
      <c r="C57" s="2"/>
      <c r="D57" s="2"/>
      <c r="E57" s="2"/>
      <c r="F57" s="16"/>
    </row>
    <row r="58" spans="1:6" ht="30" x14ac:dyDescent="0.2">
      <c r="A58" s="2" t="s">
        <v>1362</v>
      </c>
      <c r="B58" s="5" t="s">
        <v>147</v>
      </c>
      <c r="C58" s="7">
        <v>127</v>
      </c>
      <c r="D58" s="2" t="s">
        <v>86</v>
      </c>
      <c r="E58" s="8"/>
      <c r="F58" s="16">
        <f t="shared" si="1"/>
        <v>0</v>
      </c>
    </row>
    <row r="59" spans="1:6" x14ac:dyDescent="0.2">
      <c r="A59" s="2"/>
      <c r="B59" s="5" t="s">
        <v>148</v>
      </c>
      <c r="C59" s="2"/>
      <c r="D59" s="2"/>
      <c r="E59" s="2"/>
      <c r="F59" s="16"/>
    </row>
    <row r="60" spans="1:6" ht="30" x14ac:dyDescent="0.2">
      <c r="A60" s="2" t="s">
        <v>1363</v>
      </c>
      <c r="B60" s="5" t="s">
        <v>150</v>
      </c>
      <c r="C60" s="7">
        <v>13</v>
      </c>
      <c r="D60" s="2" t="s">
        <v>77</v>
      </c>
      <c r="E60" s="8"/>
      <c r="F60" s="16">
        <f t="shared" ref="F60" si="2">C60*E60</f>
        <v>0</v>
      </c>
    </row>
    <row r="61" spans="1:6" ht="13" x14ac:dyDescent="0.3">
      <c r="B61" s="20" t="s">
        <v>151</v>
      </c>
      <c r="C61" s="9"/>
      <c r="D61" s="3"/>
      <c r="E61" s="9"/>
      <c r="F61" s="18">
        <f>SUM(F51:F60)</f>
        <v>0</v>
      </c>
    </row>
    <row r="63" spans="1:6" ht="10.5" x14ac:dyDescent="0.25">
      <c r="A63" s="6" t="s">
        <v>1364</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1365</v>
      </c>
      <c r="B69" s="5" t="s">
        <v>158</v>
      </c>
      <c r="C69" s="7">
        <v>115</v>
      </c>
      <c r="D69" s="2" t="s">
        <v>89</v>
      </c>
      <c r="E69" s="8"/>
      <c r="F69" s="16">
        <f t="shared" ref="F69:F73" si="3">C69*E69</f>
        <v>0</v>
      </c>
    </row>
    <row r="70" spans="1:6" ht="40" x14ac:dyDescent="0.2">
      <c r="A70" s="2" t="s">
        <v>1366</v>
      </c>
      <c r="B70" s="5" t="s">
        <v>160</v>
      </c>
      <c r="C70" s="7">
        <v>18</v>
      </c>
      <c r="D70" s="2" t="s">
        <v>89</v>
      </c>
      <c r="E70" s="8"/>
      <c r="F70" s="16">
        <f t="shared" si="3"/>
        <v>0</v>
      </c>
    </row>
    <row r="71" spans="1:6" x14ac:dyDescent="0.2">
      <c r="A71" s="2"/>
      <c r="B71" s="5" t="s">
        <v>161</v>
      </c>
      <c r="C71" s="2"/>
      <c r="D71" s="2"/>
      <c r="E71" s="2"/>
      <c r="F71" s="16"/>
    </row>
    <row r="72" spans="1:6" x14ac:dyDescent="0.2">
      <c r="A72" s="2" t="s">
        <v>1367</v>
      </c>
      <c r="B72" s="5" t="s">
        <v>163</v>
      </c>
      <c r="C72" s="7">
        <v>17.77</v>
      </c>
      <c r="D72" s="2" t="s">
        <v>86</v>
      </c>
      <c r="E72" s="8"/>
      <c r="F72" s="16">
        <f t="shared" si="3"/>
        <v>0</v>
      </c>
    </row>
    <row r="73" spans="1:6" ht="20" x14ac:dyDescent="0.2">
      <c r="A73" s="2" t="s">
        <v>1368</v>
      </c>
      <c r="B73" s="5" t="s">
        <v>165</v>
      </c>
      <c r="C73" s="7">
        <v>10</v>
      </c>
      <c r="D73" s="2" t="s">
        <v>89</v>
      </c>
      <c r="E73" s="8"/>
      <c r="F73" s="16">
        <f t="shared" si="3"/>
        <v>0</v>
      </c>
    </row>
    <row r="74" spans="1:6" ht="13" x14ac:dyDescent="0.3">
      <c r="B74" s="20" t="s">
        <v>166</v>
      </c>
      <c r="C74" s="9"/>
      <c r="D74" s="3"/>
      <c r="E74" s="9"/>
      <c r="F74" s="18">
        <f>SUM(F69:F73)</f>
        <v>0</v>
      </c>
    </row>
    <row r="76" spans="1:6" ht="10.5" x14ac:dyDescent="0.25">
      <c r="A76" s="6" t="s">
        <v>1369</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1370</v>
      </c>
      <c r="B80" s="5" t="s">
        <v>172</v>
      </c>
      <c r="C80" s="7">
        <v>157</v>
      </c>
      <c r="D80" s="2" t="s">
        <v>89</v>
      </c>
      <c r="E80" s="8"/>
      <c r="F80" s="16">
        <f t="shared" ref="F80" si="4">C80*E80</f>
        <v>0</v>
      </c>
    </row>
    <row r="81" spans="1:6" ht="13" x14ac:dyDescent="0.3">
      <c r="B81" s="20" t="s">
        <v>173</v>
      </c>
      <c r="C81" s="9"/>
      <c r="D81" s="3"/>
      <c r="E81" s="9"/>
      <c r="F81" s="18">
        <f>SUM(F80)</f>
        <v>0</v>
      </c>
    </row>
    <row r="83" spans="1:6" ht="10.5" x14ac:dyDescent="0.25">
      <c r="A83" s="6" t="s">
        <v>1371</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1372</v>
      </c>
      <c r="B88" s="5" t="s">
        <v>179</v>
      </c>
      <c r="C88" s="7">
        <v>1</v>
      </c>
      <c r="D88" s="2" t="s">
        <v>77</v>
      </c>
      <c r="E88" s="8"/>
      <c r="F88" s="16">
        <f>C88*E88</f>
        <v>0</v>
      </c>
    </row>
    <row r="89" spans="1:6" ht="20" x14ac:dyDescent="0.2">
      <c r="A89" s="2" t="s">
        <v>1373</v>
      </c>
      <c r="B89" s="5" t="s">
        <v>181</v>
      </c>
      <c r="C89" s="7">
        <v>13</v>
      </c>
      <c r="D89" s="2" t="s">
        <v>77</v>
      </c>
      <c r="E89" s="8"/>
      <c r="F89" s="16">
        <f>C89*E89</f>
        <v>0</v>
      </c>
    </row>
    <row r="90" spans="1:6" ht="30" x14ac:dyDescent="0.2">
      <c r="A90" s="2" t="s">
        <v>1374</v>
      </c>
      <c r="B90" s="5" t="s">
        <v>183</v>
      </c>
      <c r="C90" s="7">
        <v>1</v>
      </c>
      <c r="D90" s="2" t="s">
        <v>77</v>
      </c>
      <c r="E90" s="8"/>
      <c r="F90" s="16">
        <f t="shared" ref="F90" si="5">C90*E90</f>
        <v>0</v>
      </c>
    </row>
    <row r="91" spans="1:6" ht="13" x14ac:dyDescent="0.3">
      <c r="B91" s="20" t="s">
        <v>184</v>
      </c>
      <c r="C91" s="9"/>
      <c r="D91" s="3"/>
      <c r="E91" s="9"/>
      <c r="F91" s="18">
        <f>SUM(F86:F90)</f>
        <v>0</v>
      </c>
    </row>
    <row r="93" spans="1:6" ht="10.5" x14ac:dyDescent="0.25">
      <c r="A93" s="6" t="s">
        <v>1375</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1376</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1377</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1378</v>
      </c>
      <c r="B105" s="5" t="s">
        <v>200</v>
      </c>
      <c r="C105" s="7">
        <v>3.14</v>
      </c>
      <c r="D105" s="2" t="s">
        <v>86</v>
      </c>
      <c r="E105" s="8"/>
      <c r="F105" s="16">
        <f t="shared" si="6"/>
        <v>0</v>
      </c>
    </row>
    <row r="106" spans="1:6" ht="40" x14ac:dyDescent="0.2">
      <c r="A106" s="2" t="s">
        <v>1379</v>
      </c>
      <c r="B106" s="5" t="s">
        <v>202</v>
      </c>
      <c r="C106" s="7">
        <v>2.0299999999999998</v>
      </c>
      <c r="D106" s="2" t="s">
        <v>86</v>
      </c>
      <c r="E106" s="8"/>
      <c r="F106" s="16">
        <f t="shared" si="6"/>
        <v>0</v>
      </c>
    </row>
    <row r="107" spans="1:6" x14ac:dyDescent="0.2">
      <c r="A107" s="2"/>
      <c r="B107" s="5" t="s">
        <v>203</v>
      </c>
      <c r="C107" s="2"/>
      <c r="D107" s="2"/>
      <c r="E107" s="2"/>
      <c r="F107" s="16"/>
    </row>
    <row r="108" spans="1:6" ht="30" x14ac:dyDescent="0.2">
      <c r="A108" s="2" t="s">
        <v>1380</v>
      </c>
      <c r="B108" s="5" t="s">
        <v>205</v>
      </c>
      <c r="C108" s="7">
        <v>2.77</v>
      </c>
      <c r="D108" s="2" t="s">
        <v>86</v>
      </c>
      <c r="E108" s="8"/>
      <c r="F108" s="16">
        <f t="shared" si="6"/>
        <v>0</v>
      </c>
    </row>
    <row r="109" spans="1:6" x14ac:dyDescent="0.2">
      <c r="A109" s="2"/>
      <c r="B109" s="5" t="s">
        <v>206</v>
      </c>
      <c r="C109" s="2"/>
      <c r="D109" s="2"/>
      <c r="E109" s="2"/>
      <c r="F109" s="16"/>
    </row>
    <row r="110" spans="1:6" ht="30" x14ac:dyDescent="0.2">
      <c r="A110" s="2" t="s">
        <v>1381</v>
      </c>
      <c r="B110" s="5" t="s">
        <v>1093</v>
      </c>
      <c r="C110" s="7">
        <v>2.95</v>
      </c>
      <c r="D110" s="2" t="s">
        <v>86</v>
      </c>
      <c r="E110" s="8"/>
      <c r="F110" s="16">
        <f t="shared" si="6"/>
        <v>0</v>
      </c>
    </row>
    <row r="111" spans="1:6" x14ac:dyDescent="0.2">
      <c r="A111" s="2"/>
      <c r="B111" s="5" t="s">
        <v>209</v>
      </c>
      <c r="C111" s="2"/>
      <c r="D111" s="2"/>
      <c r="E111" s="2"/>
      <c r="F111" s="16"/>
    </row>
    <row r="112" spans="1:6" ht="20" x14ac:dyDescent="0.2">
      <c r="A112" s="2" t="s">
        <v>1382</v>
      </c>
      <c r="B112" s="5" t="s">
        <v>987</v>
      </c>
      <c r="C112" s="7">
        <v>1</v>
      </c>
      <c r="D112" s="2" t="s">
        <v>77</v>
      </c>
      <c r="E112" s="8"/>
      <c r="F112" s="16">
        <f t="shared" si="6"/>
        <v>0</v>
      </c>
    </row>
    <row r="113" spans="1:6" ht="20" x14ac:dyDescent="0.2">
      <c r="A113" s="2" t="s">
        <v>1383</v>
      </c>
      <c r="B113" s="5" t="s">
        <v>211</v>
      </c>
      <c r="C113" s="7">
        <v>1</v>
      </c>
      <c r="D113" s="2" t="s">
        <v>77</v>
      </c>
      <c r="E113" s="8"/>
      <c r="F113" s="16">
        <f t="shared" si="6"/>
        <v>0</v>
      </c>
    </row>
    <row r="114" spans="1:6" ht="20" x14ac:dyDescent="0.2">
      <c r="A114" s="2" t="s">
        <v>1384</v>
      </c>
      <c r="B114" s="5" t="s">
        <v>213</v>
      </c>
      <c r="C114" s="7">
        <v>2</v>
      </c>
      <c r="D114" s="2" t="s">
        <v>77</v>
      </c>
      <c r="E114" s="8"/>
      <c r="F114" s="16">
        <f t="shared" si="6"/>
        <v>0</v>
      </c>
    </row>
    <row r="115" spans="1:6" x14ac:dyDescent="0.2">
      <c r="A115" s="2"/>
      <c r="B115" s="5" t="s">
        <v>214</v>
      </c>
      <c r="C115" s="2"/>
      <c r="D115" s="2"/>
      <c r="E115" s="2"/>
    </row>
    <row r="116" spans="1:6" x14ac:dyDescent="0.2">
      <c r="A116" s="2" t="s">
        <v>1385</v>
      </c>
      <c r="B116" s="5" t="s">
        <v>216</v>
      </c>
      <c r="C116" s="7">
        <v>1</v>
      </c>
      <c r="D116" s="2" t="s">
        <v>77</v>
      </c>
      <c r="E116" s="8"/>
      <c r="F116" s="16">
        <f>C116*E116</f>
        <v>0</v>
      </c>
    </row>
    <row r="117" spans="1:6" x14ac:dyDescent="0.2">
      <c r="A117" s="2" t="s">
        <v>1386</v>
      </c>
      <c r="B117" s="5" t="s">
        <v>218</v>
      </c>
      <c r="C117" s="7">
        <v>2</v>
      </c>
      <c r="D117" s="2" t="s">
        <v>77</v>
      </c>
      <c r="E117" s="8"/>
      <c r="F117" s="16">
        <f>C117*E117</f>
        <v>0</v>
      </c>
    </row>
    <row r="118" spans="1:6" x14ac:dyDescent="0.2">
      <c r="A118" s="2" t="s">
        <v>1387</v>
      </c>
      <c r="B118" s="5" t="s">
        <v>992</v>
      </c>
      <c r="C118" s="7">
        <v>1</v>
      </c>
      <c r="D118" s="2" t="s">
        <v>77</v>
      </c>
      <c r="E118" s="8"/>
      <c r="F118" s="16">
        <f t="shared" ref="F118" si="7">C118*E118</f>
        <v>0</v>
      </c>
    </row>
    <row r="119" spans="1:6" ht="13" x14ac:dyDescent="0.3">
      <c r="B119" s="20" t="s">
        <v>219</v>
      </c>
      <c r="C119" s="9"/>
      <c r="D119" s="3"/>
      <c r="E119" s="9"/>
      <c r="F119" s="18">
        <f>SUM(F114:F118)</f>
        <v>0</v>
      </c>
    </row>
    <row r="121" spans="1:6" ht="10.5" x14ac:dyDescent="0.25">
      <c r="A121" s="6" t="s">
        <v>1388</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1389</v>
      </c>
      <c r="B124" s="5" t="s">
        <v>224</v>
      </c>
      <c r="C124" s="7">
        <v>1</v>
      </c>
      <c r="D124" s="2" t="s">
        <v>77</v>
      </c>
      <c r="E124" s="8"/>
      <c r="F124" s="16">
        <f t="shared" ref="F124:F126" si="8">C124*E124</f>
        <v>0</v>
      </c>
    </row>
    <row r="125" spans="1:6" x14ac:dyDescent="0.2">
      <c r="A125" s="2" t="s">
        <v>1390</v>
      </c>
      <c r="B125" s="5" t="s">
        <v>226</v>
      </c>
      <c r="C125" s="2"/>
      <c r="D125" s="2"/>
      <c r="E125" s="2"/>
      <c r="F125" s="2" t="s">
        <v>227</v>
      </c>
    </row>
    <row r="126" spans="1:6" x14ac:dyDescent="0.2">
      <c r="A126" s="2" t="s">
        <v>1391</v>
      </c>
      <c r="B126" s="5" t="s">
        <v>229</v>
      </c>
      <c r="C126" s="7">
        <v>1</v>
      </c>
      <c r="D126" s="2" t="s">
        <v>77</v>
      </c>
      <c r="E126" s="8"/>
      <c r="F126" s="16">
        <f t="shared" si="8"/>
        <v>0</v>
      </c>
    </row>
    <row r="127" spans="1:6" x14ac:dyDescent="0.2">
      <c r="A127" s="2" t="s">
        <v>1392</v>
      </c>
      <c r="B127" s="5" t="s">
        <v>1105</v>
      </c>
      <c r="C127" s="2"/>
      <c r="D127" s="2"/>
      <c r="E127" s="2"/>
      <c r="F127" s="2" t="s">
        <v>227</v>
      </c>
    </row>
    <row r="128" spans="1:6" x14ac:dyDescent="0.2">
      <c r="A128" s="2" t="s">
        <v>1393</v>
      </c>
      <c r="B128" s="5" t="s">
        <v>1107</v>
      </c>
      <c r="C128" s="2"/>
      <c r="D128" s="2"/>
      <c r="E128" s="2"/>
      <c r="F128" s="2" t="s">
        <v>227</v>
      </c>
    </row>
    <row r="129" spans="1:6" x14ac:dyDescent="0.2">
      <c r="A129" s="2" t="s">
        <v>1394</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1395</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1396</v>
      </c>
      <c r="B133" s="5" t="s">
        <v>252</v>
      </c>
      <c r="C133" s="7">
        <v>1</v>
      </c>
      <c r="D133" s="2" t="s">
        <v>77</v>
      </c>
      <c r="E133" s="8"/>
      <c r="F133" s="16">
        <f t="shared" ref="F133:F137" si="11">C133*E133</f>
        <v>0</v>
      </c>
    </row>
    <row r="134" spans="1:6" x14ac:dyDescent="0.2">
      <c r="A134" s="2" t="s">
        <v>1397</v>
      </c>
      <c r="B134" s="5" t="s">
        <v>254</v>
      </c>
      <c r="C134" s="7">
        <v>1</v>
      </c>
      <c r="D134" s="2" t="s">
        <v>77</v>
      </c>
      <c r="E134" s="8"/>
      <c r="F134" s="16">
        <f t="shared" si="11"/>
        <v>0</v>
      </c>
    </row>
    <row r="135" spans="1:6" x14ac:dyDescent="0.2">
      <c r="A135" s="2" t="s">
        <v>1398</v>
      </c>
      <c r="B135" s="5" t="s">
        <v>256</v>
      </c>
      <c r="C135" s="7">
        <v>1</v>
      </c>
      <c r="D135" s="2" t="s">
        <v>77</v>
      </c>
      <c r="E135" s="8"/>
      <c r="F135" s="16">
        <f t="shared" si="11"/>
        <v>0</v>
      </c>
    </row>
    <row r="136" spans="1:6" x14ac:dyDescent="0.2">
      <c r="A136" s="2" t="s">
        <v>1399</v>
      </c>
      <c r="B136" s="5" t="s">
        <v>258</v>
      </c>
      <c r="C136" s="7">
        <v>1</v>
      </c>
      <c r="D136" s="2" t="s">
        <v>77</v>
      </c>
      <c r="E136" s="8"/>
      <c r="F136" s="16">
        <f t="shared" si="11"/>
        <v>0</v>
      </c>
    </row>
    <row r="137" spans="1:6" x14ac:dyDescent="0.2">
      <c r="A137" s="2" t="s">
        <v>1400</v>
      </c>
      <c r="B137" s="5" t="s">
        <v>260</v>
      </c>
      <c r="C137" s="7">
        <v>1</v>
      </c>
      <c r="D137" s="2" t="s">
        <v>77</v>
      </c>
      <c r="E137" s="8"/>
      <c r="F137" s="16">
        <f t="shared" si="11"/>
        <v>0</v>
      </c>
    </row>
    <row r="138" spans="1:6" x14ac:dyDescent="0.2">
      <c r="A138" s="2"/>
      <c r="B138" s="5" t="s">
        <v>261</v>
      </c>
      <c r="C138" s="2"/>
      <c r="D138" s="2"/>
      <c r="E138" s="2"/>
    </row>
    <row r="139" spans="1:6" x14ac:dyDescent="0.2">
      <c r="A139" s="2" t="s">
        <v>1401</v>
      </c>
      <c r="B139" s="5" t="s">
        <v>263</v>
      </c>
      <c r="C139" s="7">
        <v>2</v>
      </c>
      <c r="D139" s="2" t="s">
        <v>77</v>
      </c>
      <c r="E139" s="8"/>
      <c r="F139" s="16">
        <f t="shared" ref="F139:F152" si="12">C139*E139</f>
        <v>0</v>
      </c>
    </row>
    <row r="140" spans="1:6" x14ac:dyDescent="0.2">
      <c r="A140" s="2" t="s">
        <v>1402</v>
      </c>
      <c r="B140" s="5" t="s">
        <v>252</v>
      </c>
      <c r="C140" s="7">
        <v>1</v>
      </c>
      <c r="D140" s="2" t="s">
        <v>77</v>
      </c>
      <c r="E140" s="8"/>
      <c r="F140" s="16">
        <f t="shared" si="12"/>
        <v>0</v>
      </c>
    </row>
    <row r="141" spans="1:6" x14ac:dyDescent="0.2">
      <c r="A141" s="2" t="s">
        <v>1403</v>
      </c>
      <c r="B141" s="5" t="s">
        <v>254</v>
      </c>
      <c r="C141" s="7">
        <v>3</v>
      </c>
      <c r="D141" s="2" t="s">
        <v>77</v>
      </c>
      <c r="E141" s="8"/>
      <c r="F141" s="16">
        <f t="shared" si="12"/>
        <v>0</v>
      </c>
    </row>
    <row r="142" spans="1:6" x14ac:dyDescent="0.2">
      <c r="A142" s="2" t="s">
        <v>1404</v>
      </c>
      <c r="B142" s="5" t="s">
        <v>267</v>
      </c>
      <c r="C142" s="7">
        <v>1</v>
      </c>
      <c r="D142" s="2" t="s">
        <v>77</v>
      </c>
      <c r="E142" s="8"/>
      <c r="F142" s="16">
        <f t="shared" si="12"/>
        <v>0</v>
      </c>
    </row>
    <row r="143" spans="1:6" x14ac:dyDescent="0.2">
      <c r="A143" s="2" t="s">
        <v>1405</v>
      </c>
      <c r="B143" s="5" t="s">
        <v>269</v>
      </c>
      <c r="C143" s="7">
        <v>2</v>
      </c>
      <c r="D143" s="2" t="s">
        <v>77</v>
      </c>
      <c r="E143" s="8"/>
      <c r="F143" s="16">
        <f t="shared" si="12"/>
        <v>0</v>
      </c>
    </row>
    <row r="144" spans="1:6" x14ac:dyDescent="0.2">
      <c r="A144" s="2" t="s">
        <v>1406</v>
      </c>
      <c r="B144" s="5" t="s">
        <v>256</v>
      </c>
      <c r="C144" s="7">
        <v>3</v>
      </c>
      <c r="D144" s="2" t="s">
        <v>77</v>
      </c>
      <c r="E144" s="8"/>
      <c r="F144" s="16">
        <f t="shared" si="12"/>
        <v>0</v>
      </c>
    </row>
    <row r="145" spans="1:6" x14ac:dyDescent="0.2">
      <c r="A145" s="2" t="s">
        <v>1407</v>
      </c>
      <c r="B145" s="5" t="s">
        <v>272</v>
      </c>
      <c r="C145" s="7">
        <v>4</v>
      </c>
      <c r="D145" s="2" t="s">
        <v>77</v>
      </c>
      <c r="E145" s="8"/>
      <c r="F145" s="16">
        <f t="shared" si="12"/>
        <v>0</v>
      </c>
    </row>
    <row r="146" spans="1:6" x14ac:dyDescent="0.2">
      <c r="A146" s="2" t="s">
        <v>1408</v>
      </c>
      <c r="B146" s="5" t="s">
        <v>274</v>
      </c>
      <c r="C146" s="7">
        <v>2</v>
      </c>
      <c r="D146" s="2" t="s">
        <v>77</v>
      </c>
      <c r="E146" s="8"/>
      <c r="F146" s="16">
        <f t="shared" si="12"/>
        <v>0</v>
      </c>
    </row>
    <row r="147" spans="1:6" x14ac:dyDescent="0.2">
      <c r="A147" s="2" t="s">
        <v>1409</v>
      </c>
      <c r="B147" s="5" t="s">
        <v>276</v>
      </c>
      <c r="C147" s="7">
        <v>2</v>
      </c>
      <c r="D147" s="2" t="s">
        <v>77</v>
      </c>
      <c r="E147" s="8"/>
      <c r="F147" s="16">
        <f t="shared" si="12"/>
        <v>0</v>
      </c>
    </row>
    <row r="148" spans="1:6" ht="20" x14ac:dyDescent="0.2">
      <c r="A148" s="2" t="s">
        <v>1410</v>
      </c>
      <c r="B148" s="5" t="s">
        <v>278</v>
      </c>
      <c r="C148" s="7">
        <v>2</v>
      </c>
      <c r="D148" s="2" t="s">
        <v>77</v>
      </c>
      <c r="E148" s="8"/>
      <c r="F148" s="16">
        <f t="shared" si="12"/>
        <v>0</v>
      </c>
    </row>
    <row r="149" spans="1:6" x14ac:dyDescent="0.2">
      <c r="A149" s="2" t="s">
        <v>1411</v>
      </c>
      <c r="B149" s="5" t="s">
        <v>258</v>
      </c>
      <c r="C149" s="7">
        <v>1</v>
      </c>
      <c r="D149" s="2" t="s">
        <v>77</v>
      </c>
      <c r="E149" s="8"/>
      <c r="F149" s="16">
        <f t="shared" si="12"/>
        <v>0</v>
      </c>
    </row>
    <row r="150" spans="1:6" x14ac:dyDescent="0.2">
      <c r="A150" s="2" t="s">
        <v>1412</v>
      </c>
      <c r="B150" s="5" t="s">
        <v>260</v>
      </c>
      <c r="C150" s="7">
        <v>1</v>
      </c>
      <c r="D150" s="2" t="s">
        <v>77</v>
      </c>
      <c r="E150" s="8"/>
      <c r="F150" s="16">
        <f>C150*E150</f>
        <v>0</v>
      </c>
    </row>
    <row r="151" spans="1:6" x14ac:dyDescent="0.2">
      <c r="A151" s="2" t="s">
        <v>1413</v>
      </c>
      <c r="B151" s="5" t="s">
        <v>282</v>
      </c>
      <c r="C151" s="7">
        <v>1</v>
      </c>
      <c r="D151" s="2" t="s">
        <v>77</v>
      </c>
      <c r="E151" s="8"/>
      <c r="F151" s="16">
        <f t="shared" si="12"/>
        <v>0</v>
      </c>
    </row>
    <row r="152" spans="1:6" x14ac:dyDescent="0.2">
      <c r="A152" s="2" t="s">
        <v>1414</v>
      </c>
      <c r="B152" s="5" t="s">
        <v>284</v>
      </c>
      <c r="C152" s="7">
        <v>2</v>
      </c>
      <c r="D152" s="2" t="s">
        <v>77</v>
      </c>
      <c r="E152" s="8"/>
      <c r="F152" s="16">
        <f t="shared" si="12"/>
        <v>0</v>
      </c>
    </row>
    <row r="153" spans="1:6" x14ac:dyDescent="0.2">
      <c r="A153" s="2"/>
      <c r="B153" s="5" t="s">
        <v>285</v>
      </c>
      <c r="C153" s="2"/>
      <c r="D153" s="2"/>
      <c r="E153" s="2"/>
    </row>
    <row r="154" spans="1:6" ht="60" x14ac:dyDescent="0.2">
      <c r="A154" s="2" t="s">
        <v>1415</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1416</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60" x14ac:dyDescent="0.2">
      <c r="A163" s="2" t="s">
        <v>1417</v>
      </c>
      <c r="B163" s="5" t="s">
        <v>533</v>
      </c>
      <c r="C163" s="7">
        <v>46</v>
      </c>
      <c r="D163" s="2" t="s">
        <v>89</v>
      </c>
      <c r="E163" s="8"/>
      <c r="F163" s="16">
        <f t="shared" ref="F163:F164" si="14">C163*E163</f>
        <v>0</v>
      </c>
    </row>
    <row r="164" spans="1:6" ht="50" x14ac:dyDescent="0.2">
      <c r="A164" s="2" t="s">
        <v>1418</v>
      </c>
      <c r="B164" s="5" t="s">
        <v>297</v>
      </c>
      <c r="C164" s="7">
        <v>4</v>
      </c>
      <c r="D164" s="2" t="s">
        <v>86</v>
      </c>
      <c r="E164" s="8"/>
      <c r="F164" s="16">
        <f t="shared" si="14"/>
        <v>0</v>
      </c>
    </row>
    <row r="165" spans="1:6" x14ac:dyDescent="0.2">
      <c r="A165" s="2"/>
      <c r="B165" s="5" t="s">
        <v>298</v>
      </c>
      <c r="C165" s="2"/>
      <c r="D165" s="2"/>
      <c r="E165" s="2"/>
    </row>
    <row r="166" spans="1:6" ht="30" x14ac:dyDescent="0.2">
      <c r="A166" s="2" t="s">
        <v>1419</v>
      </c>
      <c r="B166" s="5" t="s">
        <v>300</v>
      </c>
      <c r="C166" s="7">
        <v>2</v>
      </c>
      <c r="D166" s="2" t="s">
        <v>89</v>
      </c>
      <c r="E166" s="8"/>
      <c r="F166" s="16">
        <f>C166*E166</f>
        <v>0</v>
      </c>
    </row>
    <row r="167" spans="1:6" ht="13" x14ac:dyDescent="0.3">
      <c r="B167" s="20" t="s">
        <v>301</v>
      </c>
      <c r="C167" s="9"/>
      <c r="D167" s="3"/>
      <c r="E167" s="9"/>
      <c r="F167" s="18">
        <f>SUM(F163:F166)</f>
        <v>0</v>
      </c>
    </row>
    <row r="169" spans="1:6" ht="10.5" x14ac:dyDescent="0.25">
      <c r="A169" s="6" t="s">
        <v>1420</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1421</v>
      </c>
      <c r="B178" s="5" t="s">
        <v>312</v>
      </c>
      <c r="C178" s="7">
        <v>194</v>
      </c>
      <c r="D178" s="2" t="s">
        <v>89</v>
      </c>
      <c r="E178" s="7"/>
      <c r="F178" s="16">
        <f>C178*E178</f>
        <v>0</v>
      </c>
    </row>
    <row r="179" spans="1:6" ht="13" x14ac:dyDescent="0.3">
      <c r="B179" s="20" t="s">
        <v>313</v>
      </c>
      <c r="C179" s="9"/>
      <c r="D179" s="3"/>
      <c r="E179" s="9"/>
      <c r="F179" s="18">
        <f>SUM(F178)</f>
        <v>0</v>
      </c>
    </row>
    <row r="181" spans="1:6" ht="10.5" x14ac:dyDescent="0.25">
      <c r="A181" s="6" t="s">
        <v>1422</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1423</v>
      </c>
      <c r="B191" s="5" t="s">
        <v>325</v>
      </c>
      <c r="C191" s="7">
        <v>194</v>
      </c>
      <c r="D191" s="2" t="s">
        <v>89</v>
      </c>
      <c r="E191" s="7"/>
      <c r="F191" s="16">
        <f>C191*E191</f>
        <v>0</v>
      </c>
    </row>
    <row r="192" spans="1:6" ht="13" x14ac:dyDescent="0.3">
      <c r="B192" s="20" t="s">
        <v>326</v>
      </c>
      <c r="C192" s="9"/>
      <c r="D192" s="3"/>
      <c r="E192" s="9"/>
      <c r="F192" s="18">
        <f>SUM(F191)</f>
        <v>0</v>
      </c>
    </row>
    <row r="194" spans="1:6" ht="10.5" x14ac:dyDescent="0.25">
      <c r="A194" s="6" t="s">
        <v>1424</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1425</v>
      </c>
      <c r="B207" s="5" t="s">
        <v>341</v>
      </c>
      <c r="C207" s="7">
        <v>194</v>
      </c>
      <c r="D207" s="2" t="s">
        <v>89</v>
      </c>
      <c r="E207" s="7"/>
      <c r="F207" s="16">
        <f>C207*E207</f>
        <v>0</v>
      </c>
    </row>
    <row r="208" spans="1:6" ht="21.5" x14ac:dyDescent="0.3">
      <c r="B208" s="20" t="s">
        <v>342</v>
      </c>
      <c r="C208" s="9"/>
      <c r="D208" s="3"/>
      <c r="E208" s="9"/>
      <c r="F208" s="18">
        <f>SUM(F207)</f>
        <v>0</v>
      </c>
    </row>
    <row r="209" spans="2:6" ht="13" x14ac:dyDescent="0.3">
      <c r="B209" s="20" t="s">
        <v>1426</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386E-D702-47AD-93F0-62119AFD073C}">
  <sheetPr codeName="Sheet14">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1819</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1427</v>
      </c>
      <c r="B6" s="20" t="s">
        <v>1428</v>
      </c>
    </row>
    <row r="7" spans="1:6" x14ac:dyDescent="0.2">
      <c r="A7" s="2"/>
      <c r="B7" s="5"/>
      <c r="C7" s="2"/>
      <c r="D7" s="2"/>
      <c r="E7" s="2"/>
    </row>
    <row r="8" spans="1:6" x14ac:dyDescent="0.2">
      <c r="A8" s="2"/>
      <c r="B8" s="5" t="s">
        <v>443</v>
      </c>
      <c r="C8" s="2"/>
      <c r="D8" s="2"/>
      <c r="E8" s="2"/>
    </row>
    <row r="10" spans="1:6" ht="10.5" x14ac:dyDescent="0.25">
      <c r="A10" s="6" t="s">
        <v>1429</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1430</v>
      </c>
      <c r="B15" s="5" t="s">
        <v>76</v>
      </c>
      <c r="C15" s="7">
        <v>14</v>
      </c>
      <c r="D15" s="2" t="s">
        <v>77</v>
      </c>
      <c r="E15" s="8"/>
      <c r="F15" s="16">
        <f>C15*E15</f>
        <v>0</v>
      </c>
    </row>
    <row r="16" spans="1:6" x14ac:dyDescent="0.2">
      <c r="A16" s="2" t="s">
        <v>1431</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1432</v>
      </c>
      <c r="B18" s="5" t="s">
        <v>83</v>
      </c>
      <c r="C18" s="7">
        <v>1</v>
      </c>
      <c r="D18" s="2" t="s">
        <v>80</v>
      </c>
      <c r="E18" s="8"/>
      <c r="F18" s="16">
        <f t="shared" si="0"/>
        <v>0</v>
      </c>
    </row>
    <row r="19" spans="1:6" x14ac:dyDescent="0.2">
      <c r="A19" s="2"/>
      <c r="B19" s="5" t="s">
        <v>69</v>
      </c>
      <c r="C19" s="2"/>
      <c r="D19" s="2"/>
      <c r="E19" s="2"/>
      <c r="F19" s="16"/>
    </row>
    <row r="20" spans="1:6" ht="20" x14ac:dyDescent="0.2">
      <c r="A20" s="2" t="s">
        <v>1433</v>
      </c>
      <c r="B20" s="5" t="s">
        <v>85</v>
      </c>
      <c r="C20" s="7">
        <v>10</v>
      </c>
      <c r="D20" s="2" t="s">
        <v>86</v>
      </c>
      <c r="E20" s="8"/>
      <c r="F20" s="16">
        <f t="shared" si="0"/>
        <v>0</v>
      </c>
    </row>
    <row r="21" spans="1:6" x14ac:dyDescent="0.2">
      <c r="A21" s="2" t="s">
        <v>1434</v>
      </c>
      <c r="B21" s="5" t="s">
        <v>88</v>
      </c>
      <c r="C21" s="7">
        <v>6</v>
      </c>
      <c r="D21" s="2" t="s">
        <v>89</v>
      </c>
      <c r="E21" s="8"/>
      <c r="F21" s="16">
        <f t="shared" si="0"/>
        <v>0</v>
      </c>
    </row>
    <row r="22" spans="1:6" ht="30" x14ac:dyDescent="0.2">
      <c r="A22" s="2" t="s">
        <v>1435</v>
      </c>
      <c r="B22" s="5" t="s">
        <v>91</v>
      </c>
      <c r="C22" s="7">
        <v>33</v>
      </c>
      <c r="D22" s="2" t="s">
        <v>89</v>
      </c>
      <c r="E22" s="8"/>
      <c r="F22" s="16">
        <f t="shared" si="0"/>
        <v>0</v>
      </c>
    </row>
    <row r="23" spans="1:6" x14ac:dyDescent="0.2">
      <c r="A23" s="2" t="s">
        <v>1436</v>
      </c>
      <c r="B23" s="5" t="s">
        <v>93</v>
      </c>
      <c r="C23" s="7">
        <v>10</v>
      </c>
      <c r="D23" s="2" t="s">
        <v>86</v>
      </c>
      <c r="E23" s="8"/>
      <c r="F23" s="16">
        <f t="shared" si="0"/>
        <v>0</v>
      </c>
    </row>
    <row r="24" spans="1:6" x14ac:dyDescent="0.2">
      <c r="A24" s="2" t="s">
        <v>1437</v>
      </c>
      <c r="B24" s="5" t="s">
        <v>95</v>
      </c>
      <c r="C24" s="7">
        <v>12</v>
      </c>
      <c r="D24" s="2" t="s">
        <v>77</v>
      </c>
      <c r="E24" s="8"/>
      <c r="F24" s="16">
        <f t="shared" si="0"/>
        <v>0</v>
      </c>
    </row>
    <row r="25" spans="1:6" ht="20" x14ac:dyDescent="0.2">
      <c r="A25" s="2" t="s">
        <v>1438</v>
      </c>
      <c r="B25" s="5" t="s">
        <v>97</v>
      </c>
      <c r="C25" s="7">
        <v>12</v>
      </c>
      <c r="D25" s="2" t="s">
        <v>86</v>
      </c>
      <c r="E25" s="8"/>
      <c r="F25" s="16">
        <f t="shared" si="0"/>
        <v>0</v>
      </c>
    </row>
    <row r="26" spans="1:6" x14ac:dyDescent="0.2">
      <c r="A26" s="2" t="s">
        <v>1439</v>
      </c>
      <c r="B26" s="5" t="s">
        <v>99</v>
      </c>
      <c r="C26" s="7">
        <v>136</v>
      </c>
      <c r="D26" s="2" t="s">
        <v>89</v>
      </c>
      <c r="E26" s="8"/>
      <c r="F26" s="16">
        <f t="shared" si="0"/>
        <v>0</v>
      </c>
    </row>
    <row r="27" spans="1:6" x14ac:dyDescent="0.2">
      <c r="A27" s="2" t="s">
        <v>1440</v>
      </c>
      <c r="B27" s="5" t="s">
        <v>101</v>
      </c>
      <c r="C27" s="7">
        <v>2</v>
      </c>
      <c r="D27" s="2" t="s">
        <v>77</v>
      </c>
      <c r="E27" s="8"/>
      <c r="F27" s="16">
        <f t="shared" si="0"/>
        <v>0</v>
      </c>
    </row>
    <row r="28" spans="1:6" x14ac:dyDescent="0.2">
      <c r="A28" s="2" t="s">
        <v>1441</v>
      </c>
      <c r="B28" s="5" t="s">
        <v>103</v>
      </c>
      <c r="C28" s="7">
        <v>1</v>
      </c>
      <c r="D28" s="2" t="s">
        <v>104</v>
      </c>
      <c r="E28" s="8"/>
      <c r="F28" s="16">
        <f t="shared" si="0"/>
        <v>0</v>
      </c>
    </row>
    <row r="29" spans="1:6" x14ac:dyDescent="0.2">
      <c r="A29" s="2" t="s">
        <v>1442</v>
      </c>
      <c r="B29" s="5" t="s">
        <v>106</v>
      </c>
      <c r="C29" s="7">
        <v>1</v>
      </c>
      <c r="D29" s="2" t="s">
        <v>77</v>
      </c>
      <c r="E29" s="8"/>
      <c r="F29" s="16">
        <f t="shared" si="0"/>
        <v>0</v>
      </c>
    </row>
    <row r="30" spans="1:6" x14ac:dyDescent="0.2">
      <c r="A30" s="2" t="s">
        <v>1443</v>
      </c>
      <c r="B30" s="5" t="s">
        <v>108</v>
      </c>
      <c r="C30" s="7">
        <v>69</v>
      </c>
      <c r="D30" s="2" t="s">
        <v>89</v>
      </c>
      <c r="E30" s="8"/>
      <c r="F30" s="16">
        <f t="shared" si="0"/>
        <v>0</v>
      </c>
    </row>
    <row r="31" spans="1:6" ht="20" x14ac:dyDescent="0.2">
      <c r="A31" s="2" t="s">
        <v>1444</v>
      </c>
      <c r="B31" s="5" t="s">
        <v>110</v>
      </c>
      <c r="C31" s="7">
        <v>1</v>
      </c>
      <c r="D31" s="2" t="s">
        <v>77</v>
      </c>
      <c r="E31" s="8"/>
      <c r="F31" s="16">
        <f t="shared" si="0"/>
        <v>0</v>
      </c>
    </row>
    <row r="32" spans="1:6" ht="20" x14ac:dyDescent="0.2">
      <c r="A32" s="2" t="s">
        <v>1445</v>
      </c>
      <c r="B32" s="5" t="s">
        <v>112</v>
      </c>
      <c r="C32" s="7">
        <v>26</v>
      </c>
      <c r="D32" s="2" t="s">
        <v>86</v>
      </c>
      <c r="E32" s="8"/>
      <c r="F32" s="16">
        <f t="shared" si="0"/>
        <v>0</v>
      </c>
    </row>
    <row r="33" spans="1:6" ht="40" x14ac:dyDescent="0.2">
      <c r="A33" s="2" t="s">
        <v>1446</v>
      </c>
      <c r="B33" s="5" t="s">
        <v>114</v>
      </c>
      <c r="C33" s="7">
        <v>44</v>
      </c>
      <c r="D33" s="2" t="s">
        <v>89</v>
      </c>
      <c r="E33" s="8"/>
      <c r="F33" s="16">
        <f t="shared" si="0"/>
        <v>0</v>
      </c>
    </row>
    <row r="34" spans="1:6" x14ac:dyDescent="0.2">
      <c r="A34" s="2"/>
      <c r="B34" s="5" t="s">
        <v>115</v>
      </c>
      <c r="C34" s="2"/>
      <c r="D34" s="2"/>
      <c r="E34" s="2"/>
      <c r="F34" s="16"/>
    </row>
    <row r="35" spans="1:6" ht="30" x14ac:dyDescent="0.2">
      <c r="A35" s="2" t="s">
        <v>1447</v>
      </c>
      <c r="B35" s="5" t="s">
        <v>117</v>
      </c>
      <c r="C35" s="7">
        <v>1</v>
      </c>
      <c r="D35" s="2" t="s">
        <v>80</v>
      </c>
      <c r="E35" s="8"/>
      <c r="F35" s="16">
        <f t="shared" si="0"/>
        <v>0</v>
      </c>
    </row>
    <row r="36" spans="1:6" x14ac:dyDescent="0.2">
      <c r="A36" s="2" t="s">
        <v>1448</v>
      </c>
      <c r="B36" s="5" t="s">
        <v>119</v>
      </c>
      <c r="C36" s="7">
        <v>1</v>
      </c>
      <c r="D36" s="2" t="s">
        <v>104</v>
      </c>
      <c r="E36" s="8"/>
      <c r="F36" s="16">
        <f t="shared" si="0"/>
        <v>0</v>
      </c>
    </row>
    <row r="37" spans="1:6" ht="20" x14ac:dyDescent="0.2">
      <c r="A37" s="2" t="s">
        <v>1449</v>
      </c>
      <c r="B37" s="5" t="s">
        <v>121</v>
      </c>
      <c r="C37" s="7">
        <v>1</v>
      </c>
      <c r="D37" s="2" t="s">
        <v>104</v>
      </c>
      <c r="E37" s="8"/>
      <c r="F37" s="16">
        <f t="shared" si="0"/>
        <v>0</v>
      </c>
    </row>
    <row r="38" spans="1:6" x14ac:dyDescent="0.2">
      <c r="A38" s="2" t="s">
        <v>1450</v>
      </c>
      <c r="B38" s="5" t="s">
        <v>123</v>
      </c>
      <c r="C38" s="7">
        <v>1</v>
      </c>
      <c r="D38" s="2" t="s">
        <v>104</v>
      </c>
      <c r="E38" s="8"/>
      <c r="F38" s="16">
        <f t="shared" si="0"/>
        <v>0</v>
      </c>
    </row>
    <row r="39" spans="1:6" ht="13" x14ac:dyDescent="0.3">
      <c r="B39" s="20" t="s">
        <v>124</v>
      </c>
      <c r="C39" s="9">
        <v>194</v>
      </c>
      <c r="D39" s="3" t="s">
        <v>89</v>
      </c>
      <c r="E39" s="9"/>
      <c r="F39" s="18">
        <f>SUM(F15:F38)</f>
        <v>0</v>
      </c>
    </row>
    <row r="41" spans="1:6" ht="10.5" x14ac:dyDescent="0.25">
      <c r="A41" s="6" t="s">
        <v>1451</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1452</v>
      </c>
      <c r="B51" s="5" t="s">
        <v>137</v>
      </c>
      <c r="C51" s="7">
        <v>366</v>
      </c>
      <c r="D51" s="2" t="s">
        <v>89</v>
      </c>
      <c r="E51" s="8"/>
      <c r="F51" s="16">
        <f t="shared" ref="F51:F58" si="1">C51*E51</f>
        <v>0</v>
      </c>
    </row>
    <row r="52" spans="1:6" x14ac:dyDescent="0.2">
      <c r="A52" s="2"/>
      <c r="B52" s="5" t="s">
        <v>138</v>
      </c>
      <c r="C52" s="2"/>
      <c r="D52" s="2"/>
      <c r="E52" s="2"/>
      <c r="F52" s="16"/>
    </row>
    <row r="53" spans="1:6" ht="30" x14ac:dyDescent="0.2">
      <c r="A53" s="2" t="s">
        <v>1453</v>
      </c>
      <c r="B53" s="5" t="s">
        <v>140</v>
      </c>
      <c r="C53" s="7">
        <v>63</v>
      </c>
      <c r="D53" s="2" t="s">
        <v>89</v>
      </c>
      <c r="E53" s="8"/>
      <c r="F53" s="16">
        <f t="shared" si="1"/>
        <v>0</v>
      </c>
    </row>
    <row r="54" spans="1:6" ht="40" x14ac:dyDescent="0.2">
      <c r="A54" s="2" t="s">
        <v>1454</v>
      </c>
      <c r="B54" s="5" t="s">
        <v>964</v>
      </c>
      <c r="C54" s="7">
        <v>6</v>
      </c>
      <c r="D54" s="2" t="s">
        <v>89</v>
      </c>
      <c r="E54" s="8"/>
      <c r="F54" s="16">
        <f t="shared" si="1"/>
        <v>0</v>
      </c>
    </row>
    <row r="55" spans="1:6" ht="30" x14ac:dyDescent="0.2">
      <c r="A55" s="2" t="s">
        <v>1455</v>
      </c>
      <c r="B55" s="5" t="s">
        <v>142</v>
      </c>
      <c r="C55" s="7">
        <v>4</v>
      </c>
      <c r="D55" s="2" t="s">
        <v>89</v>
      </c>
      <c r="E55" s="8"/>
      <c r="F55" s="16">
        <f t="shared" si="1"/>
        <v>0</v>
      </c>
    </row>
    <row r="56" spans="1:6" ht="20" x14ac:dyDescent="0.2">
      <c r="A56" s="2" t="s">
        <v>1456</v>
      </c>
      <c r="B56" s="5" t="s">
        <v>144</v>
      </c>
      <c r="C56" s="7">
        <v>91</v>
      </c>
      <c r="D56" s="2" t="s">
        <v>89</v>
      </c>
      <c r="E56" s="8"/>
      <c r="F56" s="16">
        <f t="shared" si="1"/>
        <v>0</v>
      </c>
    </row>
    <row r="57" spans="1:6" x14ac:dyDescent="0.2">
      <c r="A57" s="2"/>
      <c r="B57" s="5" t="s">
        <v>145</v>
      </c>
      <c r="C57" s="2"/>
      <c r="D57" s="2"/>
      <c r="E57" s="2"/>
      <c r="F57" s="16"/>
    </row>
    <row r="58" spans="1:6" ht="30" x14ac:dyDescent="0.2">
      <c r="A58" s="2" t="s">
        <v>1457</v>
      </c>
      <c r="B58" s="5" t="s">
        <v>147</v>
      </c>
      <c r="C58" s="7">
        <v>127</v>
      </c>
      <c r="D58" s="2" t="s">
        <v>86</v>
      </c>
      <c r="E58" s="8"/>
      <c r="F58" s="16">
        <f t="shared" si="1"/>
        <v>0</v>
      </c>
    </row>
    <row r="59" spans="1:6" x14ac:dyDescent="0.2">
      <c r="A59" s="2"/>
      <c r="B59" s="5" t="s">
        <v>148</v>
      </c>
      <c r="C59" s="2"/>
      <c r="D59" s="2"/>
      <c r="E59" s="2"/>
      <c r="F59" s="16"/>
    </row>
    <row r="60" spans="1:6" ht="30" x14ac:dyDescent="0.2">
      <c r="A60" s="2" t="s">
        <v>1458</v>
      </c>
      <c r="B60" s="5" t="s">
        <v>150</v>
      </c>
      <c r="C60" s="7">
        <v>13</v>
      </c>
      <c r="D60" s="2" t="s">
        <v>77</v>
      </c>
      <c r="E60" s="8"/>
      <c r="F60" s="16">
        <f t="shared" ref="F60" si="2">C60*E60</f>
        <v>0</v>
      </c>
    </row>
    <row r="61" spans="1:6" ht="13" x14ac:dyDescent="0.3">
      <c r="B61" s="20" t="s">
        <v>151</v>
      </c>
      <c r="C61" s="9">
        <v>194</v>
      </c>
      <c r="D61" s="3" t="s">
        <v>89</v>
      </c>
      <c r="E61" s="9"/>
      <c r="F61" s="18">
        <f>SUM(F51:F60)</f>
        <v>0</v>
      </c>
    </row>
    <row r="63" spans="1:6" ht="10.5" x14ac:dyDescent="0.25">
      <c r="A63" s="6" t="s">
        <v>1459</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1460</v>
      </c>
      <c r="B69" s="5" t="s">
        <v>158</v>
      </c>
      <c r="C69" s="7">
        <v>115</v>
      </c>
      <c r="D69" s="2" t="s">
        <v>89</v>
      </c>
      <c r="E69" s="8"/>
      <c r="F69" s="16">
        <f t="shared" ref="F69:F73" si="3">C69*E69</f>
        <v>0</v>
      </c>
    </row>
    <row r="70" spans="1:6" ht="40" x14ac:dyDescent="0.2">
      <c r="A70" s="2" t="s">
        <v>1461</v>
      </c>
      <c r="B70" s="5" t="s">
        <v>160</v>
      </c>
      <c r="C70" s="7">
        <v>18</v>
      </c>
      <c r="D70" s="2" t="s">
        <v>89</v>
      </c>
      <c r="E70" s="8"/>
      <c r="F70" s="16">
        <f t="shared" si="3"/>
        <v>0</v>
      </c>
    </row>
    <row r="71" spans="1:6" x14ac:dyDescent="0.2">
      <c r="A71" s="2"/>
      <c r="B71" s="5" t="s">
        <v>161</v>
      </c>
      <c r="C71" s="2"/>
      <c r="D71" s="2"/>
      <c r="E71" s="2"/>
      <c r="F71" s="16"/>
    </row>
    <row r="72" spans="1:6" x14ac:dyDescent="0.2">
      <c r="A72" s="2" t="s">
        <v>1462</v>
      </c>
      <c r="B72" s="5" t="s">
        <v>163</v>
      </c>
      <c r="C72" s="7">
        <v>17.77</v>
      </c>
      <c r="D72" s="2" t="s">
        <v>86</v>
      </c>
      <c r="E72" s="8"/>
      <c r="F72" s="16">
        <f t="shared" si="3"/>
        <v>0</v>
      </c>
    </row>
    <row r="73" spans="1:6" ht="20" x14ac:dyDescent="0.2">
      <c r="A73" s="2" t="s">
        <v>1463</v>
      </c>
      <c r="B73" s="5" t="s">
        <v>165</v>
      </c>
      <c r="C73" s="7">
        <v>10</v>
      </c>
      <c r="D73" s="2" t="s">
        <v>89</v>
      </c>
      <c r="E73" s="8"/>
      <c r="F73" s="16">
        <f t="shared" si="3"/>
        <v>0</v>
      </c>
    </row>
    <row r="74" spans="1:6" ht="13" x14ac:dyDescent="0.3">
      <c r="B74" s="20" t="s">
        <v>166</v>
      </c>
      <c r="C74" s="9">
        <v>194</v>
      </c>
      <c r="D74" s="3" t="s">
        <v>89</v>
      </c>
      <c r="E74" s="9"/>
      <c r="F74" s="18">
        <f>SUM(F69:F73)</f>
        <v>0</v>
      </c>
    </row>
    <row r="76" spans="1:6" ht="10.5" x14ac:dyDescent="0.25">
      <c r="A76" s="6" t="s">
        <v>1464</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1465</v>
      </c>
      <c r="B80" s="5" t="s">
        <v>172</v>
      </c>
      <c r="C80" s="7">
        <v>157</v>
      </c>
      <c r="D80" s="2" t="s">
        <v>89</v>
      </c>
      <c r="E80" s="8"/>
      <c r="F80" s="16">
        <f t="shared" ref="F80" si="4">C80*E80</f>
        <v>0</v>
      </c>
    </row>
    <row r="81" spans="1:6" ht="13" x14ac:dyDescent="0.3">
      <c r="B81" s="20" t="s">
        <v>173</v>
      </c>
      <c r="C81" s="9">
        <v>194</v>
      </c>
      <c r="D81" s="3" t="s">
        <v>89</v>
      </c>
      <c r="E81" s="9"/>
      <c r="F81" s="18">
        <f>SUM(F80)</f>
        <v>0</v>
      </c>
    </row>
    <row r="83" spans="1:6" ht="10.5" x14ac:dyDescent="0.25">
      <c r="A83" s="6" t="s">
        <v>1466</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1467</v>
      </c>
      <c r="B88" s="5" t="s">
        <v>179</v>
      </c>
      <c r="C88" s="7">
        <v>1</v>
      </c>
      <c r="D88" s="2" t="s">
        <v>77</v>
      </c>
      <c r="E88" s="8"/>
      <c r="F88" s="16">
        <f>C88*E88</f>
        <v>0</v>
      </c>
    </row>
    <row r="89" spans="1:6" ht="20" x14ac:dyDescent="0.2">
      <c r="A89" s="2" t="s">
        <v>1468</v>
      </c>
      <c r="B89" s="5" t="s">
        <v>181</v>
      </c>
      <c r="C89" s="7">
        <v>12</v>
      </c>
      <c r="D89" s="2" t="s">
        <v>77</v>
      </c>
      <c r="E89" s="8"/>
      <c r="F89" s="16">
        <f>C89*E89</f>
        <v>0</v>
      </c>
    </row>
    <row r="90" spans="1:6" ht="30" x14ac:dyDescent="0.2">
      <c r="A90" s="2" t="s">
        <v>1469</v>
      </c>
      <c r="B90" s="5" t="s">
        <v>183</v>
      </c>
      <c r="C90" s="7">
        <v>2</v>
      </c>
      <c r="D90" s="2" t="s">
        <v>77</v>
      </c>
      <c r="E90" s="8"/>
      <c r="F90" s="16">
        <f t="shared" ref="F90" si="5">C90*E90</f>
        <v>0</v>
      </c>
    </row>
    <row r="91" spans="1:6" ht="13" x14ac:dyDescent="0.3">
      <c r="B91" s="20" t="s">
        <v>184</v>
      </c>
      <c r="C91" s="9"/>
      <c r="D91" s="3"/>
      <c r="E91" s="9"/>
      <c r="F91" s="18">
        <f>SUM(F86:F90)</f>
        <v>0</v>
      </c>
    </row>
    <row r="93" spans="1:6" ht="10.5" x14ac:dyDescent="0.25">
      <c r="A93" s="6" t="s">
        <v>1470</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1471</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1472</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1473</v>
      </c>
      <c r="B105" s="5" t="s">
        <v>200</v>
      </c>
      <c r="C105" s="7">
        <v>3.14</v>
      </c>
      <c r="D105" s="2" t="s">
        <v>86</v>
      </c>
      <c r="E105" s="8"/>
      <c r="F105" s="16">
        <f t="shared" si="6"/>
        <v>0</v>
      </c>
    </row>
    <row r="106" spans="1:6" ht="40" x14ac:dyDescent="0.2">
      <c r="A106" s="2" t="s">
        <v>1474</v>
      </c>
      <c r="B106" s="5" t="s">
        <v>202</v>
      </c>
      <c r="C106" s="7">
        <v>2.0299999999999998</v>
      </c>
      <c r="D106" s="2" t="s">
        <v>86</v>
      </c>
      <c r="E106" s="8"/>
      <c r="F106" s="16">
        <f t="shared" si="6"/>
        <v>0</v>
      </c>
    </row>
    <row r="107" spans="1:6" x14ac:dyDescent="0.2">
      <c r="A107" s="2"/>
      <c r="B107" s="5" t="s">
        <v>203</v>
      </c>
      <c r="C107" s="2"/>
      <c r="D107" s="2"/>
      <c r="E107" s="2"/>
      <c r="F107" s="16"/>
    </row>
    <row r="108" spans="1:6" ht="30" x14ac:dyDescent="0.2">
      <c r="A108" s="2" t="s">
        <v>1475</v>
      </c>
      <c r="B108" s="5" t="s">
        <v>205</v>
      </c>
      <c r="C108" s="7">
        <v>2.77</v>
      </c>
      <c r="D108" s="2" t="s">
        <v>86</v>
      </c>
      <c r="E108" s="8"/>
      <c r="F108" s="16">
        <f t="shared" si="6"/>
        <v>0</v>
      </c>
    </row>
    <row r="109" spans="1:6" x14ac:dyDescent="0.2">
      <c r="A109" s="2"/>
      <c r="B109" s="5" t="s">
        <v>206</v>
      </c>
      <c r="C109" s="2"/>
      <c r="D109" s="2"/>
      <c r="E109" s="2"/>
      <c r="F109" s="16"/>
    </row>
    <row r="110" spans="1:6" ht="30" x14ac:dyDescent="0.2">
      <c r="A110" s="2" t="s">
        <v>1476</v>
      </c>
      <c r="B110" s="5" t="s">
        <v>1093</v>
      </c>
      <c r="C110" s="7">
        <v>2.95</v>
      </c>
      <c r="D110" s="2" t="s">
        <v>86</v>
      </c>
      <c r="E110" s="8"/>
      <c r="F110" s="16">
        <f t="shared" si="6"/>
        <v>0</v>
      </c>
    </row>
    <row r="111" spans="1:6" x14ac:dyDescent="0.2">
      <c r="A111" s="2"/>
      <c r="B111" s="5" t="s">
        <v>209</v>
      </c>
      <c r="C111" s="2"/>
      <c r="D111" s="2"/>
      <c r="E111" s="2"/>
      <c r="F111" s="16"/>
    </row>
    <row r="112" spans="1:6" ht="20" x14ac:dyDescent="0.2">
      <c r="A112" s="2" t="s">
        <v>1477</v>
      </c>
      <c r="B112" s="5" t="s">
        <v>987</v>
      </c>
      <c r="C112" s="7">
        <v>1</v>
      </c>
      <c r="D112" s="2" t="s">
        <v>77</v>
      </c>
      <c r="E112" s="8"/>
      <c r="F112" s="16">
        <f t="shared" si="6"/>
        <v>0</v>
      </c>
    </row>
    <row r="113" spans="1:6" ht="20" x14ac:dyDescent="0.2">
      <c r="A113" s="2" t="s">
        <v>1478</v>
      </c>
      <c r="B113" s="5" t="s">
        <v>211</v>
      </c>
      <c r="C113" s="7">
        <v>1</v>
      </c>
      <c r="D113" s="2" t="s">
        <v>77</v>
      </c>
      <c r="E113" s="8"/>
      <c r="F113" s="16">
        <f t="shared" si="6"/>
        <v>0</v>
      </c>
    </row>
    <row r="114" spans="1:6" ht="20" x14ac:dyDescent="0.2">
      <c r="A114" s="2" t="s">
        <v>1479</v>
      </c>
      <c r="B114" s="5" t="s">
        <v>213</v>
      </c>
      <c r="C114" s="7">
        <v>2</v>
      </c>
      <c r="D114" s="2" t="s">
        <v>77</v>
      </c>
      <c r="E114" s="8"/>
      <c r="F114" s="16">
        <f t="shared" si="6"/>
        <v>0</v>
      </c>
    </row>
    <row r="115" spans="1:6" x14ac:dyDescent="0.2">
      <c r="A115" s="2"/>
      <c r="B115" s="5" t="s">
        <v>214</v>
      </c>
      <c r="C115" s="2"/>
      <c r="D115" s="2"/>
      <c r="E115" s="2"/>
    </row>
    <row r="116" spans="1:6" x14ac:dyDescent="0.2">
      <c r="A116" s="2" t="s">
        <v>1480</v>
      </c>
      <c r="B116" s="5" t="s">
        <v>216</v>
      </c>
      <c r="C116" s="7">
        <v>1</v>
      </c>
      <c r="D116" s="2" t="s">
        <v>77</v>
      </c>
      <c r="E116" s="8"/>
      <c r="F116" s="16">
        <f>C116*E116</f>
        <v>0</v>
      </c>
    </row>
    <row r="117" spans="1:6" x14ac:dyDescent="0.2">
      <c r="A117" s="2" t="s">
        <v>1481</v>
      </c>
      <c r="B117" s="5" t="s">
        <v>992</v>
      </c>
      <c r="C117" s="7">
        <v>1</v>
      </c>
      <c r="D117" s="2" t="s">
        <v>77</v>
      </c>
      <c r="E117" s="8"/>
      <c r="F117" s="16">
        <f>C117*E117</f>
        <v>0</v>
      </c>
    </row>
    <row r="118" spans="1:6" x14ac:dyDescent="0.2">
      <c r="A118" s="2" t="s">
        <v>1482</v>
      </c>
      <c r="B118" s="5" t="s">
        <v>218</v>
      </c>
      <c r="C118" s="7">
        <v>2</v>
      </c>
      <c r="D118" s="2" t="s">
        <v>77</v>
      </c>
      <c r="E118" s="8"/>
      <c r="F118" s="16">
        <f t="shared" ref="F118" si="7">C118*E118</f>
        <v>0</v>
      </c>
    </row>
    <row r="119" spans="1:6" ht="13" x14ac:dyDescent="0.3">
      <c r="B119" s="20" t="s">
        <v>219</v>
      </c>
      <c r="C119" s="9"/>
      <c r="D119" s="3"/>
      <c r="E119" s="9"/>
      <c r="F119" s="18">
        <f>SUM(F114:F118)</f>
        <v>0</v>
      </c>
    </row>
    <row r="121" spans="1:6" ht="10.5" x14ac:dyDescent="0.25">
      <c r="A121" s="6" t="s">
        <v>1483</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1484</v>
      </c>
      <c r="B124" s="5" t="s">
        <v>224</v>
      </c>
      <c r="C124" s="7">
        <v>1</v>
      </c>
      <c r="D124" s="2" t="s">
        <v>77</v>
      </c>
      <c r="E124" s="8"/>
      <c r="F124" s="16">
        <f t="shared" ref="F124:F126" si="8">C124*E124</f>
        <v>0</v>
      </c>
    </row>
    <row r="125" spans="1:6" x14ac:dyDescent="0.2">
      <c r="A125" s="2" t="s">
        <v>1485</v>
      </c>
      <c r="B125" s="5" t="s">
        <v>226</v>
      </c>
      <c r="C125" s="2"/>
      <c r="D125" s="2"/>
      <c r="E125" s="2"/>
      <c r="F125" s="2" t="s">
        <v>227</v>
      </c>
    </row>
    <row r="126" spans="1:6" x14ac:dyDescent="0.2">
      <c r="A126" s="2" t="s">
        <v>1486</v>
      </c>
      <c r="B126" s="5" t="s">
        <v>229</v>
      </c>
      <c r="C126" s="7">
        <v>1</v>
      </c>
      <c r="D126" s="2" t="s">
        <v>77</v>
      </c>
      <c r="E126" s="8"/>
      <c r="F126" s="16">
        <f t="shared" si="8"/>
        <v>0</v>
      </c>
    </row>
    <row r="127" spans="1:6" x14ac:dyDescent="0.2">
      <c r="A127" s="2" t="s">
        <v>1487</v>
      </c>
      <c r="B127" s="5" t="s">
        <v>1105</v>
      </c>
      <c r="C127" s="2"/>
      <c r="D127" s="2"/>
      <c r="E127" s="2"/>
      <c r="F127" s="2" t="s">
        <v>227</v>
      </c>
    </row>
    <row r="128" spans="1:6" x14ac:dyDescent="0.2">
      <c r="A128" s="2" t="s">
        <v>1488</v>
      </c>
      <c r="B128" s="5" t="s">
        <v>1107</v>
      </c>
      <c r="C128" s="2"/>
      <c r="D128" s="2"/>
      <c r="E128" s="2"/>
      <c r="F128" s="2" t="s">
        <v>227</v>
      </c>
    </row>
    <row r="129" spans="1:6" x14ac:dyDescent="0.2">
      <c r="A129" s="2" t="s">
        <v>1489</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1490</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1491</v>
      </c>
      <c r="B133" s="5" t="s">
        <v>252</v>
      </c>
      <c r="C133" s="7">
        <v>1</v>
      </c>
      <c r="D133" s="2" t="s">
        <v>77</v>
      </c>
      <c r="E133" s="8"/>
      <c r="F133" s="16">
        <f t="shared" ref="F133:F137" si="11">C133*E133</f>
        <v>0</v>
      </c>
    </row>
    <row r="134" spans="1:6" x14ac:dyDescent="0.2">
      <c r="A134" s="2" t="s">
        <v>1492</v>
      </c>
      <c r="B134" s="5" t="s">
        <v>254</v>
      </c>
      <c r="C134" s="7">
        <v>1</v>
      </c>
      <c r="D134" s="2" t="s">
        <v>77</v>
      </c>
      <c r="E134" s="8"/>
      <c r="F134" s="16">
        <f t="shared" si="11"/>
        <v>0</v>
      </c>
    </row>
    <row r="135" spans="1:6" x14ac:dyDescent="0.2">
      <c r="A135" s="2" t="s">
        <v>1493</v>
      </c>
      <c r="B135" s="5" t="s">
        <v>256</v>
      </c>
      <c r="C135" s="7">
        <v>1</v>
      </c>
      <c r="D135" s="2" t="s">
        <v>77</v>
      </c>
      <c r="E135" s="8"/>
      <c r="F135" s="16">
        <f t="shared" si="11"/>
        <v>0</v>
      </c>
    </row>
    <row r="136" spans="1:6" x14ac:dyDescent="0.2">
      <c r="A136" s="2" t="s">
        <v>1494</v>
      </c>
      <c r="B136" s="5" t="s">
        <v>258</v>
      </c>
      <c r="C136" s="7">
        <v>1</v>
      </c>
      <c r="D136" s="2" t="s">
        <v>77</v>
      </c>
      <c r="E136" s="8"/>
      <c r="F136" s="16">
        <f t="shared" si="11"/>
        <v>0</v>
      </c>
    </row>
    <row r="137" spans="1:6" x14ac:dyDescent="0.2">
      <c r="A137" s="2" t="s">
        <v>1495</v>
      </c>
      <c r="B137" s="5" t="s">
        <v>260</v>
      </c>
      <c r="C137" s="7">
        <v>1</v>
      </c>
      <c r="D137" s="2" t="s">
        <v>77</v>
      </c>
      <c r="E137" s="8"/>
      <c r="F137" s="16">
        <f t="shared" si="11"/>
        <v>0</v>
      </c>
    </row>
    <row r="138" spans="1:6" x14ac:dyDescent="0.2">
      <c r="A138" s="2"/>
      <c r="B138" s="5" t="s">
        <v>261</v>
      </c>
      <c r="C138" s="2"/>
      <c r="D138" s="2"/>
      <c r="E138" s="2"/>
    </row>
    <row r="139" spans="1:6" x14ac:dyDescent="0.2">
      <c r="A139" s="2" t="s">
        <v>1496</v>
      </c>
      <c r="B139" s="5" t="s">
        <v>263</v>
      </c>
      <c r="C139" s="7">
        <v>2</v>
      </c>
      <c r="D139" s="2" t="s">
        <v>77</v>
      </c>
      <c r="E139" s="8"/>
      <c r="F139" s="16">
        <f t="shared" ref="F139:F152" si="12">C139*E139</f>
        <v>0</v>
      </c>
    </row>
    <row r="140" spans="1:6" x14ac:dyDescent="0.2">
      <c r="A140" s="2" t="s">
        <v>1497</v>
      </c>
      <c r="B140" s="5" t="s">
        <v>252</v>
      </c>
      <c r="C140" s="7">
        <v>1</v>
      </c>
      <c r="D140" s="2" t="s">
        <v>77</v>
      </c>
      <c r="E140" s="8"/>
      <c r="F140" s="16">
        <f t="shared" si="12"/>
        <v>0</v>
      </c>
    </row>
    <row r="141" spans="1:6" x14ac:dyDescent="0.2">
      <c r="A141" s="2" t="s">
        <v>1498</v>
      </c>
      <c r="B141" s="5" t="s">
        <v>254</v>
      </c>
      <c r="C141" s="7">
        <v>3</v>
      </c>
      <c r="D141" s="2" t="s">
        <v>77</v>
      </c>
      <c r="E141" s="8"/>
      <c r="F141" s="16">
        <f t="shared" si="12"/>
        <v>0</v>
      </c>
    </row>
    <row r="142" spans="1:6" x14ac:dyDescent="0.2">
      <c r="A142" s="2" t="s">
        <v>1499</v>
      </c>
      <c r="B142" s="5" t="s">
        <v>267</v>
      </c>
      <c r="C142" s="7">
        <v>1</v>
      </c>
      <c r="D142" s="2" t="s">
        <v>77</v>
      </c>
      <c r="E142" s="8"/>
      <c r="F142" s="16">
        <f t="shared" si="12"/>
        <v>0</v>
      </c>
    </row>
    <row r="143" spans="1:6" x14ac:dyDescent="0.2">
      <c r="A143" s="2" t="s">
        <v>1500</v>
      </c>
      <c r="B143" s="5" t="s">
        <v>269</v>
      </c>
      <c r="C143" s="7">
        <v>2</v>
      </c>
      <c r="D143" s="2" t="s">
        <v>77</v>
      </c>
      <c r="E143" s="8"/>
      <c r="F143" s="16">
        <f t="shared" si="12"/>
        <v>0</v>
      </c>
    </row>
    <row r="144" spans="1:6" x14ac:dyDescent="0.2">
      <c r="A144" s="2" t="s">
        <v>1501</v>
      </c>
      <c r="B144" s="5" t="s">
        <v>256</v>
      </c>
      <c r="C144" s="7">
        <v>3</v>
      </c>
      <c r="D144" s="2" t="s">
        <v>77</v>
      </c>
      <c r="E144" s="8"/>
      <c r="F144" s="16">
        <f t="shared" si="12"/>
        <v>0</v>
      </c>
    </row>
    <row r="145" spans="1:6" x14ac:dyDescent="0.2">
      <c r="A145" s="2" t="s">
        <v>1502</v>
      </c>
      <c r="B145" s="5" t="s">
        <v>272</v>
      </c>
      <c r="C145" s="7">
        <v>4</v>
      </c>
      <c r="D145" s="2" t="s">
        <v>77</v>
      </c>
      <c r="E145" s="8"/>
      <c r="F145" s="16">
        <f t="shared" si="12"/>
        <v>0</v>
      </c>
    </row>
    <row r="146" spans="1:6" x14ac:dyDescent="0.2">
      <c r="A146" s="2" t="s">
        <v>1503</v>
      </c>
      <c r="B146" s="5" t="s">
        <v>274</v>
      </c>
      <c r="C146" s="7">
        <v>2</v>
      </c>
      <c r="D146" s="2" t="s">
        <v>77</v>
      </c>
      <c r="E146" s="8"/>
      <c r="F146" s="16">
        <f t="shared" si="12"/>
        <v>0</v>
      </c>
    </row>
    <row r="147" spans="1:6" x14ac:dyDescent="0.2">
      <c r="A147" s="2" t="s">
        <v>1504</v>
      </c>
      <c r="B147" s="5" t="s">
        <v>276</v>
      </c>
      <c r="C147" s="7">
        <v>2</v>
      </c>
      <c r="D147" s="2" t="s">
        <v>77</v>
      </c>
      <c r="E147" s="8"/>
      <c r="F147" s="16">
        <f t="shared" si="12"/>
        <v>0</v>
      </c>
    </row>
    <row r="148" spans="1:6" ht="20" x14ac:dyDescent="0.2">
      <c r="A148" s="2" t="s">
        <v>1505</v>
      </c>
      <c r="B148" s="5" t="s">
        <v>278</v>
      </c>
      <c r="C148" s="7">
        <v>2</v>
      </c>
      <c r="D148" s="2" t="s">
        <v>77</v>
      </c>
      <c r="E148" s="8"/>
      <c r="F148" s="16">
        <f t="shared" si="12"/>
        <v>0</v>
      </c>
    </row>
    <row r="149" spans="1:6" x14ac:dyDescent="0.2">
      <c r="A149" s="2" t="s">
        <v>1506</v>
      </c>
      <c r="B149" s="5" t="s">
        <v>258</v>
      </c>
      <c r="C149" s="7">
        <v>1</v>
      </c>
      <c r="D149" s="2" t="s">
        <v>77</v>
      </c>
      <c r="E149" s="8"/>
      <c r="F149" s="16">
        <f t="shared" si="12"/>
        <v>0</v>
      </c>
    </row>
    <row r="150" spans="1:6" x14ac:dyDescent="0.2">
      <c r="A150" s="2" t="s">
        <v>1507</v>
      </c>
      <c r="B150" s="5" t="s">
        <v>260</v>
      </c>
      <c r="C150" s="7">
        <v>1</v>
      </c>
      <c r="D150" s="2" t="s">
        <v>77</v>
      </c>
      <c r="E150" s="8"/>
      <c r="F150" s="16">
        <f>C150*E150</f>
        <v>0</v>
      </c>
    </row>
    <row r="151" spans="1:6" x14ac:dyDescent="0.2">
      <c r="A151" s="2" t="s">
        <v>1508</v>
      </c>
      <c r="B151" s="5" t="s">
        <v>282</v>
      </c>
      <c r="C151" s="7">
        <v>1</v>
      </c>
      <c r="D151" s="2" t="s">
        <v>77</v>
      </c>
      <c r="E151" s="8"/>
      <c r="F151" s="16">
        <f t="shared" si="12"/>
        <v>0</v>
      </c>
    </row>
    <row r="152" spans="1:6" x14ac:dyDescent="0.2">
      <c r="A152" s="2" t="s">
        <v>1509</v>
      </c>
      <c r="B152" s="5" t="s">
        <v>284</v>
      </c>
      <c r="C152" s="7">
        <v>2</v>
      </c>
      <c r="D152" s="2" t="s">
        <v>77</v>
      </c>
      <c r="E152" s="8"/>
      <c r="F152" s="16">
        <f t="shared" si="12"/>
        <v>0</v>
      </c>
    </row>
    <row r="153" spans="1:6" x14ac:dyDescent="0.2">
      <c r="A153" s="2"/>
      <c r="B153" s="5" t="s">
        <v>285</v>
      </c>
      <c r="C153" s="2"/>
      <c r="D153" s="2"/>
      <c r="E153" s="2"/>
    </row>
    <row r="154" spans="1:6" ht="60" x14ac:dyDescent="0.2">
      <c r="A154" s="2" t="s">
        <v>1510</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1511</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50" x14ac:dyDescent="0.2">
      <c r="A163" s="2" t="s">
        <v>1512</v>
      </c>
      <c r="B163" s="5" t="s">
        <v>295</v>
      </c>
      <c r="C163" s="7">
        <v>43</v>
      </c>
      <c r="D163" s="2" t="s">
        <v>89</v>
      </c>
      <c r="E163" s="8"/>
      <c r="F163" s="16">
        <f t="shared" ref="F163:F164" si="14">C163*E163</f>
        <v>0</v>
      </c>
    </row>
    <row r="164" spans="1:6" ht="50" x14ac:dyDescent="0.2">
      <c r="A164" s="2" t="s">
        <v>1513</v>
      </c>
      <c r="B164" s="5" t="s">
        <v>297</v>
      </c>
      <c r="C164" s="7">
        <v>5</v>
      </c>
      <c r="D164" s="2" t="s">
        <v>86</v>
      </c>
      <c r="E164" s="8"/>
      <c r="F164" s="16">
        <f t="shared" si="14"/>
        <v>0</v>
      </c>
    </row>
    <row r="165" spans="1:6" x14ac:dyDescent="0.2">
      <c r="A165" s="2"/>
      <c r="B165" s="5" t="s">
        <v>298</v>
      </c>
      <c r="C165" s="2"/>
      <c r="D165" s="2"/>
      <c r="E165" s="2"/>
    </row>
    <row r="166" spans="1:6" ht="30" x14ac:dyDescent="0.2">
      <c r="A166" s="2" t="s">
        <v>1514</v>
      </c>
      <c r="B166" s="5" t="s">
        <v>300</v>
      </c>
      <c r="C166" s="7">
        <v>3</v>
      </c>
      <c r="D166" s="2" t="s">
        <v>89</v>
      </c>
      <c r="E166" s="8"/>
      <c r="F166" s="16">
        <f>C166*E166</f>
        <v>0</v>
      </c>
    </row>
    <row r="167" spans="1:6" ht="13" x14ac:dyDescent="0.3">
      <c r="B167" s="20" t="s">
        <v>301</v>
      </c>
      <c r="C167" s="9"/>
      <c r="D167" s="3"/>
      <c r="E167" s="9"/>
      <c r="F167" s="18">
        <f>SUM(F163:F166)</f>
        <v>0</v>
      </c>
    </row>
    <row r="169" spans="1:6" ht="10.5" x14ac:dyDescent="0.25">
      <c r="A169" s="6" t="s">
        <v>1515</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1516</v>
      </c>
      <c r="B178" s="5" t="s">
        <v>312</v>
      </c>
      <c r="C178" s="7">
        <v>194</v>
      </c>
      <c r="D178" s="2" t="s">
        <v>89</v>
      </c>
      <c r="E178" s="7"/>
      <c r="F178" s="16">
        <f>C178*E178</f>
        <v>0</v>
      </c>
    </row>
    <row r="179" spans="1:6" ht="13" x14ac:dyDescent="0.3">
      <c r="B179" s="20" t="s">
        <v>313</v>
      </c>
      <c r="C179" s="9"/>
      <c r="D179" s="3"/>
      <c r="E179" s="9"/>
      <c r="F179" s="18">
        <f>SUM(F178)</f>
        <v>0</v>
      </c>
    </row>
    <row r="181" spans="1:6" ht="10.5" x14ac:dyDescent="0.25">
      <c r="A181" s="6" t="s">
        <v>1517</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1518</v>
      </c>
      <c r="B191" s="5" t="s">
        <v>325</v>
      </c>
      <c r="C191" s="7">
        <v>194</v>
      </c>
      <c r="D191" s="2" t="s">
        <v>89</v>
      </c>
      <c r="E191" s="7"/>
      <c r="F191" s="16">
        <f>C191*E191</f>
        <v>0</v>
      </c>
    </row>
    <row r="192" spans="1:6" ht="13" x14ac:dyDescent="0.3">
      <c r="B192" s="20" t="s">
        <v>326</v>
      </c>
      <c r="C192" s="9"/>
      <c r="D192" s="3"/>
      <c r="E192" s="9"/>
      <c r="F192" s="18">
        <f>SUM(F191)</f>
        <v>0</v>
      </c>
    </row>
    <row r="194" spans="1:6" ht="10.5" x14ac:dyDescent="0.25">
      <c r="A194" s="6" t="s">
        <v>1519</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1520</v>
      </c>
      <c r="B207" s="5" t="s">
        <v>341</v>
      </c>
      <c r="C207" s="7">
        <v>194</v>
      </c>
      <c r="D207" s="2" t="s">
        <v>89</v>
      </c>
      <c r="E207" s="7"/>
      <c r="F207" s="16">
        <f>C207*E207</f>
        <v>0</v>
      </c>
    </row>
    <row r="208" spans="1:6" ht="21.5" x14ac:dyDescent="0.3">
      <c r="B208" s="20" t="s">
        <v>342</v>
      </c>
      <c r="C208" s="9"/>
      <c r="D208" s="3"/>
      <c r="E208" s="9"/>
      <c r="F208" s="18">
        <f>SUM(F207)</f>
        <v>0</v>
      </c>
    </row>
    <row r="209" spans="2:6" ht="13" x14ac:dyDescent="0.3">
      <c r="B209" s="20" t="s">
        <v>1521</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BE64-2D0C-4846-80A1-BB9A42CD3261}">
  <sheetPr codeName="Sheet15">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1820</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1522</v>
      </c>
      <c r="B6" s="20" t="s">
        <v>1523</v>
      </c>
    </row>
    <row r="7" spans="1:6" x14ac:dyDescent="0.2">
      <c r="A7" s="2"/>
      <c r="B7" s="5"/>
      <c r="C7" s="2"/>
      <c r="D7" s="2"/>
      <c r="E7" s="2"/>
    </row>
    <row r="8" spans="1:6" x14ac:dyDescent="0.2">
      <c r="A8" s="2"/>
      <c r="B8" s="5" t="s">
        <v>67</v>
      </c>
      <c r="C8" s="2"/>
      <c r="D8" s="2"/>
      <c r="E8" s="2"/>
    </row>
    <row r="10" spans="1:6" ht="10.5" x14ac:dyDescent="0.25">
      <c r="A10" s="6" t="s">
        <v>1524</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1525</v>
      </c>
      <c r="B15" s="5" t="s">
        <v>76</v>
      </c>
      <c r="C15" s="7">
        <v>14</v>
      </c>
      <c r="D15" s="2" t="s">
        <v>77</v>
      </c>
      <c r="E15" s="8"/>
      <c r="F15" s="16">
        <f>C15*E15</f>
        <v>0</v>
      </c>
    </row>
    <row r="16" spans="1:6" x14ac:dyDescent="0.2">
      <c r="A16" s="2" t="s">
        <v>1526</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1527</v>
      </c>
      <c r="B18" s="5" t="s">
        <v>83</v>
      </c>
      <c r="C18" s="7">
        <v>1</v>
      </c>
      <c r="D18" s="2" t="s">
        <v>80</v>
      </c>
      <c r="E18" s="8"/>
      <c r="F18" s="16">
        <f t="shared" si="0"/>
        <v>0</v>
      </c>
    </row>
    <row r="19" spans="1:6" x14ac:dyDescent="0.2">
      <c r="A19" s="2"/>
      <c r="B19" s="5" t="s">
        <v>69</v>
      </c>
      <c r="C19" s="2"/>
      <c r="D19" s="2"/>
      <c r="E19" s="2"/>
      <c r="F19" s="16"/>
    </row>
    <row r="20" spans="1:6" ht="20" x14ac:dyDescent="0.2">
      <c r="A20" s="2" t="s">
        <v>1528</v>
      </c>
      <c r="B20" s="5" t="s">
        <v>85</v>
      </c>
      <c r="C20" s="7">
        <v>11</v>
      </c>
      <c r="D20" s="2" t="s">
        <v>86</v>
      </c>
      <c r="E20" s="8"/>
      <c r="F20" s="16">
        <f t="shared" si="0"/>
        <v>0</v>
      </c>
    </row>
    <row r="21" spans="1:6" x14ac:dyDescent="0.2">
      <c r="A21" s="2" t="s">
        <v>1529</v>
      </c>
      <c r="B21" s="5" t="s">
        <v>88</v>
      </c>
      <c r="C21" s="7">
        <v>6</v>
      </c>
      <c r="D21" s="2" t="s">
        <v>89</v>
      </c>
      <c r="E21" s="8"/>
      <c r="F21" s="16">
        <f t="shared" si="0"/>
        <v>0</v>
      </c>
    </row>
    <row r="22" spans="1:6" ht="30" x14ac:dyDescent="0.2">
      <c r="A22" s="2" t="s">
        <v>1530</v>
      </c>
      <c r="B22" s="5" t="s">
        <v>91</v>
      </c>
      <c r="C22" s="7">
        <v>48</v>
      </c>
      <c r="D22" s="2" t="s">
        <v>89</v>
      </c>
      <c r="E22" s="8"/>
      <c r="F22" s="16">
        <f t="shared" si="0"/>
        <v>0</v>
      </c>
    </row>
    <row r="23" spans="1:6" x14ac:dyDescent="0.2">
      <c r="A23" s="2" t="s">
        <v>1531</v>
      </c>
      <c r="B23" s="5" t="s">
        <v>93</v>
      </c>
      <c r="C23" s="7">
        <v>11</v>
      </c>
      <c r="D23" s="2" t="s">
        <v>86</v>
      </c>
      <c r="E23" s="8"/>
      <c r="F23" s="16">
        <f t="shared" si="0"/>
        <v>0</v>
      </c>
    </row>
    <row r="24" spans="1:6" x14ac:dyDescent="0.2">
      <c r="A24" s="2" t="s">
        <v>1532</v>
      </c>
      <c r="B24" s="5" t="s">
        <v>95</v>
      </c>
      <c r="C24" s="7">
        <v>13</v>
      </c>
      <c r="D24" s="2" t="s">
        <v>77</v>
      </c>
      <c r="E24" s="8"/>
      <c r="F24" s="16">
        <f t="shared" si="0"/>
        <v>0</v>
      </c>
    </row>
    <row r="25" spans="1:6" ht="20" x14ac:dyDescent="0.2">
      <c r="A25" s="2" t="s">
        <v>1533</v>
      </c>
      <c r="B25" s="5" t="s">
        <v>97</v>
      </c>
      <c r="C25" s="7">
        <v>9</v>
      </c>
      <c r="D25" s="2" t="s">
        <v>86</v>
      </c>
      <c r="E25" s="8"/>
      <c r="F25" s="16">
        <f t="shared" si="0"/>
        <v>0</v>
      </c>
    </row>
    <row r="26" spans="1:6" x14ac:dyDescent="0.2">
      <c r="A26" s="2" t="s">
        <v>1534</v>
      </c>
      <c r="B26" s="5" t="s">
        <v>99</v>
      </c>
      <c r="C26" s="7">
        <v>155</v>
      </c>
      <c r="D26" s="2" t="s">
        <v>89</v>
      </c>
      <c r="E26" s="8"/>
      <c r="F26" s="16">
        <f t="shared" si="0"/>
        <v>0</v>
      </c>
    </row>
    <row r="27" spans="1:6" x14ac:dyDescent="0.2">
      <c r="A27" s="2" t="s">
        <v>1535</v>
      </c>
      <c r="B27" s="5" t="s">
        <v>101</v>
      </c>
      <c r="C27" s="7">
        <v>2</v>
      </c>
      <c r="D27" s="2" t="s">
        <v>77</v>
      </c>
      <c r="E27" s="8"/>
      <c r="F27" s="16">
        <f t="shared" si="0"/>
        <v>0</v>
      </c>
    </row>
    <row r="28" spans="1:6" x14ac:dyDescent="0.2">
      <c r="A28" s="2" t="s">
        <v>1536</v>
      </c>
      <c r="B28" s="5" t="s">
        <v>103</v>
      </c>
      <c r="C28" s="7">
        <v>1</v>
      </c>
      <c r="D28" s="2" t="s">
        <v>104</v>
      </c>
      <c r="E28" s="8"/>
      <c r="F28" s="16">
        <f t="shared" si="0"/>
        <v>0</v>
      </c>
    </row>
    <row r="29" spans="1:6" x14ac:dyDescent="0.2">
      <c r="A29" s="2" t="s">
        <v>1537</v>
      </c>
      <c r="B29" s="5" t="s">
        <v>106</v>
      </c>
      <c r="C29" s="7">
        <v>1</v>
      </c>
      <c r="D29" s="2" t="s">
        <v>77</v>
      </c>
      <c r="E29" s="8"/>
      <c r="F29" s="16">
        <f t="shared" si="0"/>
        <v>0</v>
      </c>
    </row>
    <row r="30" spans="1:6" x14ac:dyDescent="0.2">
      <c r="A30" s="2" t="s">
        <v>1538</v>
      </c>
      <c r="B30" s="5" t="s">
        <v>108</v>
      </c>
      <c r="C30" s="7">
        <v>72</v>
      </c>
      <c r="D30" s="2" t="s">
        <v>89</v>
      </c>
      <c r="E30" s="8"/>
      <c r="F30" s="16">
        <f t="shared" si="0"/>
        <v>0</v>
      </c>
    </row>
    <row r="31" spans="1:6" ht="20" x14ac:dyDescent="0.2">
      <c r="A31" s="2" t="s">
        <v>1539</v>
      </c>
      <c r="B31" s="5" t="s">
        <v>110</v>
      </c>
      <c r="C31" s="7">
        <v>1</v>
      </c>
      <c r="D31" s="2" t="s">
        <v>77</v>
      </c>
      <c r="E31" s="8"/>
      <c r="F31" s="16">
        <f t="shared" si="0"/>
        <v>0</v>
      </c>
    </row>
    <row r="32" spans="1:6" ht="20" x14ac:dyDescent="0.2">
      <c r="A32" s="2" t="s">
        <v>1540</v>
      </c>
      <c r="B32" s="5" t="s">
        <v>112</v>
      </c>
      <c r="C32" s="7">
        <v>28</v>
      </c>
      <c r="D32" s="2" t="s">
        <v>86</v>
      </c>
      <c r="E32" s="8"/>
      <c r="F32" s="16">
        <f t="shared" si="0"/>
        <v>0</v>
      </c>
    </row>
    <row r="33" spans="1:6" ht="40" x14ac:dyDescent="0.2">
      <c r="A33" s="2" t="s">
        <v>1541</v>
      </c>
      <c r="B33" s="5" t="s">
        <v>114</v>
      </c>
      <c r="C33" s="7">
        <v>53</v>
      </c>
      <c r="D33" s="2" t="s">
        <v>89</v>
      </c>
      <c r="E33" s="8"/>
      <c r="F33" s="16">
        <f t="shared" si="0"/>
        <v>0</v>
      </c>
    </row>
    <row r="34" spans="1:6" x14ac:dyDescent="0.2">
      <c r="A34" s="2"/>
      <c r="B34" s="5" t="s">
        <v>115</v>
      </c>
      <c r="C34" s="2"/>
      <c r="D34" s="2"/>
      <c r="E34" s="2"/>
      <c r="F34" s="16"/>
    </row>
    <row r="35" spans="1:6" ht="30" x14ac:dyDescent="0.2">
      <c r="A35" s="2" t="s">
        <v>1542</v>
      </c>
      <c r="B35" s="5" t="s">
        <v>117</v>
      </c>
      <c r="C35" s="7">
        <v>1</v>
      </c>
      <c r="D35" s="2" t="s">
        <v>80</v>
      </c>
      <c r="E35" s="8"/>
      <c r="F35" s="16">
        <f t="shared" si="0"/>
        <v>0</v>
      </c>
    </row>
    <row r="36" spans="1:6" x14ac:dyDescent="0.2">
      <c r="A36" s="2" t="s">
        <v>1543</v>
      </c>
      <c r="B36" s="5" t="s">
        <v>119</v>
      </c>
      <c r="C36" s="7">
        <v>1</v>
      </c>
      <c r="D36" s="2" t="s">
        <v>104</v>
      </c>
      <c r="E36" s="8"/>
      <c r="F36" s="16">
        <f t="shared" si="0"/>
        <v>0</v>
      </c>
    </row>
    <row r="37" spans="1:6" ht="20" x14ac:dyDescent="0.2">
      <c r="A37" s="2" t="s">
        <v>1544</v>
      </c>
      <c r="B37" s="5" t="s">
        <v>121</v>
      </c>
      <c r="C37" s="7">
        <v>1</v>
      </c>
      <c r="D37" s="2" t="s">
        <v>104</v>
      </c>
      <c r="E37" s="8"/>
      <c r="F37" s="16">
        <f t="shared" si="0"/>
        <v>0</v>
      </c>
    </row>
    <row r="38" spans="1:6" x14ac:dyDescent="0.2">
      <c r="A38" s="2" t="s">
        <v>1545</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1546</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1547</v>
      </c>
      <c r="B51" s="5" t="s">
        <v>137</v>
      </c>
      <c r="C51" s="7">
        <v>406</v>
      </c>
      <c r="D51" s="2" t="s">
        <v>89</v>
      </c>
      <c r="E51" s="8"/>
      <c r="F51" s="16">
        <f t="shared" ref="F51:F58" si="1">C51*E51</f>
        <v>0</v>
      </c>
    </row>
    <row r="52" spans="1:6" x14ac:dyDescent="0.2">
      <c r="A52" s="2"/>
      <c r="B52" s="5" t="s">
        <v>138</v>
      </c>
      <c r="C52" s="2"/>
      <c r="D52" s="2"/>
      <c r="E52" s="2"/>
      <c r="F52" s="16"/>
    </row>
    <row r="53" spans="1:6" ht="30" x14ac:dyDescent="0.2">
      <c r="A53" s="2" t="s">
        <v>1548</v>
      </c>
      <c r="B53" s="5" t="s">
        <v>140</v>
      </c>
      <c r="C53" s="7">
        <v>66</v>
      </c>
      <c r="D53" s="2" t="s">
        <v>89</v>
      </c>
      <c r="E53" s="8"/>
      <c r="F53" s="16">
        <f t="shared" si="1"/>
        <v>0</v>
      </c>
    </row>
    <row r="54" spans="1:6" ht="40" x14ac:dyDescent="0.2">
      <c r="A54" s="2" t="s">
        <v>1549</v>
      </c>
      <c r="B54" s="5" t="s">
        <v>964</v>
      </c>
      <c r="C54" s="7">
        <v>7</v>
      </c>
      <c r="D54" s="2" t="s">
        <v>89</v>
      </c>
      <c r="E54" s="8"/>
      <c r="F54" s="16">
        <f t="shared" si="1"/>
        <v>0</v>
      </c>
    </row>
    <row r="55" spans="1:6" ht="30" x14ac:dyDescent="0.2">
      <c r="A55" s="2" t="s">
        <v>1550</v>
      </c>
      <c r="B55" s="5" t="s">
        <v>142</v>
      </c>
      <c r="C55" s="7">
        <v>4</v>
      </c>
      <c r="D55" s="2" t="s">
        <v>89</v>
      </c>
      <c r="E55" s="8"/>
      <c r="F55" s="16">
        <f t="shared" si="1"/>
        <v>0</v>
      </c>
    </row>
    <row r="56" spans="1:6" ht="20" x14ac:dyDescent="0.2">
      <c r="A56" s="2" t="s">
        <v>1551</v>
      </c>
      <c r="B56" s="5" t="s">
        <v>144</v>
      </c>
      <c r="C56" s="7">
        <v>95</v>
      </c>
      <c r="D56" s="2" t="s">
        <v>89</v>
      </c>
      <c r="E56" s="8"/>
      <c r="F56" s="16">
        <f t="shared" si="1"/>
        <v>0</v>
      </c>
    </row>
    <row r="57" spans="1:6" x14ac:dyDescent="0.2">
      <c r="A57" s="2"/>
      <c r="B57" s="5" t="s">
        <v>145</v>
      </c>
      <c r="C57" s="2"/>
      <c r="D57" s="2"/>
      <c r="E57" s="2"/>
      <c r="F57" s="16"/>
    </row>
    <row r="58" spans="1:6" ht="30" x14ac:dyDescent="0.2">
      <c r="A58" s="2" t="s">
        <v>1552</v>
      </c>
      <c r="B58" s="5" t="s">
        <v>147</v>
      </c>
      <c r="C58" s="7">
        <v>134</v>
      </c>
      <c r="D58" s="2" t="s">
        <v>86</v>
      </c>
      <c r="E58" s="8"/>
      <c r="F58" s="16">
        <f t="shared" si="1"/>
        <v>0</v>
      </c>
    </row>
    <row r="59" spans="1:6" x14ac:dyDescent="0.2">
      <c r="A59" s="2"/>
      <c r="B59" s="5" t="s">
        <v>148</v>
      </c>
      <c r="C59" s="2"/>
      <c r="D59" s="2"/>
      <c r="E59" s="2"/>
      <c r="F59" s="16"/>
    </row>
    <row r="60" spans="1:6" ht="30" x14ac:dyDescent="0.2">
      <c r="A60" s="2" t="s">
        <v>1553</v>
      </c>
      <c r="B60" s="5" t="s">
        <v>150</v>
      </c>
      <c r="C60" s="7">
        <v>13</v>
      </c>
      <c r="D60" s="2" t="s">
        <v>77</v>
      </c>
      <c r="E60" s="8"/>
      <c r="F60" s="16">
        <f t="shared" ref="F60" si="2">C60*E60</f>
        <v>0</v>
      </c>
    </row>
    <row r="61" spans="1:6" ht="13" x14ac:dyDescent="0.3">
      <c r="B61" s="20" t="s">
        <v>151</v>
      </c>
      <c r="C61" s="9"/>
      <c r="D61" s="3"/>
      <c r="E61" s="9"/>
      <c r="F61" s="18">
        <f>SUM(F51:F60)</f>
        <v>0</v>
      </c>
    </row>
    <row r="63" spans="1:6" ht="10.5" x14ac:dyDescent="0.25">
      <c r="A63" s="6" t="s">
        <v>1554</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1555</v>
      </c>
      <c r="B69" s="5" t="s">
        <v>158</v>
      </c>
      <c r="C69" s="7">
        <v>134</v>
      </c>
      <c r="D69" s="2" t="s">
        <v>89</v>
      </c>
      <c r="E69" s="8"/>
      <c r="F69" s="16">
        <f t="shared" ref="F69:F73" si="3">C69*E69</f>
        <v>0</v>
      </c>
    </row>
    <row r="70" spans="1:6" ht="40" x14ac:dyDescent="0.2">
      <c r="A70" s="2" t="s">
        <v>1556</v>
      </c>
      <c r="B70" s="5" t="s">
        <v>160</v>
      </c>
      <c r="C70" s="7">
        <v>18</v>
      </c>
      <c r="D70" s="2" t="s">
        <v>89</v>
      </c>
      <c r="E70" s="8"/>
      <c r="F70" s="16">
        <f t="shared" si="3"/>
        <v>0</v>
      </c>
    </row>
    <row r="71" spans="1:6" x14ac:dyDescent="0.2">
      <c r="A71" s="2"/>
      <c r="B71" s="5" t="s">
        <v>161</v>
      </c>
      <c r="C71" s="2"/>
      <c r="D71" s="2"/>
      <c r="E71" s="2"/>
      <c r="F71" s="16"/>
    </row>
    <row r="72" spans="1:6" x14ac:dyDescent="0.2">
      <c r="A72" s="2" t="s">
        <v>1557</v>
      </c>
      <c r="B72" s="5" t="s">
        <v>163</v>
      </c>
      <c r="C72" s="7">
        <v>17.77</v>
      </c>
      <c r="D72" s="2" t="s">
        <v>86</v>
      </c>
      <c r="E72" s="8"/>
      <c r="F72" s="16">
        <f t="shared" si="3"/>
        <v>0</v>
      </c>
    </row>
    <row r="73" spans="1:6" ht="20" x14ac:dyDescent="0.2">
      <c r="A73" s="2" t="s">
        <v>1558</v>
      </c>
      <c r="B73" s="5" t="s">
        <v>165</v>
      </c>
      <c r="C73" s="7">
        <v>10</v>
      </c>
      <c r="D73" s="2" t="s">
        <v>89</v>
      </c>
      <c r="E73" s="8"/>
      <c r="F73" s="16">
        <f t="shared" si="3"/>
        <v>0</v>
      </c>
    </row>
    <row r="74" spans="1:6" ht="13" x14ac:dyDescent="0.3">
      <c r="B74" s="20" t="s">
        <v>166</v>
      </c>
      <c r="C74" s="9"/>
      <c r="D74" s="3"/>
      <c r="E74" s="9"/>
      <c r="F74" s="18">
        <f>SUM(F69:F73)</f>
        <v>0</v>
      </c>
    </row>
    <row r="76" spans="1:6" ht="10.5" x14ac:dyDescent="0.25">
      <c r="A76" s="6" t="s">
        <v>1559</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1560</v>
      </c>
      <c r="B80" s="5" t="s">
        <v>172</v>
      </c>
      <c r="C80" s="7">
        <v>177</v>
      </c>
      <c r="D80" s="2" t="s">
        <v>89</v>
      </c>
      <c r="E80" s="8"/>
      <c r="F80" s="16">
        <f t="shared" ref="F80" si="4">C80*E80</f>
        <v>0</v>
      </c>
    </row>
    <row r="81" spans="1:6" ht="13" x14ac:dyDescent="0.3">
      <c r="B81" s="20" t="s">
        <v>173</v>
      </c>
      <c r="C81" s="9"/>
      <c r="D81" s="3"/>
      <c r="E81" s="9"/>
      <c r="F81" s="18">
        <f>SUM(F80)</f>
        <v>0</v>
      </c>
    </row>
    <row r="83" spans="1:6" ht="10.5" x14ac:dyDescent="0.25">
      <c r="A83" s="6" t="s">
        <v>1561</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1562</v>
      </c>
      <c r="B88" s="5" t="s">
        <v>179</v>
      </c>
      <c r="C88" s="7">
        <v>1</v>
      </c>
      <c r="D88" s="2" t="s">
        <v>77</v>
      </c>
      <c r="E88" s="8"/>
      <c r="F88" s="16">
        <f>C88*E88</f>
        <v>0</v>
      </c>
    </row>
    <row r="89" spans="1:6" ht="20" x14ac:dyDescent="0.2">
      <c r="A89" s="2" t="s">
        <v>1563</v>
      </c>
      <c r="B89" s="5" t="s">
        <v>181</v>
      </c>
      <c r="C89" s="7">
        <v>13</v>
      </c>
      <c r="D89" s="2" t="s">
        <v>77</v>
      </c>
      <c r="E89" s="8"/>
      <c r="F89" s="16">
        <f>C89*E89</f>
        <v>0</v>
      </c>
    </row>
    <row r="90" spans="1:6" ht="30" x14ac:dyDescent="0.2">
      <c r="A90" s="2" t="s">
        <v>1564</v>
      </c>
      <c r="B90" s="5" t="s">
        <v>183</v>
      </c>
      <c r="C90" s="7">
        <v>3</v>
      </c>
      <c r="D90" s="2" t="s">
        <v>77</v>
      </c>
      <c r="E90" s="8"/>
      <c r="F90" s="16">
        <f t="shared" ref="F90" si="5">C90*E90</f>
        <v>0</v>
      </c>
    </row>
    <row r="91" spans="1:6" ht="13" x14ac:dyDescent="0.3">
      <c r="B91" s="20" t="s">
        <v>184</v>
      </c>
      <c r="C91" s="9"/>
      <c r="D91" s="3"/>
      <c r="E91" s="9"/>
      <c r="F91" s="18">
        <f>SUM(F86:F90)</f>
        <v>0</v>
      </c>
    </row>
    <row r="93" spans="1:6" ht="10.5" x14ac:dyDescent="0.25">
      <c r="A93" s="6" t="s">
        <v>1565</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1566</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1567</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1568</v>
      </c>
      <c r="B105" s="5" t="s">
        <v>200</v>
      </c>
      <c r="C105" s="7">
        <v>3.14</v>
      </c>
      <c r="D105" s="2" t="s">
        <v>86</v>
      </c>
      <c r="E105" s="8"/>
      <c r="F105" s="16">
        <f t="shared" si="6"/>
        <v>0</v>
      </c>
    </row>
    <row r="106" spans="1:6" ht="40" x14ac:dyDescent="0.2">
      <c r="A106" s="2" t="s">
        <v>1569</v>
      </c>
      <c r="B106" s="5" t="s">
        <v>202</v>
      </c>
      <c r="C106" s="7">
        <v>3.62</v>
      </c>
      <c r="D106" s="2" t="s">
        <v>86</v>
      </c>
      <c r="E106" s="8"/>
      <c r="F106" s="16">
        <f t="shared" si="6"/>
        <v>0</v>
      </c>
    </row>
    <row r="107" spans="1:6" x14ac:dyDescent="0.2">
      <c r="A107" s="2"/>
      <c r="B107" s="5" t="s">
        <v>203</v>
      </c>
      <c r="C107" s="2"/>
      <c r="D107" s="2"/>
      <c r="E107" s="2"/>
      <c r="F107" s="16"/>
    </row>
    <row r="108" spans="1:6" ht="30" x14ac:dyDescent="0.2">
      <c r="A108" s="2" t="s">
        <v>1570</v>
      </c>
      <c r="B108" s="5" t="s">
        <v>205</v>
      </c>
      <c r="C108" s="7">
        <v>2.77</v>
      </c>
      <c r="D108" s="2" t="s">
        <v>86</v>
      </c>
      <c r="E108" s="8"/>
      <c r="F108" s="16">
        <f t="shared" si="6"/>
        <v>0</v>
      </c>
    </row>
    <row r="109" spans="1:6" x14ac:dyDescent="0.2">
      <c r="A109" s="2"/>
      <c r="B109" s="5" t="s">
        <v>206</v>
      </c>
      <c r="C109" s="2"/>
      <c r="D109" s="2"/>
      <c r="E109" s="2"/>
      <c r="F109" s="16"/>
    </row>
    <row r="110" spans="1:6" ht="30" x14ac:dyDescent="0.2">
      <c r="A110" s="2" t="s">
        <v>1571</v>
      </c>
      <c r="B110" s="5" t="s">
        <v>208</v>
      </c>
      <c r="C110" s="7">
        <v>2.04</v>
      </c>
      <c r="D110" s="2" t="s">
        <v>86</v>
      </c>
      <c r="E110" s="8"/>
      <c r="F110" s="16">
        <f t="shared" si="6"/>
        <v>0</v>
      </c>
    </row>
    <row r="111" spans="1:6" x14ac:dyDescent="0.2">
      <c r="A111" s="2"/>
      <c r="B111" s="5" t="s">
        <v>209</v>
      </c>
      <c r="C111" s="2"/>
      <c r="D111" s="2"/>
      <c r="E111" s="2"/>
      <c r="F111" s="16"/>
    </row>
    <row r="112" spans="1:6" ht="20" x14ac:dyDescent="0.2">
      <c r="A112" s="2" t="s">
        <v>1572</v>
      </c>
      <c r="B112" s="5" t="s">
        <v>987</v>
      </c>
      <c r="C112" s="7">
        <v>1</v>
      </c>
      <c r="D112" s="2" t="s">
        <v>77</v>
      </c>
      <c r="E112" s="8"/>
      <c r="F112" s="16">
        <f t="shared" si="6"/>
        <v>0</v>
      </c>
    </row>
    <row r="113" spans="1:6" ht="20" x14ac:dyDescent="0.2">
      <c r="A113" s="2" t="s">
        <v>1573</v>
      </c>
      <c r="B113" s="5" t="s">
        <v>211</v>
      </c>
      <c r="C113" s="7">
        <v>1</v>
      </c>
      <c r="D113" s="2" t="s">
        <v>77</v>
      </c>
      <c r="E113" s="8"/>
      <c r="F113" s="16">
        <f t="shared" si="6"/>
        <v>0</v>
      </c>
    </row>
    <row r="114" spans="1:6" ht="20" x14ac:dyDescent="0.2">
      <c r="A114" s="2" t="s">
        <v>1574</v>
      </c>
      <c r="B114" s="5" t="s">
        <v>213</v>
      </c>
      <c r="C114" s="7">
        <v>2</v>
      </c>
      <c r="D114" s="2" t="s">
        <v>77</v>
      </c>
      <c r="E114" s="8"/>
      <c r="F114" s="16">
        <f t="shared" si="6"/>
        <v>0</v>
      </c>
    </row>
    <row r="115" spans="1:6" x14ac:dyDescent="0.2">
      <c r="A115" s="2"/>
      <c r="B115" s="5" t="s">
        <v>214</v>
      </c>
      <c r="C115" s="2"/>
      <c r="D115" s="2"/>
      <c r="E115" s="2"/>
    </row>
    <row r="116" spans="1:6" x14ac:dyDescent="0.2">
      <c r="A116" s="2" t="s">
        <v>1575</v>
      </c>
      <c r="B116" s="5" t="s">
        <v>216</v>
      </c>
      <c r="C116" s="7">
        <v>1</v>
      </c>
      <c r="D116" s="2" t="s">
        <v>77</v>
      </c>
      <c r="E116" s="8"/>
      <c r="F116" s="16">
        <f>C116*E116</f>
        <v>0</v>
      </c>
    </row>
    <row r="117" spans="1:6" x14ac:dyDescent="0.2">
      <c r="A117" s="2" t="s">
        <v>1576</v>
      </c>
      <c r="B117" s="5" t="s">
        <v>992</v>
      </c>
      <c r="C117" s="7">
        <v>1</v>
      </c>
      <c r="D117" s="2" t="s">
        <v>77</v>
      </c>
      <c r="E117" s="8"/>
      <c r="F117" s="16">
        <f>C117*E117</f>
        <v>0</v>
      </c>
    </row>
    <row r="118" spans="1:6" x14ac:dyDescent="0.2">
      <c r="A118" s="2" t="s">
        <v>1577</v>
      </c>
      <c r="B118" s="5" t="s">
        <v>218</v>
      </c>
      <c r="C118" s="7">
        <v>2</v>
      </c>
      <c r="D118" s="2" t="s">
        <v>77</v>
      </c>
      <c r="E118" s="8"/>
      <c r="F118" s="16">
        <f t="shared" ref="F118" si="7">C118*E118</f>
        <v>0</v>
      </c>
    </row>
    <row r="119" spans="1:6" ht="13" x14ac:dyDescent="0.3">
      <c r="B119" s="20" t="s">
        <v>219</v>
      </c>
      <c r="C119" s="9"/>
      <c r="D119" s="3"/>
      <c r="E119" s="9"/>
      <c r="F119" s="18">
        <f>SUM(F114:F118)</f>
        <v>0</v>
      </c>
    </row>
    <row r="121" spans="1:6" ht="10.5" x14ac:dyDescent="0.25">
      <c r="A121" s="6" t="s">
        <v>1578</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1579</v>
      </c>
      <c r="B124" s="5" t="s">
        <v>224</v>
      </c>
      <c r="C124" s="7">
        <v>1</v>
      </c>
      <c r="D124" s="2" t="s">
        <v>77</v>
      </c>
      <c r="E124" s="8"/>
      <c r="F124" s="16">
        <f t="shared" ref="F124:F126" si="8">C124*E124</f>
        <v>0</v>
      </c>
    </row>
    <row r="125" spans="1:6" x14ac:dyDescent="0.2">
      <c r="A125" s="2" t="s">
        <v>1580</v>
      </c>
      <c r="B125" s="5" t="s">
        <v>226</v>
      </c>
      <c r="C125" s="2"/>
      <c r="D125" s="2"/>
      <c r="E125" s="2"/>
      <c r="F125" s="2" t="s">
        <v>227</v>
      </c>
    </row>
    <row r="126" spans="1:6" x14ac:dyDescent="0.2">
      <c r="A126" s="2" t="s">
        <v>1581</v>
      </c>
      <c r="B126" s="5" t="s">
        <v>229</v>
      </c>
      <c r="C126" s="7">
        <v>1</v>
      </c>
      <c r="D126" s="2" t="s">
        <v>77</v>
      </c>
      <c r="E126" s="8"/>
      <c r="F126" s="16">
        <f t="shared" si="8"/>
        <v>0</v>
      </c>
    </row>
    <row r="127" spans="1:6" x14ac:dyDescent="0.2">
      <c r="A127" s="2" t="s">
        <v>1582</v>
      </c>
      <c r="B127" s="5" t="s">
        <v>1105</v>
      </c>
      <c r="C127" s="2"/>
      <c r="D127" s="2"/>
      <c r="E127" s="2"/>
      <c r="F127" s="2" t="s">
        <v>227</v>
      </c>
    </row>
    <row r="128" spans="1:6" x14ac:dyDescent="0.2">
      <c r="A128" s="2" t="s">
        <v>1583</v>
      </c>
      <c r="B128" s="5" t="s">
        <v>1107</v>
      </c>
      <c r="C128" s="2"/>
      <c r="D128" s="2"/>
      <c r="E128" s="2"/>
      <c r="F128" s="2" t="s">
        <v>227</v>
      </c>
    </row>
    <row r="129" spans="1:6" x14ac:dyDescent="0.2">
      <c r="A129" s="2" t="s">
        <v>1584</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1585</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1586</v>
      </c>
      <c r="B133" s="5" t="s">
        <v>252</v>
      </c>
      <c r="C133" s="7">
        <v>1</v>
      </c>
      <c r="D133" s="2" t="s">
        <v>77</v>
      </c>
      <c r="E133" s="8"/>
      <c r="F133" s="16">
        <f t="shared" ref="F133:F137" si="11">C133*E133</f>
        <v>0</v>
      </c>
    </row>
    <row r="134" spans="1:6" x14ac:dyDescent="0.2">
      <c r="A134" s="2" t="s">
        <v>1587</v>
      </c>
      <c r="B134" s="5" t="s">
        <v>254</v>
      </c>
      <c r="C134" s="7">
        <v>1</v>
      </c>
      <c r="D134" s="2" t="s">
        <v>77</v>
      </c>
      <c r="E134" s="8"/>
      <c r="F134" s="16">
        <f t="shared" si="11"/>
        <v>0</v>
      </c>
    </row>
    <row r="135" spans="1:6" x14ac:dyDescent="0.2">
      <c r="A135" s="2" t="s">
        <v>1588</v>
      </c>
      <c r="B135" s="5" t="s">
        <v>256</v>
      </c>
      <c r="C135" s="7">
        <v>1</v>
      </c>
      <c r="D135" s="2" t="s">
        <v>77</v>
      </c>
      <c r="E135" s="8"/>
      <c r="F135" s="16">
        <f t="shared" si="11"/>
        <v>0</v>
      </c>
    </row>
    <row r="136" spans="1:6" x14ac:dyDescent="0.2">
      <c r="A136" s="2" t="s">
        <v>1589</v>
      </c>
      <c r="B136" s="5" t="s">
        <v>258</v>
      </c>
      <c r="C136" s="7">
        <v>1</v>
      </c>
      <c r="D136" s="2" t="s">
        <v>77</v>
      </c>
      <c r="E136" s="8"/>
      <c r="F136" s="16">
        <f t="shared" si="11"/>
        <v>0</v>
      </c>
    </row>
    <row r="137" spans="1:6" x14ac:dyDescent="0.2">
      <c r="A137" s="2" t="s">
        <v>1590</v>
      </c>
      <c r="B137" s="5" t="s">
        <v>260</v>
      </c>
      <c r="C137" s="7">
        <v>1</v>
      </c>
      <c r="D137" s="2" t="s">
        <v>77</v>
      </c>
      <c r="E137" s="8"/>
      <c r="F137" s="16">
        <f t="shared" si="11"/>
        <v>0</v>
      </c>
    </row>
    <row r="138" spans="1:6" x14ac:dyDescent="0.2">
      <c r="A138" s="2"/>
      <c r="B138" s="5" t="s">
        <v>261</v>
      </c>
      <c r="C138" s="2"/>
      <c r="D138" s="2"/>
      <c r="E138" s="2"/>
    </row>
    <row r="139" spans="1:6" x14ac:dyDescent="0.2">
      <c r="A139" s="2" t="s">
        <v>1591</v>
      </c>
      <c r="B139" s="5" t="s">
        <v>263</v>
      </c>
      <c r="C139" s="7">
        <v>2</v>
      </c>
      <c r="D139" s="2" t="s">
        <v>77</v>
      </c>
      <c r="E139" s="8"/>
      <c r="F139" s="16">
        <f t="shared" ref="F139:F152" si="12">C139*E139</f>
        <v>0</v>
      </c>
    </row>
    <row r="140" spans="1:6" x14ac:dyDescent="0.2">
      <c r="A140" s="2" t="s">
        <v>1592</v>
      </c>
      <c r="B140" s="5" t="s">
        <v>252</v>
      </c>
      <c r="C140" s="7">
        <v>1</v>
      </c>
      <c r="D140" s="2" t="s">
        <v>77</v>
      </c>
      <c r="E140" s="8"/>
      <c r="F140" s="16">
        <f t="shared" si="12"/>
        <v>0</v>
      </c>
    </row>
    <row r="141" spans="1:6" x14ac:dyDescent="0.2">
      <c r="A141" s="2" t="s">
        <v>1593</v>
      </c>
      <c r="B141" s="5" t="s">
        <v>254</v>
      </c>
      <c r="C141" s="7">
        <v>3</v>
      </c>
      <c r="D141" s="2" t="s">
        <v>77</v>
      </c>
      <c r="E141" s="8"/>
      <c r="F141" s="16">
        <f t="shared" si="12"/>
        <v>0</v>
      </c>
    </row>
    <row r="142" spans="1:6" x14ac:dyDescent="0.2">
      <c r="A142" s="2" t="s">
        <v>1594</v>
      </c>
      <c r="B142" s="5" t="s">
        <v>267</v>
      </c>
      <c r="C142" s="7">
        <v>1</v>
      </c>
      <c r="D142" s="2" t="s">
        <v>77</v>
      </c>
      <c r="E142" s="8"/>
      <c r="F142" s="16">
        <f t="shared" si="12"/>
        <v>0</v>
      </c>
    </row>
    <row r="143" spans="1:6" x14ac:dyDescent="0.2">
      <c r="A143" s="2" t="s">
        <v>1595</v>
      </c>
      <c r="B143" s="5" t="s">
        <v>269</v>
      </c>
      <c r="C143" s="7">
        <v>2</v>
      </c>
      <c r="D143" s="2" t="s">
        <v>77</v>
      </c>
      <c r="E143" s="8"/>
      <c r="F143" s="16">
        <f t="shared" si="12"/>
        <v>0</v>
      </c>
    </row>
    <row r="144" spans="1:6" x14ac:dyDescent="0.2">
      <c r="A144" s="2" t="s">
        <v>1596</v>
      </c>
      <c r="B144" s="5" t="s">
        <v>256</v>
      </c>
      <c r="C144" s="7">
        <v>3</v>
      </c>
      <c r="D144" s="2" t="s">
        <v>77</v>
      </c>
      <c r="E144" s="8"/>
      <c r="F144" s="16">
        <f t="shared" si="12"/>
        <v>0</v>
      </c>
    </row>
    <row r="145" spans="1:6" x14ac:dyDescent="0.2">
      <c r="A145" s="2" t="s">
        <v>1597</v>
      </c>
      <c r="B145" s="5" t="s">
        <v>272</v>
      </c>
      <c r="C145" s="7">
        <v>4</v>
      </c>
      <c r="D145" s="2" t="s">
        <v>77</v>
      </c>
      <c r="E145" s="8"/>
      <c r="F145" s="16">
        <f t="shared" si="12"/>
        <v>0</v>
      </c>
    </row>
    <row r="146" spans="1:6" x14ac:dyDescent="0.2">
      <c r="A146" s="2" t="s">
        <v>1598</v>
      </c>
      <c r="B146" s="5" t="s">
        <v>274</v>
      </c>
      <c r="C146" s="7">
        <v>2</v>
      </c>
      <c r="D146" s="2" t="s">
        <v>77</v>
      </c>
      <c r="E146" s="8"/>
      <c r="F146" s="16">
        <f t="shared" si="12"/>
        <v>0</v>
      </c>
    </row>
    <row r="147" spans="1:6" x14ac:dyDescent="0.2">
      <c r="A147" s="2" t="s">
        <v>1599</v>
      </c>
      <c r="B147" s="5" t="s">
        <v>276</v>
      </c>
      <c r="C147" s="7">
        <v>2</v>
      </c>
      <c r="D147" s="2" t="s">
        <v>77</v>
      </c>
      <c r="E147" s="8"/>
      <c r="F147" s="16">
        <f t="shared" si="12"/>
        <v>0</v>
      </c>
    </row>
    <row r="148" spans="1:6" ht="20" x14ac:dyDescent="0.2">
      <c r="A148" s="2" t="s">
        <v>1600</v>
      </c>
      <c r="B148" s="5" t="s">
        <v>278</v>
      </c>
      <c r="C148" s="7">
        <v>2</v>
      </c>
      <c r="D148" s="2" t="s">
        <v>77</v>
      </c>
      <c r="E148" s="8"/>
      <c r="F148" s="16">
        <f t="shared" si="12"/>
        <v>0</v>
      </c>
    </row>
    <row r="149" spans="1:6" x14ac:dyDescent="0.2">
      <c r="A149" s="2" t="s">
        <v>1601</v>
      </c>
      <c r="B149" s="5" t="s">
        <v>258</v>
      </c>
      <c r="C149" s="7">
        <v>1</v>
      </c>
      <c r="D149" s="2" t="s">
        <v>77</v>
      </c>
      <c r="E149" s="8"/>
      <c r="F149" s="16">
        <f t="shared" si="12"/>
        <v>0</v>
      </c>
    </row>
    <row r="150" spans="1:6" x14ac:dyDescent="0.2">
      <c r="A150" s="2" t="s">
        <v>1602</v>
      </c>
      <c r="B150" s="5" t="s">
        <v>260</v>
      </c>
      <c r="C150" s="7">
        <v>1</v>
      </c>
      <c r="D150" s="2" t="s">
        <v>77</v>
      </c>
      <c r="E150" s="8"/>
      <c r="F150" s="16">
        <f>C150*E150</f>
        <v>0</v>
      </c>
    </row>
    <row r="151" spans="1:6" x14ac:dyDescent="0.2">
      <c r="A151" s="2" t="s">
        <v>1603</v>
      </c>
      <c r="B151" s="5" t="s">
        <v>282</v>
      </c>
      <c r="C151" s="7">
        <v>1</v>
      </c>
      <c r="D151" s="2" t="s">
        <v>77</v>
      </c>
      <c r="E151" s="8"/>
      <c r="F151" s="16">
        <f t="shared" si="12"/>
        <v>0</v>
      </c>
    </row>
    <row r="152" spans="1:6" x14ac:dyDescent="0.2">
      <c r="A152" s="2" t="s">
        <v>1604</v>
      </c>
      <c r="B152" s="5" t="s">
        <v>284</v>
      </c>
      <c r="C152" s="7">
        <v>2</v>
      </c>
      <c r="D152" s="2" t="s">
        <v>77</v>
      </c>
      <c r="E152" s="8"/>
      <c r="F152" s="16">
        <f t="shared" si="12"/>
        <v>0</v>
      </c>
    </row>
    <row r="153" spans="1:6" x14ac:dyDescent="0.2">
      <c r="A153" s="2"/>
      <c r="B153" s="5" t="s">
        <v>285</v>
      </c>
      <c r="C153" s="2"/>
      <c r="D153" s="2"/>
      <c r="E153" s="2"/>
    </row>
    <row r="154" spans="1:6" ht="60" x14ac:dyDescent="0.2">
      <c r="A154" s="2" t="s">
        <v>1605</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1606</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50" x14ac:dyDescent="0.2">
      <c r="A163" s="2" t="s">
        <v>1607</v>
      </c>
      <c r="B163" s="5" t="s">
        <v>295</v>
      </c>
      <c r="C163" s="7">
        <v>49</v>
      </c>
      <c r="D163" s="2" t="s">
        <v>89</v>
      </c>
      <c r="E163" s="8"/>
      <c r="F163" s="16">
        <f t="shared" ref="F163:F164" si="14">C163*E163</f>
        <v>0</v>
      </c>
    </row>
    <row r="164" spans="1:6" ht="50" x14ac:dyDescent="0.2">
      <c r="A164" s="2" t="s">
        <v>1608</v>
      </c>
      <c r="B164" s="5" t="s">
        <v>297</v>
      </c>
      <c r="C164" s="7">
        <v>5</v>
      </c>
      <c r="D164" s="2" t="s">
        <v>86</v>
      </c>
      <c r="E164" s="8"/>
      <c r="F164" s="16">
        <f t="shared" si="14"/>
        <v>0</v>
      </c>
    </row>
    <row r="165" spans="1:6" x14ac:dyDescent="0.2">
      <c r="A165" s="2"/>
      <c r="B165" s="5" t="s">
        <v>298</v>
      </c>
      <c r="C165" s="2"/>
      <c r="D165" s="2"/>
      <c r="E165" s="2"/>
    </row>
    <row r="166" spans="1:6" ht="30" x14ac:dyDescent="0.2">
      <c r="A166" s="2" t="s">
        <v>1609</v>
      </c>
      <c r="B166" s="5" t="s">
        <v>300</v>
      </c>
      <c r="C166" s="7">
        <v>3</v>
      </c>
      <c r="D166" s="2" t="s">
        <v>89</v>
      </c>
      <c r="E166" s="8"/>
      <c r="F166" s="16">
        <f>C166*E166</f>
        <v>0</v>
      </c>
    </row>
    <row r="167" spans="1:6" ht="13" x14ac:dyDescent="0.3">
      <c r="B167" s="20" t="s">
        <v>301</v>
      </c>
      <c r="C167" s="9"/>
      <c r="D167" s="3"/>
      <c r="E167" s="9"/>
      <c r="F167" s="18">
        <f>SUM(F163:F166)</f>
        <v>0</v>
      </c>
    </row>
    <row r="169" spans="1:6" ht="10.5" x14ac:dyDescent="0.25">
      <c r="A169" s="6" t="s">
        <v>1610</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1611</v>
      </c>
      <c r="B178" s="5" t="s">
        <v>312</v>
      </c>
      <c r="C178" s="7">
        <v>222</v>
      </c>
      <c r="D178" s="2" t="s">
        <v>89</v>
      </c>
      <c r="E178" s="7"/>
      <c r="F178" s="16">
        <f>C178*E178</f>
        <v>0</v>
      </c>
    </row>
    <row r="179" spans="1:6" ht="13" x14ac:dyDescent="0.3">
      <c r="B179" s="20" t="s">
        <v>313</v>
      </c>
      <c r="C179" s="9"/>
      <c r="D179" s="3"/>
      <c r="E179" s="9"/>
      <c r="F179" s="18">
        <f>SUM(F178)</f>
        <v>0</v>
      </c>
    </row>
    <row r="181" spans="1:6" ht="10.5" x14ac:dyDescent="0.25">
      <c r="A181" s="6" t="s">
        <v>1612</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1613</v>
      </c>
      <c r="B191" s="5" t="s">
        <v>325</v>
      </c>
      <c r="C191" s="7">
        <v>222</v>
      </c>
      <c r="D191" s="2" t="s">
        <v>89</v>
      </c>
      <c r="E191" s="7"/>
      <c r="F191" s="16">
        <f>C191*E191</f>
        <v>0</v>
      </c>
    </row>
    <row r="192" spans="1:6" ht="13" x14ac:dyDescent="0.3">
      <c r="B192" s="20" t="s">
        <v>326</v>
      </c>
      <c r="C192" s="9"/>
      <c r="D192" s="3"/>
      <c r="E192" s="9"/>
      <c r="F192" s="18">
        <f>SUM(F191)</f>
        <v>0</v>
      </c>
    </row>
    <row r="194" spans="1:6" ht="10.5" x14ac:dyDescent="0.25">
      <c r="A194" s="6" t="s">
        <v>1614</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1615</v>
      </c>
      <c r="B207" s="5" t="s">
        <v>341</v>
      </c>
      <c r="C207" s="7">
        <v>222</v>
      </c>
      <c r="D207" s="2" t="s">
        <v>89</v>
      </c>
      <c r="E207" s="7"/>
      <c r="F207" s="16">
        <f>C207*E207</f>
        <v>0</v>
      </c>
    </row>
    <row r="208" spans="1:6" ht="21.5" x14ac:dyDescent="0.3">
      <c r="B208" s="20" t="s">
        <v>342</v>
      </c>
      <c r="C208" s="9"/>
      <c r="D208" s="3"/>
      <c r="E208" s="9"/>
      <c r="F208" s="18">
        <f>SUM(F207)</f>
        <v>0</v>
      </c>
    </row>
    <row r="209" spans="2:6" ht="13" x14ac:dyDescent="0.3">
      <c r="B209" s="20" t="s">
        <v>1616</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98D5-7AC2-4E17-9435-7064ADBFB13F}">
  <sheetPr codeName="Sheet16">
    <pageSetUpPr fitToPage="1"/>
  </sheetPr>
  <dimension ref="A1:F209"/>
  <sheetViews>
    <sheetView zoomScaleNormal="100" workbookViewId="0">
      <pane ySplit="3" topLeftCell="A5"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5" x14ac:dyDescent="0.35">
      <c r="A1" s="87" t="s">
        <v>1821</v>
      </c>
      <c r="B1" s="88"/>
      <c r="C1" s="88"/>
      <c r="D1" s="88"/>
      <c r="E1" s="88"/>
      <c r="F1" s="88"/>
    </row>
    <row r="3" spans="1:6" ht="10.5" x14ac:dyDescent="0.25">
      <c r="A3" s="3" t="s">
        <v>1</v>
      </c>
      <c r="B3" s="20" t="s">
        <v>2</v>
      </c>
      <c r="C3" s="4" t="s">
        <v>4</v>
      </c>
      <c r="D3" s="3" t="s">
        <v>63</v>
      </c>
      <c r="E3" s="4" t="s">
        <v>5</v>
      </c>
      <c r="F3" s="4" t="s">
        <v>12</v>
      </c>
    </row>
    <row r="4" spans="1:6" x14ac:dyDescent="0.2">
      <c r="A4" s="2"/>
      <c r="B4" s="5"/>
      <c r="C4" s="2"/>
      <c r="D4" s="2"/>
      <c r="E4" s="2"/>
    </row>
    <row r="5" spans="1:6" x14ac:dyDescent="0.2">
      <c r="A5" s="2"/>
      <c r="B5" s="5" t="s">
        <v>64</v>
      </c>
      <c r="C5" s="2"/>
      <c r="D5" s="2"/>
      <c r="E5" s="2"/>
    </row>
    <row r="6" spans="1:6" ht="10.5" x14ac:dyDescent="0.25">
      <c r="A6" s="3" t="s">
        <v>1617</v>
      </c>
      <c r="B6" s="20" t="s">
        <v>1618</v>
      </c>
    </row>
    <row r="7" spans="1:6" x14ac:dyDescent="0.2">
      <c r="A7" s="2"/>
      <c r="B7" s="5"/>
      <c r="C7" s="2"/>
      <c r="D7" s="2"/>
      <c r="E7" s="2"/>
    </row>
    <row r="8" spans="1:6" x14ac:dyDescent="0.2">
      <c r="A8" s="2"/>
      <c r="B8" s="5" t="s">
        <v>67</v>
      </c>
      <c r="C8" s="2"/>
      <c r="D8" s="2"/>
      <c r="E8" s="2"/>
    </row>
    <row r="10" spans="1:6" ht="10.5" x14ac:dyDescent="0.25">
      <c r="A10" s="6" t="s">
        <v>1619</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1620</v>
      </c>
      <c r="B15" s="5" t="s">
        <v>76</v>
      </c>
      <c r="C15" s="7">
        <v>14</v>
      </c>
      <c r="D15" s="2" t="s">
        <v>77</v>
      </c>
      <c r="E15" s="8"/>
      <c r="F15" s="16">
        <f>C15*E15</f>
        <v>0</v>
      </c>
    </row>
    <row r="16" spans="1:6" x14ac:dyDescent="0.2">
      <c r="A16" s="2" t="s">
        <v>1621</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1622</v>
      </c>
      <c r="B18" s="5" t="s">
        <v>83</v>
      </c>
      <c r="C18" s="7">
        <v>1</v>
      </c>
      <c r="D18" s="2" t="s">
        <v>80</v>
      </c>
      <c r="E18" s="8"/>
      <c r="F18" s="16">
        <f t="shared" si="0"/>
        <v>0</v>
      </c>
    </row>
    <row r="19" spans="1:6" x14ac:dyDescent="0.2">
      <c r="A19" s="2"/>
      <c r="B19" s="5" t="s">
        <v>69</v>
      </c>
      <c r="C19" s="2"/>
      <c r="D19" s="2"/>
      <c r="E19" s="2"/>
      <c r="F19" s="16"/>
    </row>
    <row r="20" spans="1:6" ht="20" x14ac:dyDescent="0.2">
      <c r="A20" s="2" t="s">
        <v>1623</v>
      </c>
      <c r="B20" s="5" t="s">
        <v>85</v>
      </c>
      <c r="C20" s="7">
        <v>11</v>
      </c>
      <c r="D20" s="2" t="s">
        <v>86</v>
      </c>
      <c r="E20" s="8"/>
      <c r="F20" s="16">
        <f t="shared" si="0"/>
        <v>0</v>
      </c>
    </row>
    <row r="21" spans="1:6" x14ac:dyDescent="0.2">
      <c r="A21" s="2" t="s">
        <v>1624</v>
      </c>
      <c r="B21" s="5" t="s">
        <v>88</v>
      </c>
      <c r="C21" s="7">
        <v>6</v>
      </c>
      <c r="D21" s="2" t="s">
        <v>89</v>
      </c>
      <c r="E21" s="8"/>
      <c r="F21" s="16">
        <f t="shared" si="0"/>
        <v>0</v>
      </c>
    </row>
    <row r="22" spans="1:6" ht="30" x14ac:dyDescent="0.2">
      <c r="A22" s="2" t="s">
        <v>1625</v>
      </c>
      <c r="B22" s="5" t="s">
        <v>91</v>
      </c>
      <c r="C22" s="7">
        <v>50</v>
      </c>
      <c r="D22" s="2" t="s">
        <v>89</v>
      </c>
      <c r="E22" s="8"/>
      <c r="F22" s="16">
        <f t="shared" si="0"/>
        <v>0</v>
      </c>
    </row>
    <row r="23" spans="1:6" x14ac:dyDescent="0.2">
      <c r="A23" s="2" t="s">
        <v>1626</v>
      </c>
      <c r="B23" s="5" t="s">
        <v>93</v>
      </c>
      <c r="C23" s="7">
        <v>11</v>
      </c>
      <c r="D23" s="2" t="s">
        <v>86</v>
      </c>
      <c r="E23" s="8"/>
      <c r="F23" s="16">
        <f t="shared" si="0"/>
        <v>0</v>
      </c>
    </row>
    <row r="24" spans="1:6" x14ac:dyDescent="0.2">
      <c r="A24" s="2" t="s">
        <v>1627</v>
      </c>
      <c r="B24" s="5" t="s">
        <v>95</v>
      </c>
      <c r="C24" s="7">
        <v>13</v>
      </c>
      <c r="D24" s="2" t="s">
        <v>77</v>
      </c>
      <c r="E24" s="8"/>
      <c r="F24" s="16">
        <f t="shared" si="0"/>
        <v>0</v>
      </c>
    </row>
    <row r="25" spans="1:6" ht="20" x14ac:dyDescent="0.2">
      <c r="A25" s="2" t="s">
        <v>1628</v>
      </c>
      <c r="B25" s="5" t="s">
        <v>97</v>
      </c>
      <c r="C25" s="7">
        <v>10</v>
      </c>
      <c r="D25" s="2" t="s">
        <v>86</v>
      </c>
      <c r="E25" s="8"/>
      <c r="F25" s="16">
        <f t="shared" si="0"/>
        <v>0</v>
      </c>
    </row>
    <row r="26" spans="1:6" x14ac:dyDescent="0.2">
      <c r="A26" s="2" t="s">
        <v>1629</v>
      </c>
      <c r="B26" s="5" t="s">
        <v>99</v>
      </c>
      <c r="C26" s="7">
        <v>155</v>
      </c>
      <c r="D26" s="2" t="s">
        <v>89</v>
      </c>
      <c r="E26" s="8"/>
      <c r="F26" s="16">
        <f t="shared" si="0"/>
        <v>0</v>
      </c>
    </row>
    <row r="27" spans="1:6" x14ac:dyDescent="0.2">
      <c r="A27" s="2" t="s">
        <v>1630</v>
      </c>
      <c r="B27" s="5" t="s">
        <v>101</v>
      </c>
      <c r="C27" s="7">
        <v>2</v>
      </c>
      <c r="D27" s="2" t="s">
        <v>77</v>
      </c>
      <c r="E27" s="8"/>
      <c r="F27" s="16">
        <f t="shared" si="0"/>
        <v>0</v>
      </c>
    </row>
    <row r="28" spans="1:6" x14ac:dyDescent="0.2">
      <c r="A28" s="2" t="s">
        <v>1631</v>
      </c>
      <c r="B28" s="5" t="s">
        <v>103</v>
      </c>
      <c r="C28" s="7">
        <v>1</v>
      </c>
      <c r="D28" s="2" t="s">
        <v>104</v>
      </c>
      <c r="E28" s="8"/>
      <c r="F28" s="16">
        <f t="shared" si="0"/>
        <v>0</v>
      </c>
    </row>
    <row r="29" spans="1:6" x14ac:dyDescent="0.2">
      <c r="A29" s="2" t="s">
        <v>1632</v>
      </c>
      <c r="B29" s="5" t="s">
        <v>106</v>
      </c>
      <c r="C29" s="7">
        <v>1</v>
      </c>
      <c r="D29" s="2" t="s">
        <v>77</v>
      </c>
      <c r="E29" s="8"/>
      <c r="F29" s="16">
        <f t="shared" si="0"/>
        <v>0</v>
      </c>
    </row>
    <row r="30" spans="1:6" x14ac:dyDescent="0.2">
      <c r="A30" s="2" t="s">
        <v>1633</v>
      </c>
      <c r="B30" s="5" t="s">
        <v>108</v>
      </c>
      <c r="C30" s="7">
        <v>72</v>
      </c>
      <c r="D30" s="2" t="s">
        <v>89</v>
      </c>
      <c r="E30" s="8"/>
      <c r="F30" s="16">
        <f t="shared" si="0"/>
        <v>0</v>
      </c>
    </row>
    <row r="31" spans="1:6" ht="20" x14ac:dyDescent="0.2">
      <c r="A31" s="2" t="s">
        <v>1634</v>
      </c>
      <c r="B31" s="5" t="s">
        <v>110</v>
      </c>
      <c r="C31" s="7">
        <v>1</v>
      </c>
      <c r="D31" s="2" t="s">
        <v>77</v>
      </c>
      <c r="E31" s="8"/>
      <c r="F31" s="16">
        <f t="shared" si="0"/>
        <v>0</v>
      </c>
    </row>
    <row r="32" spans="1:6" ht="20" x14ac:dyDescent="0.2">
      <c r="A32" s="2" t="s">
        <v>1635</v>
      </c>
      <c r="B32" s="5" t="s">
        <v>112</v>
      </c>
      <c r="C32" s="7">
        <v>28</v>
      </c>
      <c r="D32" s="2" t="s">
        <v>86</v>
      </c>
      <c r="E32" s="8"/>
      <c r="F32" s="16">
        <f t="shared" si="0"/>
        <v>0</v>
      </c>
    </row>
    <row r="33" spans="1:6" ht="40" x14ac:dyDescent="0.2">
      <c r="A33" s="2" t="s">
        <v>1636</v>
      </c>
      <c r="B33" s="5" t="s">
        <v>114</v>
      </c>
      <c r="C33" s="7">
        <v>46</v>
      </c>
      <c r="D33" s="2" t="s">
        <v>89</v>
      </c>
      <c r="E33" s="8"/>
      <c r="F33" s="16">
        <f t="shared" si="0"/>
        <v>0</v>
      </c>
    </row>
    <row r="34" spans="1:6" x14ac:dyDescent="0.2">
      <c r="A34" s="2"/>
      <c r="B34" s="5" t="s">
        <v>115</v>
      </c>
      <c r="C34" s="2"/>
      <c r="D34" s="2"/>
      <c r="E34" s="2"/>
      <c r="F34" s="16"/>
    </row>
    <row r="35" spans="1:6" ht="30" x14ac:dyDescent="0.2">
      <c r="A35" s="2" t="s">
        <v>1637</v>
      </c>
      <c r="B35" s="5" t="s">
        <v>117</v>
      </c>
      <c r="C35" s="7">
        <v>1</v>
      </c>
      <c r="D35" s="2" t="s">
        <v>80</v>
      </c>
      <c r="E35" s="8"/>
      <c r="F35" s="16">
        <f t="shared" si="0"/>
        <v>0</v>
      </c>
    </row>
    <row r="36" spans="1:6" x14ac:dyDescent="0.2">
      <c r="A36" s="2" t="s">
        <v>1638</v>
      </c>
      <c r="B36" s="5" t="s">
        <v>119</v>
      </c>
      <c r="C36" s="7">
        <v>1</v>
      </c>
      <c r="D36" s="2" t="s">
        <v>104</v>
      </c>
      <c r="E36" s="8"/>
      <c r="F36" s="16">
        <f t="shared" si="0"/>
        <v>0</v>
      </c>
    </row>
    <row r="37" spans="1:6" ht="20" x14ac:dyDescent="0.2">
      <c r="A37" s="2" t="s">
        <v>1639</v>
      </c>
      <c r="B37" s="5" t="s">
        <v>121</v>
      </c>
      <c r="C37" s="7">
        <v>1</v>
      </c>
      <c r="D37" s="2" t="s">
        <v>104</v>
      </c>
      <c r="E37" s="8"/>
      <c r="F37" s="16">
        <f t="shared" si="0"/>
        <v>0</v>
      </c>
    </row>
    <row r="38" spans="1:6" x14ac:dyDescent="0.2">
      <c r="A38" s="2" t="s">
        <v>1640</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1641</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1642</v>
      </c>
      <c r="B51" s="5" t="s">
        <v>137</v>
      </c>
      <c r="C51" s="7">
        <v>413</v>
      </c>
      <c r="D51" s="2" t="s">
        <v>89</v>
      </c>
      <c r="E51" s="8"/>
      <c r="F51" s="16">
        <f t="shared" ref="F51" si="1">C51*E51</f>
        <v>0</v>
      </c>
    </row>
    <row r="52" spans="1:6" x14ac:dyDescent="0.2">
      <c r="A52" s="2"/>
      <c r="B52" s="5" t="s">
        <v>138</v>
      </c>
      <c r="C52" s="2"/>
      <c r="D52" s="2"/>
      <c r="E52" s="2"/>
    </row>
    <row r="53" spans="1:6" ht="30" x14ac:dyDescent="0.2">
      <c r="A53" s="2" t="s">
        <v>1643</v>
      </c>
      <c r="B53" s="5" t="s">
        <v>140</v>
      </c>
      <c r="C53" s="7">
        <v>67</v>
      </c>
      <c r="D53" s="2" t="s">
        <v>89</v>
      </c>
      <c r="E53" s="8"/>
      <c r="F53" s="16">
        <f t="shared" ref="F53:F56" si="2">C53*E53</f>
        <v>0</v>
      </c>
    </row>
    <row r="54" spans="1:6" ht="40" x14ac:dyDescent="0.2">
      <c r="A54" s="2" t="s">
        <v>1644</v>
      </c>
      <c r="B54" s="5" t="s">
        <v>964</v>
      </c>
      <c r="C54" s="7">
        <v>7</v>
      </c>
      <c r="D54" s="2" t="s">
        <v>89</v>
      </c>
      <c r="E54" s="8"/>
      <c r="F54" s="16">
        <f t="shared" si="2"/>
        <v>0</v>
      </c>
    </row>
    <row r="55" spans="1:6" ht="30" x14ac:dyDescent="0.2">
      <c r="A55" s="2" t="s">
        <v>1645</v>
      </c>
      <c r="B55" s="5" t="s">
        <v>142</v>
      </c>
      <c r="C55" s="7">
        <v>4</v>
      </c>
      <c r="D55" s="2" t="s">
        <v>89</v>
      </c>
      <c r="E55" s="8"/>
      <c r="F55" s="16">
        <f t="shared" si="2"/>
        <v>0</v>
      </c>
    </row>
    <row r="56" spans="1:6" ht="20" x14ac:dyDescent="0.2">
      <c r="A56" s="2" t="s">
        <v>1646</v>
      </c>
      <c r="B56" s="5" t="s">
        <v>144</v>
      </c>
      <c r="C56" s="7">
        <v>96</v>
      </c>
      <c r="D56" s="2" t="s">
        <v>89</v>
      </c>
      <c r="E56" s="8"/>
      <c r="F56" s="16">
        <f t="shared" si="2"/>
        <v>0</v>
      </c>
    </row>
    <row r="57" spans="1:6" x14ac:dyDescent="0.2">
      <c r="A57" s="2"/>
      <c r="B57" s="5" t="s">
        <v>145</v>
      </c>
      <c r="C57" s="2"/>
      <c r="D57" s="2"/>
      <c r="E57" s="2"/>
    </row>
    <row r="58" spans="1:6" ht="30" x14ac:dyDescent="0.2">
      <c r="A58" s="2" t="s">
        <v>1647</v>
      </c>
      <c r="B58" s="5" t="s">
        <v>147</v>
      </c>
      <c r="C58" s="7">
        <v>145</v>
      </c>
      <c r="D58" s="2" t="s">
        <v>86</v>
      </c>
      <c r="E58" s="8"/>
      <c r="F58" s="16">
        <f t="shared" ref="F58" si="3">C58*E58</f>
        <v>0</v>
      </c>
    </row>
    <row r="59" spans="1:6" x14ac:dyDescent="0.2">
      <c r="A59" s="2"/>
      <c r="B59" s="5" t="s">
        <v>148</v>
      </c>
      <c r="C59" s="2"/>
      <c r="D59" s="2"/>
      <c r="E59" s="2"/>
    </row>
    <row r="60" spans="1:6" ht="30" x14ac:dyDescent="0.2">
      <c r="A60" s="2" t="s">
        <v>1648</v>
      </c>
      <c r="B60" s="5" t="s">
        <v>150</v>
      </c>
      <c r="C60" s="7">
        <v>13</v>
      </c>
      <c r="D60" s="2" t="s">
        <v>77</v>
      </c>
      <c r="E60" s="8"/>
      <c r="F60" s="16">
        <f t="shared" ref="F60" si="4">C60*E60</f>
        <v>0</v>
      </c>
    </row>
    <row r="61" spans="1:6" ht="13" x14ac:dyDescent="0.3">
      <c r="B61" s="20" t="s">
        <v>151</v>
      </c>
      <c r="C61" s="9"/>
      <c r="D61" s="3"/>
      <c r="E61" s="9"/>
      <c r="F61" s="18">
        <f>SUM(F51:F60)</f>
        <v>0</v>
      </c>
    </row>
    <row r="63" spans="1:6" ht="10.5" x14ac:dyDescent="0.25">
      <c r="A63" s="6" t="s">
        <v>1649</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1650</v>
      </c>
      <c r="B69" s="5" t="s">
        <v>158</v>
      </c>
      <c r="C69" s="7">
        <v>134</v>
      </c>
      <c r="D69" s="2" t="s">
        <v>89</v>
      </c>
      <c r="E69" s="8"/>
      <c r="F69" s="16">
        <f t="shared" ref="F69" si="5">C69*E69</f>
        <v>0</v>
      </c>
    </row>
    <row r="70" spans="1:6" ht="40" x14ac:dyDescent="0.2">
      <c r="A70" s="2" t="s">
        <v>1651</v>
      </c>
      <c r="B70" s="5" t="s">
        <v>160</v>
      </c>
      <c r="C70" s="7">
        <v>18</v>
      </c>
      <c r="D70" s="2" t="s">
        <v>89</v>
      </c>
      <c r="E70" s="8"/>
      <c r="F70" s="16">
        <f>C70*E70</f>
        <v>0</v>
      </c>
    </row>
    <row r="71" spans="1:6" x14ac:dyDescent="0.2">
      <c r="A71" s="2"/>
      <c r="B71" s="5" t="s">
        <v>161</v>
      </c>
      <c r="C71" s="2"/>
      <c r="D71" s="2"/>
      <c r="E71" s="2"/>
    </row>
    <row r="72" spans="1:6" x14ac:dyDescent="0.2">
      <c r="A72" s="2" t="s">
        <v>1652</v>
      </c>
      <c r="B72" s="5" t="s">
        <v>163</v>
      </c>
      <c r="C72" s="7">
        <v>17.77</v>
      </c>
      <c r="D72" s="2" t="s">
        <v>86</v>
      </c>
      <c r="E72" s="8"/>
      <c r="F72" s="16">
        <f t="shared" ref="F72:F73" si="6">C72*E72</f>
        <v>0</v>
      </c>
    </row>
    <row r="73" spans="1:6" ht="20" x14ac:dyDescent="0.2">
      <c r="A73" s="2" t="s">
        <v>1653</v>
      </c>
      <c r="B73" s="5" t="s">
        <v>165</v>
      </c>
      <c r="C73" s="7">
        <v>10</v>
      </c>
      <c r="D73" s="2" t="s">
        <v>89</v>
      </c>
      <c r="E73" s="8"/>
      <c r="F73" s="16">
        <f t="shared" si="6"/>
        <v>0</v>
      </c>
    </row>
    <row r="74" spans="1:6" ht="13" x14ac:dyDescent="0.3">
      <c r="B74" s="20" t="s">
        <v>166</v>
      </c>
      <c r="C74" s="9"/>
      <c r="D74" s="3"/>
      <c r="E74" s="9"/>
      <c r="F74" s="18">
        <f>SUM(F69:F73)</f>
        <v>0</v>
      </c>
    </row>
    <row r="76" spans="1:6" ht="10.5" x14ac:dyDescent="0.25">
      <c r="A76" s="6" t="s">
        <v>1654</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1655</v>
      </c>
      <c r="B80" s="5" t="s">
        <v>172</v>
      </c>
      <c r="C80" s="7">
        <v>178</v>
      </c>
      <c r="D80" s="2" t="s">
        <v>89</v>
      </c>
      <c r="E80" s="8"/>
      <c r="F80" s="16">
        <f t="shared" ref="F80" si="7">C80*E80</f>
        <v>0</v>
      </c>
    </row>
    <row r="81" spans="1:6" ht="13" x14ac:dyDescent="0.3">
      <c r="B81" s="20" t="s">
        <v>173</v>
      </c>
      <c r="C81" s="9"/>
      <c r="D81" s="3"/>
      <c r="E81" s="9"/>
      <c r="F81" s="18">
        <f>SUM(F80)</f>
        <v>0</v>
      </c>
    </row>
    <row r="83" spans="1:6" ht="10.5" x14ac:dyDescent="0.25">
      <c r="A83" s="6" t="s">
        <v>1656</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1657</v>
      </c>
      <c r="B88" s="5" t="s">
        <v>179</v>
      </c>
      <c r="C88" s="7">
        <v>1</v>
      </c>
      <c r="D88" s="2" t="s">
        <v>77</v>
      </c>
      <c r="E88" s="8"/>
      <c r="F88" s="16">
        <f t="shared" ref="F88:F90" si="8">C88*E88</f>
        <v>0</v>
      </c>
    </row>
    <row r="89" spans="1:6" ht="20" x14ac:dyDescent="0.2">
      <c r="A89" s="2" t="s">
        <v>1658</v>
      </c>
      <c r="B89" s="5" t="s">
        <v>181</v>
      </c>
      <c r="C89" s="7">
        <v>13</v>
      </c>
      <c r="D89" s="2" t="s">
        <v>77</v>
      </c>
      <c r="E89" s="8"/>
      <c r="F89" s="16">
        <f t="shared" si="8"/>
        <v>0</v>
      </c>
    </row>
    <row r="90" spans="1:6" ht="30" x14ac:dyDescent="0.2">
      <c r="A90" s="2" t="s">
        <v>1659</v>
      </c>
      <c r="B90" s="5" t="s">
        <v>183</v>
      </c>
      <c r="C90" s="7">
        <v>1</v>
      </c>
      <c r="D90" s="2" t="s">
        <v>77</v>
      </c>
      <c r="E90" s="8"/>
      <c r="F90" s="16">
        <f t="shared" si="8"/>
        <v>0</v>
      </c>
    </row>
    <row r="91" spans="1:6" ht="13" x14ac:dyDescent="0.3">
      <c r="B91" s="20" t="s">
        <v>184</v>
      </c>
      <c r="C91" s="9"/>
      <c r="D91" s="3"/>
      <c r="E91" s="9"/>
      <c r="F91" s="18">
        <f>SUM(F86:F90)</f>
        <v>0</v>
      </c>
    </row>
    <row r="93" spans="1:6" ht="10.5" x14ac:dyDescent="0.25">
      <c r="A93" s="6" t="s">
        <v>1660</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1661</v>
      </c>
      <c r="B101" s="5" t="s">
        <v>1086</v>
      </c>
      <c r="C101" s="7">
        <v>10.65</v>
      </c>
      <c r="D101" s="2" t="s">
        <v>86</v>
      </c>
      <c r="E101" s="8"/>
      <c r="F101" s="16">
        <f t="shared" ref="F101" si="9">C101*E101</f>
        <v>0</v>
      </c>
    </row>
    <row r="102" spans="1:6" x14ac:dyDescent="0.2">
      <c r="A102" s="2"/>
      <c r="B102" s="5" t="s">
        <v>195</v>
      </c>
      <c r="C102" s="2"/>
      <c r="D102" s="2"/>
      <c r="E102" s="2"/>
    </row>
    <row r="103" spans="1:6" ht="50" x14ac:dyDescent="0.2">
      <c r="A103" s="2" t="s">
        <v>1662</v>
      </c>
      <c r="B103" s="5" t="s">
        <v>1088</v>
      </c>
      <c r="C103" s="7">
        <v>3.6</v>
      </c>
      <c r="D103" s="2" t="s">
        <v>86</v>
      </c>
      <c r="E103" s="8"/>
      <c r="F103" s="16">
        <f t="shared" ref="F103" si="10">C103*E103</f>
        <v>0</v>
      </c>
    </row>
    <row r="104" spans="1:6" x14ac:dyDescent="0.2">
      <c r="A104" s="2"/>
      <c r="B104" s="5" t="s">
        <v>198</v>
      </c>
      <c r="C104" s="2"/>
      <c r="D104" s="2"/>
      <c r="E104" s="2"/>
    </row>
    <row r="105" spans="1:6" ht="40" x14ac:dyDescent="0.2">
      <c r="A105" s="2" t="s">
        <v>1663</v>
      </c>
      <c r="B105" s="5" t="s">
        <v>200</v>
      </c>
      <c r="C105" s="7">
        <v>3.14</v>
      </c>
      <c r="D105" s="2" t="s">
        <v>86</v>
      </c>
      <c r="E105" s="8"/>
      <c r="F105" s="16">
        <f t="shared" ref="F105:F106" si="11">C105*E105</f>
        <v>0</v>
      </c>
    </row>
    <row r="106" spans="1:6" ht="40" x14ac:dyDescent="0.2">
      <c r="A106" s="2" t="s">
        <v>1664</v>
      </c>
      <c r="B106" s="5" t="s">
        <v>202</v>
      </c>
      <c r="C106" s="7">
        <v>3.65</v>
      </c>
      <c r="D106" s="2" t="s">
        <v>86</v>
      </c>
      <c r="E106" s="8"/>
      <c r="F106" s="16">
        <f t="shared" si="11"/>
        <v>0</v>
      </c>
    </row>
    <row r="107" spans="1:6" x14ac:dyDescent="0.2">
      <c r="A107" s="2"/>
      <c r="B107" s="5" t="s">
        <v>203</v>
      </c>
      <c r="C107" s="2"/>
      <c r="D107" s="2"/>
      <c r="E107" s="2"/>
    </row>
    <row r="108" spans="1:6" ht="30" x14ac:dyDescent="0.2">
      <c r="A108" s="2" t="s">
        <v>1665</v>
      </c>
      <c r="B108" s="5" t="s">
        <v>205</v>
      </c>
      <c r="C108" s="7">
        <v>2.78</v>
      </c>
      <c r="D108" s="2" t="s">
        <v>86</v>
      </c>
      <c r="E108" s="8"/>
      <c r="F108" s="16">
        <f t="shared" ref="F108" si="12">C108*E108</f>
        <v>0</v>
      </c>
    </row>
    <row r="109" spans="1:6" x14ac:dyDescent="0.2">
      <c r="A109" s="2"/>
      <c r="B109" s="5" t="s">
        <v>206</v>
      </c>
      <c r="C109" s="2"/>
      <c r="D109" s="2"/>
      <c r="E109" s="2"/>
    </row>
    <row r="110" spans="1:6" ht="30" x14ac:dyDescent="0.2">
      <c r="A110" s="2" t="s">
        <v>1666</v>
      </c>
      <c r="B110" s="5" t="s">
        <v>208</v>
      </c>
      <c r="C110" s="7">
        <v>2.0699999999999998</v>
      </c>
      <c r="D110" s="2" t="s">
        <v>86</v>
      </c>
      <c r="E110" s="8"/>
      <c r="F110" s="16">
        <f t="shared" ref="F110" si="13">C110*E110</f>
        <v>0</v>
      </c>
    </row>
    <row r="111" spans="1:6" x14ac:dyDescent="0.2">
      <c r="A111" s="2"/>
      <c r="B111" s="5" t="s">
        <v>209</v>
      </c>
      <c r="C111" s="2"/>
      <c r="D111" s="2"/>
      <c r="E111" s="2"/>
    </row>
    <row r="112" spans="1:6" ht="20" x14ac:dyDescent="0.2">
      <c r="A112" s="2" t="s">
        <v>1667</v>
      </c>
      <c r="B112" s="5" t="s">
        <v>987</v>
      </c>
      <c r="C112" s="7">
        <v>1</v>
      </c>
      <c r="D112" s="2" t="s">
        <v>77</v>
      </c>
      <c r="E112" s="8"/>
      <c r="F112" s="16">
        <f t="shared" ref="F112:F114" si="14">C112*E112</f>
        <v>0</v>
      </c>
    </row>
    <row r="113" spans="1:6" ht="20" x14ac:dyDescent="0.2">
      <c r="A113" s="2" t="s">
        <v>1668</v>
      </c>
      <c r="B113" s="5" t="s">
        <v>211</v>
      </c>
      <c r="C113" s="7">
        <v>1</v>
      </c>
      <c r="D113" s="2" t="s">
        <v>77</v>
      </c>
      <c r="E113" s="8"/>
      <c r="F113" s="16">
        <f t="shared" si="14"/>
        <v>0</v>
      </c>
    </row>
    <row r="114" spans="1:6" ht="20" x14ac:dyDescent="0.2">
      <c r="A114" s="2" t="s">
        <v>1669</v>
      </c>
      <c r="B114" s="5" t="s">
        <v>213</v>
      </c>
      <c r="C114" s="7">
        <v>2</v>
      </c>
      <c r="D114" s="2" t="s">
        <v>77</v>
      </c>
      <c r="E114" s="8"/>
      <c r="F114" s="16">
        <f t="shared" si="14"/>
        <v>0</v>
      </c>
    </row>
    <row r="115" spans="1:6" x14ac:dyDescent="0.2">
      <c r="A115" s="2"/>
      <c r="B115" s="5" t="s">
        <v>214</v>
      </c>
      <c r="C115" s="2"/>
      <c r="D115" s="2"/>
      <c r="E115" s="2"/>
    </row>
    <row r="116" spans="1:6" x14ac:dyDescent="0.2">
      <c r="A116" s="2" t="s">
        <v>1670</v>
      </c>
      <c r="B116" s="5" t="s">
        <v>216</v>
      </c>
      <c r="C116" s="7">
        <v>1</v>
      </c>
      <c r="D116" s="2" t="s">
        <v>77</v>
      </c>
      <c r="E116" s="8"/>
      <c r="F116" s="16">
        <f t="shared" ref="F116:F118" si="15">C116*E116</f>
        <v>0</v>
      </c>
    </row>
    <row r="117" spans="1:6" x14ac:dyDescent="0.2">
      <c r="A117" s="2" t="s">
        <v>1671</v>
      </c>
      <c r="B117" s="5" t="s">
        <v>992</v>
      </c>
      <c r="C117" s="7">
        <v>1</v>
      </c>
      <c r="D117" s="2" t="s">
        <v>77</v>
      </c>
      <c r="E117" s="8"/>
      <c r="F117" s="16">
        <f t="shared" si="15"/>
        <v>0</v>
      </c>
    </row>
    <row r="118" spans="1:6" x14ac:dyDescent="0.2">
      <c r="A118" s="2" t="s">
        <v>1672</v>
      </c>
      <c r="B118" s="5" t="s">
        <v>218</v>
      </c>
      <c r="C118" s="7">
        <v>2</v>
      </c>
      <c r="D118" s="2" t="s">
        <v>77</v>
      </c>
      <c r="E118" s="8"/>
      <c r="F118" s="16">
        <f t="shared" si="15"/>
        <v>0</v>
      </c>
    </row>
    <row r="119" spans="1:6" ht="13" x14ac:dyDescent="0.3">
      <c r="B119" s="20" t="s">
        <v>219</v>
      </c>
      <c r="C119" s="9"/>
      <c r="D119" s="3"/>
      <c r="E119" s="9"/>
      <c r="F119" s="18">
        <f>SUM(F114:F118)</f>
        <v>0</v>
      </c>
    </row>
    <row r="121" spans="1:6" ht="10.5" x14ac:dyDescent="0.25">
      <c r="A121" s="6" t="s">
        <v>1673</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1674</v>
      </c>
      <c r="B124" s="5" t="s">
        <v>224</v>
      </c>
      <c r="C124" s="7">
        <v>1</v>
      </c>
      <c r="D124" s="2" t="s">
        <v>77</v>
      </c>
      <c r="E124" s="8"/>
      <c r="F124" s="16">
        <f t="shared" ref="F124" si="16">C124*E124</f>
        <v>0</v>
      </c>
    </row>
    <row r="125" spans="1:6" x14ac:dyDescent="0.2">
      <c r="A125" s="2" t="s">
        <v>1675</v>
      </c>
      <c r="B125" s="5" t="s">
        <v>226</v>
      </c>
      <c r="C125" s="2"/>
      <c r="D125" s="2"/>
      <c r="E125" s="2"/>
      <c r="F125" s="2" t="s">
        <v>227</v>
      </c>
    </row>
    <row r="126" spans="1:6" x14ac:dyDescent="0.2">
      <c r="A126" s="2" t="s">
        <v>1676</v>
      </c>
      <c r="B126" s="5" t="s">
        <v>229</v>
      </c>
      <c r="C126" s="7">
        <v>1</v>
      </c>
      <c r="D126" s="2" t="s">
        <v>77</v>
      </c>
      <c r="E126" s="8"/>
      <c r="F126" s="16">
        <f t="shared" ref="F126" si="17">C126*E126</f>
        <v>0</v>
      </c>
    </row>
    <row r="127" spans="1:6" x14ac:dyDescent="0.2">
      <c r="A127" s="2" t="s">
        <v>1677</v>
      </c>
      <c r="B127" s="5" t="s">
        <v>1105</v>
      </c>
      <c r="C127" s="2"/>
      <c r="D127" s="2"/>
      <c r="E127" s="2"/>
      <c r="F127" s="2" t="s">
        <v>227</v>
      </c>
    </row>
    <row r="128" spans="1:6" x14ac:dyDescent="0.2">
      <c r="A128" s="2" t="s">
        <v>1678</v>
      </c>
      <c r="B128" s="5" t="s">
        <v>1107</v>
      </c>
      <c r="C128" s="2"/>
      <c r="D128" s="2"/>
      <c r="E128" s="2"/>
      <c r="F128" s="2" t="s">
        <v>227</v>
      </c>
    </row>
    <row r="129" spans="1:6" x14ac:dyDescent="0.2">
      <c r="A129" s="2" t="s">
        <v>1679</v>
      </c>
      <c r="B129" s="5" t="s">
        <v>241</v>
      </c>
      <c r="C129" s="7">
        <v>1</v>
      </c>
      <c r="D129" s="2" t="s">
        <v>77</v>
      </c>
      <c r="E129" s="8"/>
      <c r="F129" s="16">
        <f t="shared" ref="F129" si="18">C129*E129</f>
        <v>0</v>
      </c>
    </row>
    <row r="130" spans="1:6" x14ac:dyDescent="0.2">
      <c r="A130" s="2"/>
      <c r="B130" s="5" t="s">
        <v>195</v>
      </c>
      <c r="C130" s="2"/>
      <c r="D130" s="2"/>
      <c r="E130" s="2"/>
    </row>
    <row r="131" spans="1:6" x14ac:dyDescent="0.2">
      <c r="A131" s="2" t="s">
        <v>1680</v>
      </c>
      <c r="B131" s="5" t="s">
        <v>245</v>
      </c>
      <c r="C131" s="7">
        <v>1</v>
      </c>
      <c r="D131" s="2" t="s">
        <v>77</v>
      </c>
      <c r="E131" s="8"/>
      <c r="F131" s="16">
        <f t="shared" ref="F131" si="19">C131*E131</f>
        <v>0</v>
      </c>
    </row>
    <row r="132" spans="1:6" x14ac:dyDescent="0.2">
      <c r="A132" s="2"/>
      <c r="B132" s="5" t="s">
        <v>250</v>
      </c>
      <c r="C132" s="2"/>
      <c r="D132" s="2"/>
      <c r="E132" s="2"/>
    </row>
    <row r="133" spans="1:6" x14ac:dyDescent="0.2">
      <c r="A133" s="2" t="s">
        <v>1681</v>
      </c>
      <c r="B133" s="5" t="s">
        <v>252</v>
      </c>
      <c r="C133" s="7">
        <v>1</v>
      </c>
      <c r="D133" s="2" t="s">
        <v>77</v>
      </c>
      <c r="E133" s="8"/>
      <c r="F133" s="16">
        <f t="shared" ref="F133:F137" si="20">C133*E133</f>
        <v>0</v>
      </c>
    </row>
    <row r="134" spans="1:6" x14ac:dyDescent="0.2">
      <c r="A134" s="2" t="s">
        <v>1682</v>
      </c>
      <c r="B134" s="5" t="s">
        <v>254</v>
      </c>
      <c r="C134" s="7">
        <v>1</v>
      </c>
      <c r="D134" s="2" t="s">
        <v>77</v>
      </c>
      <c r="E134" s="8"/>
      <c r="F134" s="16">
        <f t="shared" si="20"/>
        <v>0</v>
      </c>
    </row>
    <row r="135" spans="1:6" x14ac:dyDescent="0.2">
      <c r="A135" s="2" t="s">
        <v>1683</v>
      </c>
      <c r="B135" s="5" t="s">
        <v>256</v>
      </c>
      <c r="C135" s="7">
        <v>1</v>
      </c>
      <c r="D135" s="2" t="s">
        <v>77</v>
      </c>
      <c r="E135" s="8"/>
      <c r="F135" s="16">
        <f t="shared" si="20"/>
        <v>0</v>
      </c>
    </row>
    <row r="136" spans="1:6" x14ac:dyDescent="0.2">
      <c r="A136" s="2" t="s">
        <v>1684</v>
      </c>
      <c r="B136" s="5" t="s">
        <v>258</v>
      </c>
      <c r="C136" s="7">
        <v>1</v>
      </c>
      <c r="D136" s="2" t="s">
        <v>77</v>
      </c>
      <c r="E136" s="8"/>
      <c r="F136" s="16">
        <f t="shared" si="20"/>
        <v>0</v>
      </c>
    </row>
    <row r="137" spans="1:6" x14ac:dyDescent="0.2">
      <c r="A137" s="2" t="s">
        <v>1685</v>
      </c>
      <c r="B137" s="5" t="s">
        <v>260</v>
      </c>
      <c r="C137" s="7">
        <v>1</v>
      </c>
      <c r="D137" s="2" t="s">
        <v>77</v>
      </c>
      <c r="E137" s="8"/>
      <c r="F137" s="16">
        <f t="shared" si="20"/>
        <v>0</v>
      </c>
    </row>
    <row r="138" spans="1:6" x14ac:dyDescent="0.2">
      <c r="A138" s="2"/>
      <c r="B138" s="5" t="s">
        <v>261</v>
      </c>
      <c r="C138" s="2"/>
      <c r="D138" s="2"/>
      <c r="E138" s="2"/>
    </row>
    <row r="139" spans="1:6" x14ac:dyDescent="0.2">
      <c r="A139" s="2" t="s">
        <v>1686</v>
      </c>
      <c r="B139" s="5" t="s">
        <v>263</v>
      </c>
      <c r="C139" s="7">
        <v>2</v>
      </c>
      <c r="D139" s="2" t="s">
        <v>77</v>
      </c>
      <c r="E139" s="8"/>
      <c r="F139" s="16">
        <f t="shared" ref="F139:F152" si="21">C139*E139</f>
        <v>0</v>
      </c>
    </row>
    <row r="140" spans="1:6" x14ac:dyDescent="0.2">
      <c r="A140" s="2" t="s">
        <v>1687</v>
      </c>
      <c r="B140" s="5" t="s">
        <v>252</v>
      </c>
      <c r="C140" s="7">
        <v>1</v>
      </c>
      <c r="D140" s="2" t="s">
        <v>77</v>
      </c>
      <c r="E140" s="8"/>
      <c r="F140" s="16">
        <f t="shared" si="21"/>
        <v>0</v>
      </c>
    </row>
    <row r="141" spans="1:6" x14ac:dyDescent="0.2">
      <c r="A141" s="2" t="s">
        <v>1688</v>
      </c>
      <c r="B141" s="5" t="s">
        <v>254</v>
      </c>
      <c r="C141" s="7">
        <v>3</v>
      </c>
      <c r="D141" s="2" t="s">
        <v>77</v>
      </c>
      <c r="E141" s="8"/>
      <c r="F141" s="16">
        <f t="shared" si="21"/>
        <v>0</v>
      </c>
    </row>
    <row r="142" spans="1:6" x14ac:dyDescent="0.2">
      <c r="A142" s="2" t="s">
        <v>1689</v>
      </c>
      <c r="B142" s="5" t="s">
        <v>267</v>
      </c>
      <c r="C142" s="7">
        <v>1</v>
      </c>
      <c r="D142" s="2" t="s">
        <v>77</v>
      </c>
      <c r="E142" s="8"/>
      <c r="F142" s="16">
        <f t="shared" si="21"/>
        <v>0</v>
      </c>
    </row>
    <row r="143" spans="1:6" x14ac:dyDescent="0.2">
      <c r="A143" s="2" t="s">
        <v>1690</v>
      </c>
      <c r="B143" s="5" t="s">
        <v>269</v>
      </c>
      <c r="C143" s="7">
        <v>2</v>
      </c>
      <c r="D143" s="2" t="s">
        <v>77</v>
      </c>
      <c r="E143" s="8"/>
      <c r="F143" s="16">
        <f t="shared" si="21"/>
        <v>0</v>
      </c>
    </row>
    <row r="144" spans="1:6" x14ac:dyDescent="0.2">
      <c r="A144" s="2" t="s">
        <v>1691</v>
      </c>
      <c r="B144" s="5" t="s">
        <v>256</v>
      </c>
      <c r="C144" s="7">
        <v>3</v>
      </c>
      <c r="D144" s="2" t="s">
        <v>77</v>
      </c>
      <c r="E144" s="8"/>
      <c r="F144" s="16">
        <f t="shared" si="21"/>
        <v>0</v>
      </c>
    </row>
    <row r="145" spans="1:6" x14ac:dyDescent="0.2">
      <c r="A145" s="2" t="s">
        <v>1692</v>
      </c>
      <c r="B145" s="5" t="s">
        <v>272</v>
      </c>
      <c r="C145" s="7">
        <v>4</v>
      </c>
      <c r="D145" s="2" t="s">
        <v>77</v>
      </c>
      <c r="E145" s="8"/>
      <c r="F145" s="16">
        <f t="shared" si="21"/>
        <v>0</v>
      </c>
    </row>
    <row r="146" spans="1:6" x14ac:dyDescent="0.2">
      <c r="A146" s="2" t="s">
        <v>1693</v>
      </c>
      <c r="B146" s="5" t="s">
        <v>274</v>
      </c>
      <c r="C146" s="7">
        <v>2</v>
      </c>
      <c r="D146" s="2" t="s">
        <v>77</v>
      </c>
      <c r="E146" s="8"/>
      <c r="F146" s="16">
        <f t="shared" si="21"/>
        <v>0</v>
      </c>
    </row>
    <row r="147" spans="1:6" x14ac:dyDescent="0.2">
      <c r="A147" s="2" t="s">
        <v>1694</v>
      </c>
      <c r="B147" s="5" t="s">
        <v>276</v>
      </c>
      <c r="C147" s="7">
        <v>2</v>
      </c>
      <c r="D147" s="2" t="s">
        <v>77</v>
      </c>
      <c r="E147" s="8"/>
      <c r="F147" s="16">
        <f t="shared" si="21"/>
        <v>0</v>
      </c>
    </row>
    <row r="148" spans="1:6" ht="20" x14ac:dyDescent="0.2">
      <c r="A148" s="2" t="s">
        <v>1695</v>
      </c>
      <c r="B148" s="5" t="s">
        <v>278</v>
      </c>
      <c r="C148" s="7">
        <v>2</v>
      </c>
      <c r="D148" s="2" t="s">
        <v>77</v>
      </c>
      <c r="E148" s="8"/>
      <c r="F148" s="16">
        <f t="shared" si="21"/>
        <v>0</v>
      </c>
    </row>
    <row r="149" spans="1:6" x14ac:dyDescent="0.2">
      <c r="A149" s="2" t="s">
        <v>1696</v>
      </c>
      <c r="B149" s="5" t="s">
        <v>258</v>
      </c>
      <c r="C149" s="7">
        <v>1</v>
      </c>
      <c r="D149" s="2" t="s">
        <v>77</v>
      </c>
      <c r="E149" s="8"/>
      <c r="F149" s="16">
        <f t="shared" si="21"/>
        <v>0</v>
      </c>
    </row>
    <row r="150" spans="1:6" x14ac:dyDescent="0.2">
      <c r="A150" s="2" t="s">
        <v>1697</v>
      </c>
      <c r="B150" s="5" t="s">
        <v>260</v>
      </c>
      <c r="C150" s="7">
        <v>1</v>
      </c>
      <c r="D150" s="2" t="s">
        <v>77</v>
      </c>
      <c r="E150" s="8"/>
      <c r="F150" s="16">
        <f t="shared" si="21"/>
        <v>0</v>
      </c>
    </row>
    <row r="151" spans="1:6" x14ac:dyDescent="0.2">
      <c r="A151" s="2" t="s">
        <v>1698</v>
      </c>
      <c r="B151" s="5" t="s">
        <v>282</v>
      </c>
      <c r="C151" s="7">
        <v>1</v>
      </c>
      <c r="D151" s="2" t="s">
        <v>77</v>
      </c>
      <c r="E151" s="8"/>
      <c r="F151" s="16">
        <f t="shared" si="21"/>
        <v>0</v>
      </c>
    </row>
    <row r="152" spans="1:6" x14ac:dyDescent="0.2">
      <c r="A152" s="2" t="s">
        <v>1699</v>
      </c>
      <c r="B152" s="5" t="s">
        <v>284</v>
      </c>
      <c r="C152" s="7">
        <v>2</v>
      </c>
      <c r="D152" s="2" t="s">
        <v>77</v>
      </c>
      <c r="E152" s="8"/>
      <c r="F152" s="16">
        <f t="shared" si="21"/>
        <v>0</v>
      </c>
    </row>
    <row r="153" spans="1:6" x14ac:dyDescent="0.2">
      <c r="A153" s="2"/>
      <c r="B153" s="5" t="s">
        <v>285</v>
      </c>
      <c r="C153" s="2"/>
      <c r="D153" s="2"/>
      <c r="E153" s="2"/>
    </row>
    <row r="154" spans="1:6" ht="60" x14ac:dyDescent="0.2">
      <c r="A154" s="2" t="s">
        <v>1700</v>
      </c>
      <c r="B154" s="5" t="s">
        <v>287</v>
      </c>
      <c r="C154" s="7">
        <v>8</v>
      </c>
      <c r="D154" s="2" t="s">
        <v>86</v>
      </c>
      <c r="E154" s="8"/>
      <c r="F154" s="16">
        <f t="shared" ref="F154" si="22">C154*E154</f>
        <v>0</v>
      </c>
    </row>
    <row r="155" spans="1:6" ht="13" x14ac:dyDescent="0.3">
      <c r="B155" s="20" t="s">
        <v>288</v>
      </c>
      <c r="C155" s="9"/>
      <c r="D155" s="3"/>
      <c r="E155" s="9"/>
      <c r="F155" s="18">
        <f>SUM(F124:F154)</f>
        <v>0</v>
      </c>
    </row>
    <row r="157" spans="1:6" ht="10.5" x14ac:dyDescent="0.25">
      <c r="A157" s="6" t="s">
        <v>1701</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60" x14ac:dyDescent="0.2">
      <c r="A163" s="2" t="s">
        <v>1702</v>
      </c>
      <c r="B163" s="5" t="s">
        <v>533</v>
      </c>
      <c r="C163" s="7">
        <v>46</v>
      </c>
      <c r="D163" s="2" t="s">
        <v>89</v>
      </c>
      <c r="E163" s="8"/>
      <c r="F163" s="16">
        <f t="shared" ref="F163:F164" si="23">C163*E163</f>
        <v>0</v>
      </c>
    </row>
    <row r="164" spans="1:6" ht="50" x14ac:dyDescent="0.2">
      <c r="A164" s="2" t="s">
        <v>1703</v>
      </c>
      <c r="B164" s="5" t="s">
        <v>297</v>
      </c>
      <c r="C164" s="7">
        <v>6</v>
      </c>
      <c r="D164" s="2" t="s">
        <v>86</v>
      </c>
      <c r="E164" s="8"/>
      <c r="F164" s="16">
        <f t="shared" si="23"/>
        <v>0</v>
      </c>
    </row>
    <row r="165" spans="1:6" x14ac:dyDescent="0.2">
      <c r="A165" s="2"/>
      <c r="B165" s="5" t="s">
        <v>298</v>
      </c>
      <c r="C165" s="2"/>
      <c r="D165" s="2"/>
      <c r="E165" s="2"/>
    </row>
    <row r="166" spans="1:6" ht="30" x14ac:dyDescent="0.2">
      <c r="A166" s="2" t="s">
        <v>1704</v>
      </c>
      <c r="B166" s="5" t="s">
        <v>300</v>
      </c>
      <c r="C166" s="7">
        <v>4</v>
      </c>
      <c r="D166" s="2" t="s">
        <v>89</v>
      </c>
      <c r="E166" s="8"/>
      <c r="F166" s="16">
        <f t="shared" ref="F166" si="24">C166*E166</f>
        <v>0</v>
      </c>
    </row>
    <row r="167" spans="1:6" ht="13" x14ac:dyDescent="0.3">
      <c r="B167" s="20" t="s">
        <v>301</v>
      </c>
      <c r="C167" s="9"/>
      <c r="D167" s="3"/>
      <c r="E167" s="9"/>
      <c r="F167" s="18">
        <f>SUM(F162:F166)</f>
        <v>0</v>
      </c>
    </row>
    <row r="169" spans="1:6" ht="10.5" x14ac:dyDescent="0.25">
      <c r="A169" s="6" t="s">
        <v>1705</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1706</v>
      </c>
      <c r="B178" s="5" t="s">
        <v>312</v>
      </c>
      <c r="C178" s="7">
        <v>222</v>
      </c>
      <c r="D178" s="2" t="s">
        <v>89</v>
      </c>
      <c r="E178" s="7"/>
      <c r="F178" s="16">
        <f t="shared" ref="F178" si="25">C178*E178</f>
        <v>0</v>
      </c>
    </row>
    <row r="179" spans="1:6" ht="13" x14ac:dyDescent="0.3">
      <c r="B179" s="20" t="s">
        <v>313</v>
      </c>
      <c r="C179" s="9"/>
      <c r="D179" s="3"/>
      <c r="E179" s="9"/>
      <c r="F179" s="18">
        <f>SUM(F178)</f>
        <v>0</v>
      </c>
    </row>
    <row r="181" spans="1:6" ht="10.5" x14ac:dyDescent="0.25">
      <c r="A181" s="6" t="s">
        <v>1707</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1708</v>
      </c>
      <c r="B191" s="5" t="s">
        <v>325</v>
      </c>
      <c r="C191" s="7">
        <v>222</v>
      </c>
      <c r="D191" s="2" t="s">
        <v>89</v>
      </c>
      <c r="E191" s="7"/>
      <c r="F191" s="16">
        <f t="shared" ref="F191" si="26">C191*E191</f>
        <v>0</v>
      </c>
    </row>
    <row r="192" spans="1:6" ht="13" x14ac:dyDescent="0.3">
      <c r="B192" s="20" t="s">
        <v>326</v>
      </c>
      <c r="C192" s="9"/>
      <c r="D192" s="3"/>
      <c r="E192" s="9"/>
      <c r="F192" s="18">
        <f>SUM(F191)</f>
        <v>0</v>
      </c>
    </row>
    <row r="194" spans="1:6" ht="10.5" x14ac:dyDescent="0.25">
      <c r="A194" s="6" t="s">
        <v>1709</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1710</v>
      </c>
      <c r="B207" s="5" t="s">
        <v>341</v>
      </c>
      <c r="C207" s="7">
        <v>222</v>
      </c>
      <c r="D207" s="2" t="s">
        <v>89</v>
      </c>
      <c r="E207" s="7"/>
      <c r="F207" s="16">
        <f t="shared" ref="F207" si="27">C207*E207</f>
        <v>0</v>
      </c>
    </row>
    <row r="208" spans="1:6" ht="21.5" x14ac:dyDescent="0.3">
      <c r="B208" s="20" t="s">
        <v>342</v>
      </c>
      <c r="C208" s="9"/>
      <c r="D208" s="3"/>
      <c r="E208" s="9"/>
      <c r="F208" s="18">
        <f>SUM(F207)</f>
        <v>0</v>
      </c>
    </row>
    <row r="209" spans="2:6" ht="13" x14ac:dyDescent="0.3">
      <c r="B209" s="20" t="s">
        <v>1711</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44E0-8142-40DF-B249-31A2EE946D72}">
  <sheetPr>
    <pageSetUpPr fitToPage="1"/>
  </sheetPr>
  <dimension ref="A1:F13"/>
  <sheetViews>
    <sheetView workbookViewId="0">
      <pane ySplit="3" topLeftCell="A4" activePane="bottomLeft" state="frozen"/>
      <selection pane="bottomLeft" activeCell="J6" sqref="J6"/>
    </sheetView>
  </sheetViews>
  <sheetFormatPr defaultColWidth="9.1796875" defaultRowHeight="12.5" x14ac:dyDescent="0.25"/>
  <cols>
    <col min="1" max="1" width="9.1796875" style="10"/>
    <col min="2" max="2" width="47.453125" style="10" customWidth="1"/>
    <col min="3" max="16384" width="9.1796875" style="10"/>
  </cols>
  <sheetData>
    <row r="1" spans="1:6" ht="15.5" x14ac:dyDescent="0.35">
      <c r="A1" s="87" t="s">
        <v>0</v>
      </c>
      <c r="B1" s="87"/>
      <c r="C1" s="87"/>
    </row>
    <row r="2" spans="1:6" ht="15.5" x14ac:dyDescent="0.35">
      <c r="A2" s="23"/>
    </row>
    <row r="3" spans="1:6" ht="13" x14ac:dyDescent="0.25">
      <c r="A3" s="24" t="s">
        <v>1</v>
      </c>
      <c r="B3" s="25" t="s">
        <v>2</v>
      </c>
      <c r="C3" s="24" t="s">
        <v>3</v>
      </c>
      <c r="D3" s="26" t="s">
        <v>4</v>
      </c>
      <c r="E3" s="27" t="s">
        <v>5</v>
      </c>
      <c r="F3" s="27" t="s">
        <v>6</v>
      </c>
    </row>
    <row r="4" spans="1:6" ht="13" x14ac:dyDescent="0.3">
      <c r="A4" s="28"/>
      <c r="B4" s="29" t="s">
        <v>7</v>
      </c>
      <c r="C4" s="30"/>
      <c r="D4" s="30"/>
      <c r="E4" s="30"/>
      <c r="F4" s="31"/>
    </row>
    <row r="5" spans="1:6" ht="13" x14ac:dyDescent="0.25">
      <c r="A5" s="32"/>
      <c r="B5" s="33"/>
      <c r="C5" s="34"/>
      <c r="D5" s="34"/>
      <c r="E5" s="34"/>
      <c r="F5" s="31"/>
    </row>
    <row r="6" spans="1:6" ht="212.5" x14ac:dyDescent="0.25">
      <c r="A6" s="35"/>
      <c r="B6" s="36" t="s">
        <v>8</v>
      </c>
      <c r="C6" s="37" t="s">
        <v>9</v>
      </c>
      <c r="D6" s="34"/>
      <c r="E6" s="34"/>
      <c r="F6" s="31"/>
    </row>
    <row r="7" spans="1:6" x14ac:dyDescent="0.25">
      <c r="A7" s="35"/>
      <c r="B7" s="36"/>
      <c r="C7" s="37"/>
      <c r="D7" s="34"/>
      <c r="E7" s="34"/>
      <c r="F7" s="31"/>
    </row>
    <row r="8" spans="1:6" x14ac:dyDescent="0.25">
      <c r="A8" s="35"/>
      <c r="B8" s="36"/>
      <c r="C8" s="37" t="s">
        <v>9</v>
      </c>
      <c r="D8" s="34"/>
      <c r="E8" s="34"/>
      <c r="F8" s="31"/>
    </row>
    <row r="9" spans="1:6" x14ac:dyDescent="0.25">
      <c r="A9" s="35"/>
      <c r="B9" s="36"/>
      <c r="C9" s="37"/>
      <c r="D9" s="34"/>
      <c r="E9" s="34"/>
      <c r="F9" s="31"/>
    </row>
    <row r="10" spans="1:6" x14ac:dyDescent="0.25">
      <c r="A10" s="35"/>
      <c r="B10" s="36"/>
      <c r="C10" s="37" t="s">
        <v>9</v>
      </c>
      <c r="D10" s="34"/>
      <c r="E10" s="34"/>
      <c r="F10" s="31"/>
    </row>
    <row r="11" spans="1:6" x14ac:dyDescent="0.25">
      <c r="A11" s="35"/>
      <c r="B11" s="36"/>
      <c r="C11" s="37"/>
      <c r="D11" s="34"/>
      <c r="E11" s="34"/>
      <c r="F11" s="31"/>
    </row>
    <row r="12" spans="1:6" x14ac:dyDescent="0.25">
      <c r="A12" s="35"/>
      <c r="B12" s="36"/>
      <c r="C12" s="37"/>
      <c r="D12" s="34"/>
      <c r="E12" s="34"/>
      <c r="F12" s="31"/>
    </row>
    <row r="13" spans="1:6" x14ac:dyDescent="0.25">
      <c r="A13" s="38"/>
      <c r="B13" s="42"/>
      <c r="C13" s="39" t="s">
        <v>9</v>
      </c>
      <c r="D13" s="40"/>
      <c r="E13" s="40"/>
      <c r="F13" s="41"/>
    </row>
  </sheetData>
  <mergeCells count="1">
    <mergeCell ref="A1:C1"/>
  </mergeCells>
  <pageMargins left="0.7" right="0.7" top="0.75" bottom="0.75" header="0.3" footer="0.3"/>
  <pageSetup paperSize="9" scale="96" fitToHeight="0" orientation="portrait" horizontalDpi="300" verticalDpi="300" r:id="rId1"/>
  <headerFooter>
    <oddHeader>&amp;C&amp;"Aptos"&amp;12&amp;KFF0000 OFFICIAL&amp;1#_x000D_</oddHeader>
    <oddFooter>&amp;C_x000D_&amp;1#&amp;"Aptos"&amp;12&amp;KFF0000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7C4C-69C8-4818-83DF-2B27C5EF0510}">
  <sheetPr codeName="Sheet17">
    <pageSetUpPr fitToPage="1"/>
  </sheetPr>
  <dimension ref="A1:F209"/>
  <sheetViews>
    <sheetView zoomScaleNormal="100" workbookViewId="0">
      <pane ySplit="3" topLeftCell="A4" activePane="bottomLeft" state="frozen"/>
      <selection activeCell="B5" sqref="B5"/>
      <selection pane="bottomLeft" activeCell="B5" sqref="B5"/>
    </sheetView>
  </sheetViews>
  <sheetFormatPr defaultColWidth="9.1796875" defaultRowHeight="10" x14ac:dyDescent="0.2"/>
  <cols>
    <col min="1" max="1" width="6.7265625" style="1" customWidth="1"/>
    <col min="2" max="2" width="31.7265625" style="22" customWidth="1"/>
    <col min="3" max="3" width="9.7265625" style="1" customWidth="1"/>
    <col min="4" max="4" width="6.7265625" style="1" customWidth="1"/>
    <col min="5" max="5" width="8.7265625" style="1" customWidth="1"/>
    <col min="6" max="6" width="9.7265625" style="1" customWidth="1"/>
    <col min="7" max="16384" width="9.1796875" style="1"/>
  </cols>
  <sheetData>
    <row r="1" spans="1:6" ht="15" customHeight="1" x14ac:dyDescent="0.35">
      <c r="A1" s="87" t="s">
        <v>1822</v>
      </c>
      <c r="B1" s="88"/>
      <c r="C1" s="88"/>
      <c r="D1" s="88"/>
      <c r="E1" s="88"/>
      <c r="F1" s="88"/>
    </row>
    <row r="3" spans="1:6" ht="10.5" x14ac:dyDescent="0.25">
      <c r="A3" s="3" t="s">
        <v>1</v>
      </c>
      <c r="B3" s="20" t="s">
        <v>2</v>
      </c>
      <c r="C3" s="4" t="s">
        <v>4</v>
      </c>
      <c r="D3" s="3" t="s">
        <v>63</v>
      </c>
      <c r="E3" s="4" t="s">
        <v>5</v>
      </c>
      <c r="F3" s="4" t="s">
        <v>12</v>
      </c>
    </row>
    <row r="4" spans="1:6" ht="10.5" x14ac:dyDescent="0.25">
      <c r="F4" s="4"/>
    </row>
    <row r="5" spans="1:6" x14ac:dyDescent="0.2">
      <c r="A5" s="2"/>
      <c r="B5" s="5" t="s">
        <v>64</v>
      </c>
      <c r="C5" s="2"/>
      <c r="D5" s="2"/>
      <c r="E5" s="2"/>
    </row>
    <row r="6" spans="1:6" ht="10.5" x14ac:dyDescent="0.25">
      <c r="A6" s="3" t="s">
        <v>1712</v>
      </c>
      <c r="B6" s="20" t="s">
        <v>1713</v>
      </c>
    </row>
    <row r="7" spans="1:6" x14ac:dyDescent="0.2">
      <c r="A7" s="2"/>
      <c r="B7" s="5"/>
      <c r="C7" s="2"/>
      <c r="D7" s="2"/>
      <c r="E7" s="2"/>
    </row>
    <row r="8" spans="1:6" x14ac:dyDescent="0.2">
      <c r="A8" s="2"/>
      <c r="B8" s="5" t="s">
        <v>67</v>
      </c>
      <c r="C8" s="2"/>
      <c r="D8" s="2"/>
      <c r="E8" s="2"/>
    </row>
    <row r="10" spans="1:6" ht="10.5" x14ac:dyDescent="0.25">
      <c r="A10" s="6" t="s">
        <v>1714</v>
      </c>
      <c r="B10" s="21" t="s">
        <v>69</v>
      </c>
    </row>
    <row r="11" spans="1:6" x14ac:dyDescent="0.2">
      <c r="A11" s="2"/>
      <c r="B11" s="5" t="s">
        <v>70</v>
      </c>
      <c r="C11" s="2"/>
      <c r="D11" s="2"/>
      <c r="E11" s="2"/>
    </row>
    <row r="12" spans="1:6" x14ac:dyDescent="0.2">
      <c r="A12" s="2"/>
      <c r="B12" s="5" t="s">
        <v>71</v>
      </c>
      <c r="C12" s="2"/>
      <c r="D12" s="2"/>
      <c r="E12" s="2"/>
    </row>
    <row r="13" spans="1:6" x14ac:dyDescent="0.2">
      <c r="A13" s="2"/>
      <c r="B13" s="5" t="s">
        <v>72</v>
      </c>
      <c r="C13" s="2"/>
      <c r="D13" s="2" t="s">
        <v>73</v>
      </c>
      <c r="E13" s="2"/>
    </row>
    <row r="14" spans="1:6" x14ac:dyDescent="0.2">
      <c r="A14" s="2"/>
      <c r="B14" s="5" t="s">
        <v>74</v>
      </c>
      <c r="C14" s="2"/>
      <c r="D14" s="2"/>
      <c r="E14" s="2"/>
    </row>
    <row r="15" spans="1:6" ht="20" x14ac:dyDescent="0.2">
      <c r="A15" s="2" t="s">
        <v>1715</v>
      </c>
      <c r="B15" s="5" t="s">
        <v>76</v>
      </c>
      <c r="C15" s="7">
        <v>14</v>
      </c>
      <c r="D15" s="2" t="s">
        <v>77</v>
      </c>
      <c r="E15" s="8"/>
      <c r="F15" s="16">
        <f>C15*E15</f>
        <v>0</v>
      </c>
    </row>
    <row r="16" spans="1:6" x14ac:dyDescent="0.2">
      <c r="A16" s="2" t="s">
        <v>1716</v>
      </c>
      <c r="B16" s="5" t="s">
        <v>79</v>
      </c>
      <c r="C16" s="7">
        <v>1</v>
      </c>
      <c r="D16" s="2" t="s">
        <v>80</v>
      </c>
      <c r="E16" s="8"/>
      <c r="F16" s="16">
        <f t="shared" ref="F16:F38" si="0">C16*E16</f>
        <v>0</v>
      </c>
    </row>
    <row r="17" spans="1:6" x14ac:dyDescent="0.2">
      <c r="A17" s="2"/>
      <c r="B17" s="5" t="s">
        <v>81</v>
      </c>
      <c r="C17" s="2"/>
      <c r="D17" s="2"/>
      <c r="E17" s="2"/>
      <c r="F17" s="16"/>
    </row>
    <row r="18" spans="1:6" ht="30" x14ac:dyDescent="0.2">
      <c r="A18" s="2" t="s">
        <v>1717</v>
      </c>
      <c r="B18" s="5" t="s">
        <v>83</v>
      </c>
      <c r="C18" s="7">
        <v>1</v>
      </c>
      <c r="D18" s="2" t="s">
        <v>80</v>
      </c>
      <c r="E18" s="8"/>
      <c r="F18" s="16">
        <f t="shared" si="0"/>
        <v>0</v>
      </c>
    </row>
    <row r="19" spans="1:6" x14ac:dyDescent="0.2">
      <c r="A19" s="2"/>
      <c r="B19" s="5" t="s">
        <v>69</v>
      </c>
      <c r="C19" s="2"/>
      <c r="D19" s="2"/>
      <c r="E19" s="2"/>
      <c r="F19" s="16"/>
    </row>
    <row r="20" spans="1:6" ht="20" x14ac:dyDescent="0.2">
      <c r="A20" s="2" t="s">
        <v>1718</v>
      </c>
      <c r="B20" s="5" t="s">
        <v>85</v>
      </c>
      <c r="C20" s="7">
        <v>11</v>
      </c>
      <c r="D20" s="2" t="s">
        <v>86</v>
      </c>
      <c r="E20" s="8"/>
      <c r="F20" s="16">
        <f t="shared" si="0"/>
        <v>0</v>
      </c>
    </row>
    <row r="21" spans="1:6" x14ac:dyDescent="0.2">
      <c r="A21" s="2" t="s">
        <v>1719</v>
      </c>
      <c r="B21" s="5" t="s">
        <v>88</v>
      </c>
      <c r="C21" s="7">
        <v>6</v>
      </c>
      <c r="D21" s="2" t="s">
        <v>89</v>
      </c>
      <c r="E21" s="8"/>
      <c r="F21" s="16">
        <f t="shared" si="0"/>
        <v>0</v>
      </c>
    </row>
    <row r="22" spans="1:6" ht="30" x14ac:dyDescent="0.2">
      <c r="A22" s="2" t="s">
        <v>1720</v>
      </c>
      <c r="B22" s="5" t="s">
        <v>91</v>
      </c>
      <c r="C22" s="7">
        <v>50</v>
      </c>
      <c r="D22" s="2" t="s">
        <v>89</v>
      </c>
      <c r="E22" s="8"/>
      <c r="F22" s="16">
        <f t="shared" si="0"/>
        <v>0</v>
      </c>
    </row>
    <row r="23" spans="1:6" x14ac:dyDescent="0.2">
      <c r="A23" s="2" t="s">
        <v>1721</v>
      </c>
      <c r="B23" s="5" t="s">
        <v>93</v>
      </c>
      <c r="C23" s="7">
        <v>11</v>
      </c>
      <c r="D23" s="2" t="s">
        <v>86</v>
      </c>
      <c r="E23" s="8"/>
      <c r="F23" s="16">
        <f t="shared" si="0"/>
        <v>0</v>
      </c>
    </row>
    <row r="24" spans="1:6" x14ac:dyDescent="0.2">
      <c r="A24" s="2" t="s">
        <v>1722</v>
      </c>
      <c r="B24" s="5" t="s">
        <v>95</v>
      </c>
      <c r="C24" s="7">
        <v>13</v>
      </c>
      <c r="D24" s="2" t="s">
        <v>77</v>
      </c>
      <c r="E24" s="8"/>
      <c r="F24" s="16">
        <f t="shared" si="0"/>
        <v>0</v>
      </c>
    </row>
    <row r="25" spans="1:6" ht="20" x14ac:dyDescent="0.2">
      <c r="A25" s="2" t="s">
        <v>1723</v>
      </c>
      <c r="B25" s="5" t="s">
        <v>97</v>
      </c>
      <c r="C25" s="7">
        <v>10</v>
      </c>
      <c r="D25" s="2" t="s">
        <v>86</v>
      </c>
      <c r="E25" s="8"/>
      <c r="F25" s="16">
        <f t="shared" si="0"/>
        <v>0</v>
      </c>
    </row>
    <row r="26" spans="1:6" x14ac:dyDescent="0.2">
      <c r="A26" s="2" t="s">
        <v>1724</v>
      </c>
      <c r="B26" s="5" t="s">
        <v>99</v>
      </c>
      <c r="C26" s="7">
        <v>155</v>
      </c>
      <c r="D26" s="2" t="s">
        <v>89</v>
      </c>
      <c r="E26" s="8"/>
      <c r="F26" s="16">
        <f t="shared" si="0"/>
        <v>0</v>
      </c>
    </row>
    <row r="27" spans="1:6" x14ac:dyDescent="0.2">
      <c r="A27" s="2" t="s">
        <v>1725</v>
      </c>
      <c r="B27" s="5" t="s">
        <v>101</v>
      </c>
      <c r="C27" s="7">
        <v>2</v>
      </c>
      <c r="D27" s="2" t="s">
        <v>77</v>
      </c>
      <c r="E27" s="8"/>
      <c r="F27" s="16">
        <f t="shared" si="0"/>
        <v>0</v>
      </c>
    </row>
    <row r="28" spans="1:6" x14ac:dyDescent="0.2">
      <c r="A28" s="2" t="s">
        <v>1726</v>
      </c>
      <c r="B28" s="5" t="s">
        <v>103</v>
      </c>
      <c r="C28" s="7">
        <v>1</v>
      </c>
      <c r="D28" s="2" t="s">
        <v>104</v>
      </c>
      <c r="E28" s="8"/>
      <c r="F28" s="16">
        <f t="shared" si="0"/>
        <v>0</v>
      </c>
    </row>
    <row r="29" spans="1:6" x14ac:dyDescent="0.2">
      <c r="A29" s="2" t="s">
        <v>1727</v>
      </c>
      <c r="B29" s="5" t="s">
        <v>106</v>
      </c>
      <c r="C29" s="7">
        <v>1</v>
      </c>
      <c r="D29" s="2" t="s">
        <v>77</v>
      </c>
      <c r="E29" s="8"/>
      <c r="F29" s="16">
        <f t="shared" si="0"/>
        <v>0</v>
      </c>
    </row>
    <row r="30" spans="1:6" x14ac:dyDescent="0.2">
      <c r="A30" s="2" t="s">
        <v>1728</v>
      </c>
      <c r="B30" s="5" t="s">
        <v>108</v>
      </c>
      <c r="C30" s="7">
        <v>72</v>
      </c>
      <c r="D30" s="2" t="s">
        <v>89</v>
      </c>
      <c r="E30" s="8"/>
      <c r="F30" s="16">
        <f t="shared" si="0"/>
        <v>0</v>
      </c>
    </row>
    <row r="31" spans="1:6" ht="20" x14ac:dyDescent="0.2">
      <c r="A31" s="2" t="s">
        <v>1729</v>
      </c>
      <c r="B31" s="5" t="s">
        <v>110</v>
      </c>
      <c r="C31" s="7">
        <v>1</v>
      </c>
      <c r="D31" s="2" t="s">
        <v>77</v>
      </c>
      <c r="E31" s="8"/>
      <c r="F31" s="16">
        <f t="shared" si="0"/>
        <v>0</v>
      </c>
    </row>
    <row r="32" spans="1:6" ht="20" x14ac:dyDescent="0.2">
      <c r="A32" s="2" t="s">
        <v>1730</v>
      </c>
      <c r="B32" s="5" t="s">
        <v>112</v>
      </c>
      <c r="C32" s="7">
        <v>28</v>
      </c>
      <c r="D32" s="2" t="s">
        <v>86</v>
      </c>
      <c r="E32" s="8"/>
      <c r="F32" s="16">
        <f t="shared" si="0"/>
        <v>0</v>
      </c>
    </row>
    <row r="33" spans="1:6" ht="40" x14ac:dyDescent="0.2">
      <c r="A33" s="2" t="s">
        <v>1731</v>
      </c>
      <c r="B33" s="5" t="s">
        <v>114</v>
      </c>
      <c r="C33" s="7">
        <v>52</v>
      </c>
      <c r="D33" s="2" t="s">
        <v>89</v>
      </c>
      <c r="E33" s="8"/>
      <c r="F33" s="16">
        <f t="shared" si="0"/>
        <v>0</v>
      </c>
    </row>
    <row r="34" spans="1:6" x14ac:dyDescent="0.2">
      <c r="A34" s="2"/>
      <c r="B34" s="5" t="s">
        <v>115</v>
      </c>
      <c r="C34" s="2"/>
      <c r="D34" s="2"/>
      <c r="E34" s="2"/>
      <c r="F34" s="16"/>
    </row>
    <row r="35" spans="1:6" ht="30" x14ac:dyDescent="0.2">
      <c r="A35" s="2" t="s">
        <v>1732</v>
      </c>
      <c r="B35" s="5" t="s">
        <v>117</v>
      </c>
      <c r="C35" s="7">
        <v>1</v>
      </c>
      <c r="D35" s="2" t="s">
        <v>80</v>
      </c>
      <c r="E35" s="8"/>
      <c r="F35" s="16">
        <f t="shared" si="0"/>
        <v>0</v>
      </c>
    </row>
    <row r="36" spans="1:6" x14ac:dyDescent="0.2">
      <c r="A36" s="2" t="s">
        <v>1733</v>
      </c>
      <c r="B36" s="5" t="s">
        <v>119</v>
      </c>
      <c r="C36" s="7">
        <v>1</v>
      </c>
      <c r="D36" s="2" t="s">
        <v>104</v>
      </c>
      <c r="E36" s="8"/>
      <c r="F36" s="16">
        <f t="shared" si="0"/>
        <v>0</v>
      </c>
    </row>
    <row r="37" spans="1:6" ht="20" x14ac:dyDescent="0.2">
      <c r="A37" s="2" t="s">
        <v>1734</v>
      </c>
      <c r="B37" s="5" t="s">
        <v>121</v>
      </c>
      <c r="C37" s="7">
        <v>1</v>
      </c>
      <c r="D37" s="2" t="s">
        <v>104</v>
      </c>
      <c r="E37" s="8"/>
      <c r="F37" s="16">
        <f t="shared" si="0"/>
        <v>0</v>
      </c>
    </row>
    <row r="38" spans="1:6" x14ac:dyDescent="0.2">
      <c r="A38" s="2" t="s">
        <v>1735</v>
      </c>
      <c r="B38" s="5" t="s">
        <v>123</v>
      </c>
      <c r="C38" s="7">
        <v>1</v>
      </c>
      <c r="D38" s="2" t="s">
        <v>104</v>
      </c>
      <c r="E38" s="8"/>
      <c r="F38" s="16">
        <f t="shared" si="0"/>
        <v>0</v>
      </c>
    </row>
    <row r="39" spans="1:6" ht="13" x14ac:dyDescent="0.3">
      <c r="B39" s="20" t="s">
        <v>124</v>
      </c>
      <c r="C39" s="9"/>
      <c r="D39" s="3"/>
      <c r="E39" s="9"/>
      <c r="F39" s="18">
        <f>SUM(F15:F38)</f>
        <v>0</v>
      </c>
    </row>
    <row r="41" spans="1:6" ht="10.5" x14ac:dyDescent="0.25">
      <c r="A41" s="6" t="s">
        <v>1736</v>
      </c>
      <c r="B41" s="21" t="s">
        <v>126</v>
      </c>
    </row>
    <row r="42" spans="1:6" x14ac:dyDescent="0.2">
      <c r="A42" s="2"/>
      <c r="B42" s="5" t="s">
        <v>127</v>
      </c>
      <c r="C42" s="2"/>
      <c r="D42" s="2"/>
      <c r="E42" s="2"/>
    </row>
    <row r="43" spans="1:6" x14ac:dyDescent="0.2">
      <c r="A43" s="2"/>
      <c r="B43" s="5" t="s">
        <v>128</v>
      </c>
      <c r="C43" s="2"/>
      <c r="D43" s="2"/>
      <c r="E43" s="2"/>
    </row>
    <row r="44" spans="1:6" ht="30" x14ac:dyDescent="0.2">
      <c r="A44" s="2"/>
      <c r="B44" s="5" t="s">
        <v>129</v>
      </c>
      <c r="C44" s="2"/>
      <c r="D44" s="2" t="s">
        <v>73</v>
      </c>
      <c r="E44" s="2"/>
    </row>
    <row r="45" spans="1:6" ht="30" x14ac:dyDescent="0.2">
      <c r="A45" s="2"/>
      <c r="B45" s="5" t="s">
        <v>130</v>
      </c>
      <c r="C45" s="2"/>
      <c r="D45" s="2" t="s">
        <v>73</v>
      </c>
      <c r="E45" s="2"/>
    </row>
    <row r="46" spans="1:6" ht="20" x14ac:dyDescent="0.2">
      <c r="A46" s="2"/>
      <c r="B46" s="5" t="s">
        <v>131</v>
      </c>
      <c r="C46" s="2"/>
      <c r="D46" s="2" t="s">
        <v>73</v>
      </c>
      <c r="E46" s="2"/>
    </row>
    <row r="47" spans="1:6" ht="30" x14ac:dyDescent="0.2">
      <c r="A47" s="2"/>
      <c r="B47" s="5" t="s">
        <v>132</v>
      </c>
      <c r="C47" s="2"/>
      <c r="D47" s="2" t="s">
        <v>73</v>
      </c>
      <c r="E47" s="2"/>
    </row>
    <row r="48" spans="1:6" ht="20" x14ac:dyDescent="0.2">
      <c r="A48" s="2"/>
      <c r="B48" s="5" t="s">
        <v>133</v>
      </c>
      <c r="C48" s="2"/>
      <c r="D48" s="2" t="s">
        <v>73</v>
      </c>
      <c r="E48" s="2"/>
    </row>
    <row r="49" spans="1:6" ht="20" x14ac:dyDescent="0.2">
      <c r="A49" s="2"/>
      <c r="B49" s="5" t="s">
        <v>134</v>
      </c>
      <c r="C49" s="2"/>
      <c r="D49" s="2" t="s">
        <v>73</v>
      </c>
      <c r="E49" s="2"/>
    </row>
    <row r="50" spans="1:6" x14ac:dyDescent="0.2">
      <c r="A50" s="2"/>
      <c r="B50" s="5" t="s">
        <v>135</v>
      </c>
      <c r="C50" s="2"/>
      <c r="D50" s="2"/>
      <c r="E50" s="2"/>
    </row>
    <row r="51" spans="1:6" ht="30" x14ac:dyDescent="0.2">
      <c r="A51" s="2" t="s">
        <v>1737</v>
      </c>
      <c r="B51" s="5" t="s">
        <v>137</v>
      </c>
      <c r="C51" s="7">
        <v>407</v>
      </c>
      <c r="D51" s="2" t="s">
        <v>89</v>
      </c>
      <c r="E51" s="8"/>
      <c r="F51" s="16">
        <f t="shared" ref="F51:F58" si="1">C51*E51</f>
        <v>0</v>
      </c>
    </row>
    <row r="52" spans="1:6" x14ac:dyDescent="0.2">
      <c r="A52" s="2"/>
      <c r="B52" s="5" t="s">
        <v>138</v>
      </c>
      <c r="C52" s="2"/>
      <c r="D52" s="2"/>
      <c r="E52" s="2"/>
      <c r="F52" s="16"/>
    </row>
    <row r="53" spans="1:6" ht="30" x14ac:dyDescent="0.2">
      <c r="A53" s="2" t="s">
        <v>1738</v>
      </c>
      <c r="B53" s="5" t="s">
        <v>140</v>
      </c>
      <c r="C53" s="7">
        <v>67</v>
      </c>
      <c r="D53" s="2" t="s">
        <v>89</v>
      </c>
      <c r="E53" s="8"/>
      <c r="F53" s="16">
        <f t="shared" si="1"/>
        <v>0</v>
      </c>
    </row>
    <row r="54" spans="1:6" ht="40" x14ac:dyDescent="0.2">
      <c r="A54" s="2" t="s">
        <v>1739</v>
      </c>
      <c r="B54" s="5" t="s">
        <v>964</v>
      </c>
      <c r="C54" s="7">
        <v>7</v>
      </c>
      <c r="D54" s="2" t="s">
        <v>89</v>
      </c>
      <c r="E54" s="8"/>
      <c r="F54" s="16">
        <f t="shared" si="1"/>
        <v>0</v>
      </c>
    </row>
    <row r="55" spans="1:6" ht="30" x14ac:dyDescent="0.2">
      <c r="A55" s="2" t="s">
        <v>1740</v>
      </c>
      <c r="B55" s="5" t="s">
        <v>142</v>
      </c>
      <c r="C55" s="7">
        <v>4</v>
      </c>
      <c r="D55" s="2" t="s">
        <v>89</v>
      </c>
      <c r="E55" s="8"/>
      <c r="F55" s="16">
        <f t="shared" si="1"/>
        <v>0</v>
      </c>
    </row>
    <row r="56" spans="1:6" ht="20" x14ac:dyDescent="0.2">
      <c r="A56" s="2" t="s">
        <v>1741</v>
      </c>
      <c r="B56" s="5" t="s">
        <v>144</v>
      </c>
      <c r="C56" s="7">
        <v>96</v>
      </c>
      <c r="D56" s="2" t="s">
        <v>89</v>
      </c>
      <c r="E56" s="8"/>
      <c r="F56" s="16">
        <f t="shared" si="1"/>
        <v>0</v>
      </c>
    </row>
    <row r="57" spans="1:6" x14ac:dyDescent="0.2">
      <c r="A57" s="2"/>
      <c r="B57" s="5" t="s">
        <v>145</v>
      </c>
      <c r="C57" s="2"/>
      <c r="D57" s="2"/>
      <c r="E57" s="2"/>
      <c r="F57" s="16"/>
    </row>
    <row r="58" spans="1:6" ht="30" x14ac:dyDescent="0.2">
      <c r="A58" s="2" t="s">
        <v>1742</v>
      </c>
      <c r="B58" s="5" t="s">
        <v>147</v>
      </c>
      <c r="C58" s="7">
        <v>145</v>
      </c>
      <c r="D58" s="2" t="s">
        <v>86</v>
      </c>
      <c r="E58" s="8"/>
      <c r="F58" s="16">
        <f t="shared" si="1"/>
        <v>0</v>
      </c>
    </row>
    <row r="59" spans="1:6" x14ac:dyDescent="0.2">
      <c r="A59" s="2"/>
      <c r="B59" s="5" t="s">
        <v>148</v>
      </c>
      <c r="C59" s="2"/>
      <c r="D59" s="2"/>
      <c r="E59" s="2"/>
      <c r="F59" s="16"/>
    </row>
    <row r="60" spans="1:6" ht="30" x14ac:dyDescent="0.2">
      <c r="A60" s="2" t="s">
        <v>1743</v>
      </c>
      <c r="B60" s="5" t="s">
        <v>150</v>
      </c>
      <c r="C60" s="7">
        <v>13</v>
      </c>
      <c r="D60" s="2" t="s">
        <v>77</v>
      </c>
      <c r="E60" s="8"/>
      <c r="F60" s="16">
        <f t="shared" ref="F60" si="2">C60*E60</f>
        <v>0</v>
      </c>
    </row>
    <row r="61" spans="1:6" ht="13" x14ac:dyDescent="0.3">
      <c r="B61" s="20" t="s">
        <v>151</v>
      </c>
      <c r="C61" s="9"/>
      <c r="D61" s="3"/>
      <c r="E61" s="9"/>
      <c r="F61" s="18">
        <f>SUM(F51:F60)</f>
        <v>0</v>
      </c>
    </row>
    <row r="63" spans="1:6" ht="10.5" x14ac:dyDescent="0.25">
      <c r="A63" s="6" t="s">
        <v>1744</v>
      </c>
      <c r="B63" s="21" t="s">
        <v>153</v>
      </c>
    </row>
    <row r="64" spans="1:6" x14ac:dyDescent="0.2">
      <c r="A64" s="2"/>
      <c r="B64" s="5" t="s">
        <v>154</v>
      </c>
      <c r="C64" s="2"/>
      <c r="D64" s="2"/>
      <c r="E64" s="2"/>
    </row>
    <row r="65" spans="1:6" x14ac:dyDescent="0.2">
      <c r="A65" s="2"/>
      <c r="B65" s="5" t="s">
        <v>128</v>
      </c>
      <c r="C65" s="2"/>
      <c r="D65" s="2"/>
      <c r="E65" s="2"/>
    </row>
    <row r="66" spans="1:6" ht="40" x14ac:dyDescent="0.2">
      <c r="A66" s="2"/>
      <c r="B66" s="5" t="s">
        <v>155</v>
      </c>
      <c r="C66" s="2"/>
      <c r="D66" s="2" t="s">
        <v>73</v>
      </c>
      <c r="E66" s="2"/>
    </row>
    <row r="67" spans="1:6" ht="30" x14ac:dyDescent="0.2">
      <c r="A67" s="2"/>
      <c r="B67" s="5" t="s">
        <v>156</v>
      </c>
      <c r="C67" s="2"/>
      <c r="D67" s="2" t="s">
        <v>73</v>
      </c>
      <c r="E67" s="2"/>
    </row>
    <row r="68" spans="1:6" x14ac:dyDescent="0.2">
      <c r="A68" s="2"/>
      <c r="B68" s="5" t="s">
        <v>138</v>
      </c>
      <c r="C68" s="2"/>
      <c r="D68" s="2"/>
      <c r="E68" s="2"/>
    </row>
    <row r="69" spans="1:6" ht="40" x14ac:dyDescent="0.2">
      <c r="A69" s="2" t="s">
        <v>1745</v>
      </c>
      <c r="B69" s="5" t="s">
        <v>158</v>
      </c>
      <c r="C69" s="7">
        <v>134</v>
      </c>
      <c r="D69" s="2" t="s">
        <v>89</v>
      </c>
      <c r="E69" s="8"/>
      <c r="F69" s="16">
        <f t="shared" ref="F69:F73" si="3">C69*E69</f>
        <v>0</v>
      </c>
    </row>
    <row r="70" spans="1:6" ht="40" x14ac:dyDescent="0.2">
      <c r="A70" s="2" t="s">
        <v>1746</v>
      </c>
      <c r="B70" s="5" t="s">
        <v>160</v>
      </c>
      <c r="C70" s="7">
        <v>18</v>
      </c>
      <c r="D70" s="2" t="s">
        <v>89</v>
      </c>
      <c r="E70" s="8"/>
      <c r="F70" s="16">
        <f t="shared" si="3"/>
        <v>0</v>
      </c>
    </row>
    <row r="71" spans="1:6" x14ac:dyDescent="0.2">
      <c r="A71" s="2"/>
      <c r="B71" s="5" t="s">
        <v>161</v>
      </c>
      <c r="C71" s="2"/>
      <c r="D71" s="2"/>
      <c r="E71" s="2"/>
      <c r="F71" s="16"/>
    </row>
    <row r="72" spans="1:6" x14ac:dyDescent="0.2">
      <c r="A72" s="2" t="s">
        <v>1747</v>
      </c>
      <c r="B72" s="5" t="s">
        <v>163</v>
      </c>
      <c r="C72" s="7">
        <v>17.77</v>
      </c>
      <c r="D72" s="2" t="s">
        <v>86</v>
      </c>
      <c r="E72" s="8"/>
      <c r="F72" s="16">
        <f t="shared" si="3"/>
        <v>0</v>
      </c>
    </row>
    <row r="73" spans="1:6" ht="20" x14ac:dyDescent="0.2">
      <c r="A73" s="2" t="s">
        <v>1748</v>
      </c>
      <c r="B73" s="5" t="s">
        <v>165</v>
      </c>
      <c r="C73" s="7">
        <v>10</v>
      </c>
      <c r="D73" s="2" t="s">
        <v>89</v>
      </c>
      <c r="E73" s="8"/>
      <c r="F73" s="16">
        <f t="shared" si="3"/>
        <v>0</v>
      </c>
    </row>
    <row r="74" spans="1:6" ht="13" x14ac:dyDescent="0.3">
      <c r="B74" s="20" t="s">
        <v>166</v>
      </c>
      <c r="C74" s="9"/>
      <c r="D74" s="3"/>
      <c r="E74" s="9"/>
      <c r="F74" s="18">
        <f>SUM(F69:F73)</f>
        <v>0</v>
      </c>
    </row>
    <row r="76" spans="1:6" ht="10.5" x14ac:dyDescent="0.25">
      <c r="A76" s="6" t="s">
        <v>1749</v>
      </c>
      <c r="B76" s="21" t="s">
        <v>168</v>
      </c>
    </row>
    <row r="77" spans="1:6" x14ac:dyDescent="0.2">
      <c r="A77" s="2"/>
      <c r="B77" s="5" t="s">
        <v>169</v>
      </c>
      <c r="C77" s="2"/>
      <c r="D77" s="2"/>
      <c r="E77" s="2"/>
    </row>
    <row r="78" spans="1:6" x14ac:dyDescent="0.2">
      <c r="A78" s="2"/>
      <c r="B78" s="5" t="s">
        <v>128</v>
      </c>
      <c r="C78" s="2"/>
      <c r="D78" s="2"/>
      <c r="E78" s="2"/>
    </row>
    <row r="79" spans="1:6" x14ac:dyDescent="0.2">
      <c r="A79" s="2"/>
      <c r="B79" s="5" t="s">
        <v>170</v>
      </c>
      <c r="C79" s="2"/>
      <c r="D79" s="2"/>
      <c r="E79" s="2"/>
    </row>
    <row r="80" spans="1:6" ht="60" x14ac:dyDescent="0.2">
      <c r="A80" s="2" t="s">
        <v>1750</v>
      </c>
      <c r="B80" s="5" t="s">
        <v>172</v>
      </c>
      <c r="C80" s="7">
        <v>178</v>
      </c>
      <c r="D80" s="2" t="s">
        <v>89</v>
      </c>
      <c r="E80" s="8"/>
      <c r="F80" s="16">
        <f t="shared" ref="F80" si="4">C80*E80</f>
        <v>0</v>
      </c>
    </row>
    <row r="81" spans="1:6" ht="13" x14ac:dyDescent="0.3">
      <c r="B81" s="20" t="s">
        <v>173</v>
      </c>
      <c r="C81" s="9"/>
      <c r="D81" s="3"/>
      <c r="E81" s="9"/>
      <c r="F81" s="18">
        <f>SUM(F80)</f>
        <v>0</v>
      </c>
    </row>
    <row r="83" spans="1:6" ht="10.5" x14ac:dyDescent="0.25">
      <c r="A83" s="6" t="s">
        <v>1751</v>
      </c>
      <c r="B83" s="21" t="s">
        <v>175</v>
      </c>
    </row>
    <row r="84" spans="1:6" x14ac:dyDescent="0.2">
      <c r="A84" s="2"/>
      <c r="B84" s="5" t="s">
        <v>176</v>
      </c>
      <c r="C84" s="2"/>
      <c r="D84" s="2"/>
      <c r="E84" s="2"/>
    </row>
    <row r="85" spans="1:6" x14ac:dyDescent="0.2">
      <c r="A85" s="2"/>
      <c r="B85" s="5" t="s">
        <v>128</v>
      </c>
      <c r="C85" s="2"/>
      <c r="D85" s="2"/>
      <c r="E85" s="2"/>
    </row>
    <row r="86" spans="1:6" ht="30" x14ac:dyDescent="0.2">
      <c r="A86" s="2"/>
      <c r="B86" s="5" t="s">
        <v>177</v>
      </c>
      <c r="C86" s="2"/>
      <c r="D86" s="2" t="s">
        <v>73</v>
      </c>
      <c r="E86" s="2"/>
    </row>
    <row r="87" spans="1:6" x14ac:dyDescent="0.2">
      <c r="A87" s="2"/>
      <c r="B87" s="5" t="s">
        <v>148</v>
      </c>
      <c r="C87" s="2"/>
      <c r="D87" s="2"/>
      <c r="E87" s="2"/>
    </row>
    <row r="88" spans="1:6" ht="40" x14ac:dyDescent="0.2">
      <c r="A88" s="2" t="s">
        <v>1752</v>
      </c>
      <c r="B88" s="5" t="s">
        <v>179</v>
      </c>
      <c r="C88" s="7">
        <v>1</v>
      </c>
      <c r="D88" s="2" t="s">
        <v>77</v>
      </c>
      <c r="E88" s="8"/>
      <c r="F88" s="16">
        <f>C88*E88</f>
        <v>0</v>
      </c>
    </row>
    <row r="89" spans="1:6" ht="20" x14ac:dyDescent="0.2">
      <c r="A89" s="2" t="s">
        <v>1753</v>
      </c>
      <c r="B89" s="5" t="s">
        <v>181</v>
      </c>
      <c r="C89" s="7">
        <v>13</v>
      </c>
      <c r="D89" s="2" t="s">
        <v>77</v>
      </c>
      <c r="E89" s="8"/>
      <c r="F89" s="16">
        <f>C89*E89</f>
        <v>0</v>
      </c>
    </row>
    <row r="90" spans="1:6" ht="30" x14ac:dyDescent="0.2">
      <c r="A90" s="2" t="s">
        <v>1754</v>
      </c>
      <c r="B90" s="5" t="s">
        <v>183</v>
      </c>
      <c r="C90" s="7">
        <v>1</v>
      </c>
      <c r="D90" s="2" t="s">
        <v>77</v>
      </c>
      <c r="E90" s="8"/>
      <c r="F90" s="16">
        <f t="shared" ref="F90" si="5">C90*E90</f>
        <v>0</v>
      </c>
    </row>
    <row r="91" spans="1:6" ht="13" x14ac:dyDescent="0.3">
      <c r="B91" s="20" t="s">
        <v>184</v>
      </c>
      <c r="C91" s="9"/>
      <c r="D91" s="3"/>
      <c r="E91" s="9"/>
      <c r="F91" s="18">
        <f>SUM(F86:F90)</f>
        <v>0</v>
      </c>
    </row>
    <row r="93" spans="1:6" ht="10.5" x14ac:dyDescent="0.25">
      <c r="A93" s="6" t="s">
        <v>1755</v>
      </c>
      <c r="B93" s="21" t="s">
        <v>186</v>
      </c>
    </row>
    <row r="94" spans="1:6" x14ac:dyDescent="0.2">
      <c r="A94" s="2"/>
      <c r="B94" s="5" t="s">
        <v>187</v>
      </c>
      <c r="C94" s="2"/>
      <c r="D94" s="2"/>
      <c r="E94" s="2"/>
    </row>
    <row r="95" spans="1:6" x14ac:dyDescent="0.2">
      <c r="A95" s="2"/>
      <c r="B95" s="5" t="s">
        <v>71</v>
      </c>
      <c r="C95" s="2"/>
      <c r="D95" s="2"/>
      <c r="E95" s="2"/>
    </row>
    <row r="96" spans="1:6" ht="50" x14ac:dyDescent="0.2">
      <c r="A96" s="2"/>
      <c r="B96" s="5" t="s">
        <v>188</v>
      </c>
      <c r="C96" s="2"/>
      <c r="D96" s="2" t="s">
        <v>73</v>
      </c>
      <c r="E96" s="2"/>
    </row>
    <row r="97" spans="1:6" ht="40" x14ac:dyDescent="0.2">
      <c r="A97" s="2"/>
      <c r="B97" s="5" t="s">
        <v>189</v>
      </c>
      <c r="C97" s="2"/>
      <c r="D97" s="2" t="s">
        <v>73</v>
      </c>
      <c r="E97" s="2"/>
    </row>
    <row r="98" spans="1:6" ht="50" x14ac:dyDescent="0.2">
      <c r="A98" s="2"/>
      <c r="B98" s="5" t="s">
        <v>190</v>
      </c>
      <c r="C98" s="2"/>
      <c r="D98" s="2" t="s">
        <v>73</v>
      </c>
      <c r="E98" s="2"/>
    </row>
    <row r="99" spans="1:6" ht="40" x14ac:dyDescent="0.2">
      <c r="A99" s="2"/>
      <c r="B99" s="5" t="s">
        <v>191</v>
      </c>
      <c r="C99" s="2"/>
      <c r="D99" s="2" t="s">
        <v>73</v>
      </c>
      <c r="E99" s="2"/>
    </row>
    <row r="100" spans="1:6" x14ac:dyDescent="0.2">
      <c r="A100" s="2"/>
      <c r="B100" s="5" t="s">
        <v>192</v>
      </c>
      <c r="C100" s="2"/>
      <c r="D100" s="2"/>
      <c r="E100" s="2"/>
    </row>
    <row r="101" spans="1:6" ht="50" x14ac:dyDescent="0.2">
      <c r="A101" s="2" t="s">
        <v>1756</v>
      </c>
      <c r="B101" s="5" t="s">
        <v>1086</v>
      </c>
      <c r="C101" s="7">
        <v>10.65</v>
      </c>
      <c r="D101" s="2" t="s">
        <v>86</v>
      </c>
      <c r="E101" s="8"/>
      <c r="F101" s="16">
        <f>C101*E101</f>
        <v>0</v>
      </c>
    </row>
    <row r="102" spans="1:6" x14ac:dyDescent="0.2">
      <c r="A102" s="2"/>
      <c r="B102" s="5" t="s">
        <v>195</v>
      </c>
      <c r="C102" s="2"/>
      <c r="D102" s="2"/>
      <c r="E102" s="2"/>
      <c r="F102" s="16"/>
    </row>
    <row r="103" spans="1:6" ht="50" x14ac:dyDescent="0.2">
      <c r="A103" s="2" t="s">
        <v>1757</v>
      </c>
      <c r="B103" s="5" t="s">
        <v>1088</v>
      </c>
      <c r="C103" s="7">
        <v>3.6</v>
      </c>
      <c r="D103" s="2" t="s">
        <v>86</v>
      </c>
      <c r="E103" s="8"/>
      <c r="F103" s="16">
        <f t="shared" ref="F103:F114" si="6">C103*E103</f>
        <v>0</v>
      </c>
    </row>
    <row r="104" spans="1:6" x14ac:dyDescent="0.2">
      <c r="A104" s="2"/>
      <c r="B104" s="5" t="s">
        <v>198</v>
      </c>
      <c r="C104" s="2"/>
      <c r="D104" s="2"/>
      <c r="E104" s="2"/>
      <c r="F104" s="16"/>
    </row>
    <row r="105" spans="1:6" ht="40" x14ac:dyDescent="0.2">
      <c r="A105" s="2" t="s">
        <v>1758</v>
      </c>
      <c r="B105" s="5" t="s">
        <v>200</v>
      </c>
      <c r="C105" s="7">
        <v>3.14</v>
      </c>
      <c r="D105" s="2" t="s">
        <v>86</v>
      </c>
      <c r="E105" s="8"/>
      <c r="F105" s="16">
        <f t="shared" si="6"/>
        <v>0</v>
      </c>
    </row>
    <row r="106" spans="1:6" ht="40" x14ac:dyDescent="0.2">
      <c r="A106" s="2" t="s">
        <v>1759</v>
      </c>
      <c r="B106" s="5" t="s">
        <v>202</v>
      </c>
      <c r="C106" s="7">
        <v>3.65</v>
      </c>
      <c r="D106" s="2" t="s">
        <v>86</v>
      </c>
      <c r="E106" s="8"/>
      <c r="F106" s="16">
        <f t="shared" si="6"/>
        <v>0</v>
      </c>
    </row>
    <row r="107" spans="1:6" x14ac:dyDescent="0.2">
      <c r="A107" s="2"/>
      <c r="B107" s="5" t="s">
        <v>203</v>
      </c>
      <c r="C107" s="2"/>
      <c r="D107" s="2"/>
      <c r="E107" s="2"/>
      <c r="F107" s="16"/>
    </row>
    <row r="108" spans="1:6" ht="30" x14ac:dyDescent="0.2">
      <c r="A108" s="2" t="s">
        <v>1760</v>
      </c>
      <c r="B108" s="5" t="s">
        <v>205</v>
      </c>
      <c r="C108" s="7">
        <v>2.78</v>
      </c>
      <c r="D108" s="2" t="s">
        <v>86</v>
      </c>
      <c r="E108" s="8"/>
      <c r="F108" s="16">
        <f t="shared" si="6"/>
        <v>0</v>
      </c>
    </row>
    <row r="109" spans="1:6" x14ac:dyDescent="0.2">
      <c r="A109" s="2"/>
      <c r="B109" s="5" t="s">
        <v>206</v>
      </c>
      <c r="C109" s="2"/>
      <c r="D109" s="2"/>
      <c r="E109" s="2"/>
      <c r="F109" s="16"/>
    </row>
    <row r="110" spans="1:6" ht="30" x14ac:dyDescent="0.2">
      <c r="A110" s="2" t="s">
        <v>1761</v>
      </c>
      <c r="B110" s="5" t="s">
        <v>208</v>
      </c>
      <c r="C110" s="7">
        <v>2.0699999999999998</v>
      </c>
      <c r="D110" s="2" t="s">
        <v>86</v>
      </c>
      <c r="E110" s="8"/>
      <c r="F110" s="16">
        <f t="shared" si="6"/>
        <v>0</v>
      </c>
    </row>
    <row r="111" spans="1:6" x14ac:dyDescent="0.2">
      <c r="A111" s="2"/>
      <c r="B111" s="5" t="s">
        <v>209</v>
      </c>
      <c r="C111" s="2"/>
      <c r="D111" s="2"/>
      <c r="E111" s="2"/>
      <c r="F111" s="16"/>
    </row>
    <row r="112" spans="1:6" ht="20" x14ac:dyDescent="0.2">
      <c r="A112" s="2" t="s">
        <v>1762</v>
      </c>
      <c r="B112" s="5" t="s">
        <v>987</v>
      </c>
      <c r="C112" s="7">
        <v>1</v>
      </c>
      <c r="D112" s="2" t="s">
        <v>77</v>
      </c>
      <c r="E112" s="8"/>
      <c r="F112" s="16">
        <f t="shared" si="6"/>
        <v>0</v>
      </c>
    </row>
    <row r="113" spans="1:6" ht="20" x14ac:dyDescent="0.2">
      <c r="A113" s="2" t="s">
        <v>1763</v>
      </c>
      <c r="B113" s="5" t="s">
        <v>211</v>
      </c>
      <c r="C113" s="7">
        <v>1</v>
      </c>
      <c r="D113" s="2" t="s">
        <v>77</v>
      </c>
      <c r="E113" s="8"/>
      <c r="F113" s="16">
        <f t="shared" si="6"/>
        <v>0</v>
      </c>
    </row>
    <row r="114" spans="1:6" ht="20" x14ac:dyDescent="0.2">
      <c r="A114" s="2" t="s">
        <v>1764</v>
      </c>
      <c r="B114" s="5" t="s">
        <v>213</v>
      </c>
      <c r="C114" s="7">
        <v>2</v>
      </c>
      <c r="D114" s="2" t="s">
        <v>77</v>
      </c>
      <c r="E114" s="8"/>
      <c r="F114" s="16">
        <f t="shared" si="6"/>
        <v>0</v>
      </c>
    </row>
    <row r="115" spans="1:6" x14ac:dyDescent="0.2">
      <c r="A115" s="2"/>
      <c r="B115" s="5" t="s">
        <v>214</v>
      </c>
      <c r="C115" s="2"/>
      <c r="D115" s="2"/>
      <c r="E115" s="2"/>
    </row>
    <row r="116" spans="1:6" x14ac:dyDescent="0.2">
      <c r="A116" s="2" t="s">
        <v>1765</v>
      </c>
      <c r="B116" s="5" t="s">
        <v>216</v>
      </c>
      <c r="C116" s="7">
        <v>1</v>
      </c>
      <c r="D116" s="2" t="s">
        <v>77</v>
      </c>
      <c r="E116" s="8"/>
      <c r="F116" s="16">
        <f>C116*E116</f>
        <v>0</v>
      </c>
    </row>
    <row r="117" spans="1:6" x14ac:dyDescent="0.2">
      <c r="A117" s="2" t="s">
        <v>1766</v>
      </c>
      <c r="B117" s="5" t="s">
        <v>992</v>
      </c>
      <c r="C117" s="7">
        <v>1</v>
      </c>
      <c r="D117" s="2" t="s">
        <v>77</v>
      </c>
      <c r="E117" s="8"/>
      <c r="F117" s="16">
        <f>C117*E117</f>
        <v>0</v>
      </c>
    </row>
    <row r="118" spans="1:6" x14ac:dyDescent="0.2">
      <c r="A118" s="2" t="s">
        <v>1767</v>
      </c>
      <c r="B118" s="5" t="s">
        <v>218</v>
      </c>
      <c r="C118" s="7">
        <v>2</v>
      </c>
      <c r="D118" s="2" t="s">
        <v>77</v>
      </c>
      <c r="E118" s="8"/>
      <c r="F118" s="16">
        <f t="shared" ref="F118" si="7">C118*E118</f>
        <v>0</v>
      </c>
    </row>
    <row r="119" spans="1:6" ht="13" x14ac:dyDescent="0.3">
      <c r="B119" s="20" t="s">
        <v>219</v>
      </c>
      <c r="C119" s="9"/>
      <c r="D119" s="3"/>
      <c r="E119" s="9"/>
      <c r="F119" s="18">
        <f>SUM(F114:F118)</f>
        <v>0</v>
      </c>
    </row>
    <row r="121" spans="1:6" ht="10.5" x14ac:dyDescent="0.25">
      <c r="A121" s="6" t="s">
        <v>1768</v>
      </c>
      <c r="B121" s="21" t="s">
        <v>221</v>
      </c>
    </row>
    <row r="122" spans="1:6" x14ac:dyDescent="0.2">
      <c r="A122" s="2"/>
      <c r="B122" s="5" t="s">
        <v>222</v>
      </c>
      <c r="C122" s="2"/>
      <c r="D122" s="2"/>
      <c r="E122" s="2"/>
    </row>
    <row r="123" spans="1:6" x14ac:dyDescent="0.2">
      <c r="A123" s="2"/>
      <c r="B123" s="5" t="s">
        <v>192</v>
      </c>
      <c r="C123" s="2"/>
      <c r="D123" s="2"/>
      <c r="E123" s="2"/>
    </row>
    <row r="124" spans="1:6" x14ac:dyDescent="0.2">
      <c r="A124" s="2" t="s">
        <v>1769</v>
      </c>
      <c r="B124" s="5" t="s">
        <v>224</v>
      </c>
      <c r="C124" s="7">
        <v>1</v>
      </c>
      <c r="D124" s="2" t="s">
        <v>77</v>
      </c>
      <c r="E124" s="8"/>
      <c r="F124" s="16">
        <f t="shared" ref="F124:F126" si="8">C124*E124</f>
        <v>0</v>
      </c>
    </row>
    <row r="125" spans="1:6" x14ac:dyDescent="0.2">
      <c r="A125" s="2" t="s">
        <v>1770</v>
      </c>
      <c r="B125" s="5" t="s">
        <v>226</v>
      </c>
      <c r="C125" s="2"/>
      <c r="D125" s="2"/>
      <c r="E125" s="2"/>
      <c r="F125" s="2" t="s">
        <v>227</v>
      </c>
    </row>
    <row r="126" spans="1:6" x14ac:dyDescent="0.2">
      <c r="A126" s="2" t="s">
        <v>1771</v>
      </c>
      <c r="B126" s="5" t="s">
        <v>229</v>
      </c>
      <c r="C126" s="7">
        <v>1</v>
      </c>
      <c r="D126" s="2" t="s">
        <v>77</v>
      </c>
      <c r="E126" s="8"/>
      <c r="F126" s="16">
        <f t="shared" si="8"/>
        <v>0</v>
      </c>
    </row>
    <row r="127" spans="1:6" x14ac:dyDescent="0.2">
      <c r="A127" s="2" t="s">
        <v>1772</v>
      </c>
      <c r="B127" s="5" t="s">
        <v>1105</v>
      </c>
      <c r="C127" s="2"/>
      <c r="D127" s="2"/>
      <c r="E127" s="2"/>
      <c r="F127" s="2" t="s">
        <v>227</v>
      </c>
    </row>
    <row r="128" spans="1:6" x14ac:dyDescent="0.2">
      <c r="A128" s="2" t="s">
        <v>1773</v>
      </c>
      <c r="B128" s="5" t="s">
        <v>1107</v>
      </c>
      <c r="C128" s="2"/>
      <c r="D128" s="2"/>
      <c r="E128" s="2"/>
      <c r="F128" s="2" t="s">
        <v>227</v>
      </c>
    </row>
    <row r="129" spans="1:6" x14ac:dyDescent="0.2">
      <c r="A129" s="2" t="s">
        <v>1774</v>
      </c>
      <c r="B129" s="5" t="s">
        <v>241</v>
      </c>
      <c r="C129" s="7">
        <v>1</v>
      </c>
      <c r="D129" s="2" t="s">
        <v>77</v>
      </c>
      <c r="E129" s="8"/>
      <c r="F129" s="16">
        <f t="shared" ref="F129" si="9">C129*E129</f>
        <v>0</v>
      </c>
    </row>
    <row r="130" spans="1:6" x14ac:dyDescent="0.2">
      <c r="A130" s="2"/>
      <c r="B130" s="5" t="s">
        <v>195</v>
      </c>
      <c r="C130" s="2"/>
      <c r="D130" s="2"/>
      <c r="E130" s="2"/>
    </row>
    <row r="131" spans="1:6" x14ac:dyDescent="0.2">
      <c r="A131" s="2" t="s">
        <v>1775</v>
      </c>
      <c r="B131" s="5" t="s">
        <v>245</v>
      </c>
      <c r="C131" s="7">
        <v>1</v>
      </c>
      <c r="D131" s="2" t="s">
        <v>77</v>
      </c>
      <c r="E131" s="8"/>
      <c r="F131" s="16">
        <f t="shared" ref="F131" si="10">C131*E131</f>
        <v>0</v>
      </c>
    </row>
    <row r="132" spans="1:6" x14ac:dyDescent="0.2">
      <c r="A132" s="2"/>
      <c r="B132" s="5" t="s">
        <v>250</v>
      </c>
      <c r="C132" s="2"/>
      <c r="D132" s="2"/>
      <c r="E132" s="2"/>
    </row>
    <row r="133" spans="1:6" x14ac:dyDescent="0.2">
      <c r="A133" s="2" t="s">
        <v>1776</v>
      </c>
      <c r="B133" s="5" t="s">
        <v>252</v>
      </c>
      <c r="C133" s="7">
        <v>1</v>
      </c>
      <c r="D133" s="2" t="s">
        <v>77</v>
      </c>
      <c r="E133" s="8"/>
      <c r="F133" s="16">
        <f t="shared" ref="F133:F137" si="11">C133*E133</f>
        <v>0</v>
      </c>
    </row>
    <row r="134" spans="1:6" x14ac:dyDescent="0.2">
      <c r="A134" s="2" t="s">
        <v>1777</v>
      </c>
      <c r="B134" s="5" t="s">
        <v>254</v>
      </c>
      <c r="C134" s="7">
        <v>1</v>
      </c>
      <c r="D134" s="2" t="s">
        <v>77</v>
      </c>
      <c r="E134" s="8"/>
      <c r="F134" s="16">
        <f t="shared" si="11"/>
        <v>0</v>
      </c>
    </row>
    <row r="135" spans="1:6" x14ac:dyDescent="0.2">
      <c r="A135" s="2" t="s">
        <v>1778</v>
      </c>
      <c r="B135" s="5" t="s">
        <v>256</v>
      </c>
      <c r="C135" s="7">
        <v>1</v>
      </c>
      <c r="D135" s="2" t="s">
        <v>77</v>
      </c>
      <c r="E135" s="8"/>
      <c r="F135" s="16">
        <f t="shared" si="11"/>
        <v>0</v>
      </c>
    </row>
    <row r="136" spans="1:6" x14ac:dyDescent="0.2">
      <c r="A136" s="2" t="s">
        <v>1779</v>
      </c>
      <c r="B136" s="5" t="s">
        <v>258</v>
      </c>
      <c r="C136" s="7">
        <v>1</v>
      </c>
      <c r="D136" s="2" t="s">
        <v>77</v>
      </c>
      <c r="E136" s="8"/>
      <c r="F136" s="16">
        <f t="shared" si="11"/>
        <v>0</v>
      </c>
    </row>
    <row r="137" spans="1:6" x14ac:dyDescent="0.2">
      <c r="A137" s="2" t="s">
        <v>1780</v>
      </c>
      <c r="B137" s="5" t="s">
        <v>260</v>
      </c>
      <c r="C137" s="7">
        <v>1</v>
      </c>
      <c r="D137" s="2" t="s">
        <v>77</v>
      </c>
      <c r="E137" s="8"/>
      <c r="F137" s="16">
        <f t="shared" si="11"/>
        <v>0</v>
      </c>
    </row>
    <row r="138" spans="1:6" x14ac:dyDescent="0.2">
      <c r="A138" s="2"/>
      <c r="B138" s="5" t="s">
        <v>261</v>
      </c>
      <c r="C138" s="2"/>
      <c r="D138" s="2"/>
      <c r="E138" s="2"/>
    </row>
    <row r="139" spans="1:6" x14ac:dyDescent="0.2">
      <c r="A139" s="2" t="s">
        <v>1781</v>
      </c>
      <c r="B139" s="5" t="s">
        <v>263</v>
      </c>
      <c r="C139" s="7">
        <v>2</v>
      </c>
      <c r="D139" s="2" t="s">
        <v>77</v>
      </c>
      <c r="E139" s="8"/>
      <c r="F139" s="16">
        <f t="shared" ref="F139:F152" si="12">C139*E139</f>
        <v>0</v>
      </c>
    </row>
    <row r="140" spans="1:6" x14ac:dyDescent="0.2">
      <c r="A140" s="2" t="s">
        <v>1782</v>
      </c>
      <c r="B140" s="5" t="s">
        <v>252</v>
      </c>
      <c r="C140" s="7">
        <v>1</v>
      </c>
      <c r="D140" s="2" t="s">
        <v>77</v>
      </c>
      <c r="E140" s="8"/>
      <c r="F140" s="16">
        <f t="shared" si="12"/>
        <v>0</v>
      </c>
    </row>
    <row r="141" spans="1:6" x14ac:dyDescent="0.2">
      <c r="A141" s="2" t="s">
        <v>1783</v>
      </c>
      <c r="B141" s="5" t="s">
        <v>254</v>
      </c>
      <c r="C141" s="7">
        <v>3</v>
      </c>
      <c r="D141" s="2" t="s">
        <v>77</v>
      </c>
      <c r="E141" s="8"/>
      <c r="F141" s="16">
        <f t="shared" si="12"/>
        <v>0</v>
      </c>
    </row>
    <row r="142" spans="1:6" x14ac:dyDescent="0.2">
      <c r="A142" s="2" t="s">
        <v>1784</v>
      </c>
      <c r="B142" s="5" t="s">
        <v>267</v>
      </c>
      <c r="C142" s="7">
        <v>1</v>
      </c>
      <c r="D142" s="2" t="s">
        <v>77</v>
      </c>
      <c r="E142" s="8"/>
      <c r="F142" s="16">
        <f t="shared" si="12"/>
        <v>0</v>
      </c>
    </row>
    <row r="143" spans="1:6" x14ac:dyDescent="0.2">
      <c r="A143" s="2" t="s">
        <v>1785</v>
      </c>
      <c r="B143" s="5" t="s">
        <v>269</v>
      </c>
      <c r="C143" s="7">
        <v>2</v>
      </c>
      <c r="D143" s="2" t="s">
        <v>77</v>
      </c>
      <c r="E143" s="8"/>
      <c r="F143" s="16">
        <f t="shared" si="12"/>
        <v>0</v>
      </c>
    </row>
    <row r="144" spans="1:6" x14ac:dyDescent="0.2">
      <c r="A144" s="2" t="s">
        <v>1786</v>
      </c>
      <c r="B144" s="5" t="s">
        <v>256</v>
      </c>
      <c r="C144" s="7">
        <v>3</v>
      </c>
      <c r="D144" s="2" t="s">
        <v>77</v>
      </c>
      <c r="E144" s="8"/>
      <c r="F144" s="16">
        <f t="shared" si="12"/>
        <v>0</v>
      </c>
    </row>
    <row r="145" spans="1:6" x14ac:dyDescent="0.2">
      <c r="A145" s="2" t="s">
        <v>1787</v>
      </c>
      <c r="B145" s="5" t="s">
        <v>272</v>
      </c>
      <c r="C145" s="7">
        <v>4</v>
      </c>
      <c r="D145" s="2" t="s">
        <v>77</v>
      </c>
      <c r="E145" s="8"/>
      <c r="F145" s="16">
        <f t="shared" si="12"/>
        <v>0</v>
      </c>
    </row>
    <row r="146" spans="1:6" x14ac:dyDescent="0.2">
      <c r="A146" s="2" t="s">
        <v>1788</v>
      </c>
      <c r="B146" s="5" t="s">
        <v>274</v>
      </c>
      <c r="C146" s="7">
        <v>2</v>
      </c>
      <c r="D146" s="2" t="s">
        <v>77</v>
      </c>
      <c r="E146" s="8"/>
      <c r="F146" s="16">
        <f t="shared" si="12"/>
        <v>0</v>
      </c>
    </row>
    <row r="147" spans="1:6" x14ac:dyDescent="0.2">
      <c r="A147" s="2" t="s">
        <v>1789</v>
      </c>
      <c r="B147" s="5" t="s">
        <v>276</v>
      </c>
      <c r="C147" s="7">
        <v>2</v>
      </c>
      <c r="D147" s="2" t="s">
        <v>77</v>
      </c>
      <c r="E147" s="8"/>
      <c r="F147" s="16">
        <f t="shared" si="12"/>
        <v>0</v>
      </c>
    </row>
    <row r="148" spans="1:6" ht="20" x14ac:dyDescent="0.2">
      <c r="A148" s="2" t="s">
        <v>1790</v>
      </c>
      <c r="B148" s="5" t="s">
        <v>278</v>
      </c>
      <c r="C148" s="7">
        <v>2</v>
      </c>
      <c r="D148" s="2" t="s">
        <v>77</v>
      </c>
      <c r="E148" s="8"/>
      <c r="F148" s="16">
        <f t="shared" si="12"/>
        <v>0</v>
      </c>
    </row>
    <row r="149" spans="1:6" x14ac:dyDescent="0.2">
      <c r="A149" s="2" t="s">
        <v>1791</v>
      </c>
      <c r="B149" s="5" t="s">
        <v>258</v>
      </c>
      <c r="C149" s="7">
        <v>1</v>
      </c>
      <c r="D149" s="2" t="s">
        <v>77</v>
      </c>
      <c r="E149" s="8"/>
      <c r="F149" s="16">
        <f t="shared" si="12"/>
        <v>0</v>
      </c>
    </row>
    <row r="150" spans="1:6" x14ac:dyDescent="0.2">
      <c r="A150" s="2" t="s">
        <v>1792</v>
      </c>
      <c r="B150" s="5" t="s">
        <v>260</v>
      </c>
      <c r="C150" s="7">
        <v>1</v>
      </c>
      <c r="D150" s="2" t="s">
        <v>77</v>
      </c>
      <c r="E150" s="8"/>
      <c r="F150" s="16">
        <f>C150*E150</f>
        <v>0</v>
      </c>
    </row>
    <row r="151" spans="1:6" x14ac:dyDescent="0.2">
      <c r="A151" s="2" t="s">
        <v>1793</v>
      </c>
      <c r="B151" s="5" t="s">
        <v>282</v>
      </c>
      <c r="C151" s="7">
        <v>1</v>
      </c>
      <c r="D151" s="2" t="s">
        <v>77</v>
      </c>
      <c r="E151" s="8"/>
      <c r="F151" s="16">
        <f t="shared" si="12"/>
        <v>0</v>
      </c>
    </row>
    <row r="152" spans="1:6" x14ac:dyDescent="0.2">
      <c r="A152" s="2" t="s">
        <v>1794</v>
      </c>
      <c r="B152" s="5" t="s">
        <v>284</v>
      </c>
      <c r="C152" s="7">
        <v>2</v>
      </c>
      <c r="D152" s="2" t="s">
        <v>77</v>
      </c>
      <c r="E152" s="8"/>
      <c r="F152" s="16">
        <f t="shared" si="12"/>
        <v>0</v>
      </c>
    </row>
    <row r="153" spans="1:6" x14ac:dyDescent="0.2">
      <c r="A153" s="2"/>
      <c r="B153" s="5" t="s">
        <v>285</v>
      </c>
      <c r="C153" s="2"/>
      <c r="D153" s="2"/>
      <c r="E153" s="2"/>
    </row>
    <row r="154" spans="1:6" ht="60" x14ac:dyDescent="0.2">
      <c r="A154" s="2" t="s">
        <v>1795</v>
      </c>
      <c r="B154" s="5" t="s">
        <v>287</v>
      </c>
      <c r="C154" s="7">
        <v>8</v>
      </c>
      <c r="D154" s="2" t="s">
        <v>86</v>
      </c>
      <c r="E154" s="8"/>
      <c r="F154" s="16">
        <f t="shared" ref="F154" si="13">C154*E154</f>
        <v>0</v>
      </c>
    </row>
    <row r="155" spans="1:6" ht="13" x14ac:dyDescent="0.3">
      <c r="B155" s="20" t="s">
        <v>288</v>
      </c>
      <c r="C155" s="9"/>
      <c r="D155" s="3"/>
      <c r="E155" s="9"/>
      <c r="F155" s="18">
        <f>SUM(F124:F154)</f>
        <v>0</v>
      </c>
    </row>
    <row r="157" spans="1:6" ht="10.5" x14ac:dyDescent="0.25">
      <c r="A157" s="6" t="s">
        <v>1796</v>
      </c>
      <c r="B157" s="21" t="s">
        <v>290</v>
      </c>
    </row>
    <row r="158" spans="1:6" x14ac:dyDescent="0.2">
      <c r="A158" s="2"/>
      <c r="B158" s="5" t="s">
        <v>431</v>
      </c>
      <c r="C158" s="2"/>
      <c r="D158" s="2"/>
      <c r="E158" s="2"/>
    </row>
    <row r="159" spans="1:6" x14ac:dyDescent="0.2">
      <c r="A159" s="2"/>
      <c r="B159" s="5" t="s">
        <v>128</v>
      </c>
      <c r="C159" s="2"/>
      <c r="D159" s="2"/>
      <c r="E159" s="2"/>
    </row>
    <row r="160" spans="1:6" ht="20" x14ac:dyDescent="0.2">
      <c r="A160" s="2"/>
      <c r="B160" s="5" t="s">
        <v>291</v>
      </c>
      <c r="C160" s="2"/>
      <c r="D160" s="2" t="s">
        <v>73</v>
      </c>
      <c r="E160" s="2"/>
    </row>
    <row r="161" spans="1:6" ht="30" x14ac:dyDescent="0.2">
      <c r="A161" s="2"/>
      <c r="B161" s="5" t="s">
        <v>292</v>
      </c>
      <c r="C161" s="2"/>
      <c r="D161" s="2" t="s">
        <v>73</v>
      </c>
      <c r="E161" s="2"/>
    </row>
    <row r="162" spans="1:6" x14ac:dyDescent="0.2">
      <c r="A162" s="2"/>
      <c r="B162" s="5" t="s">
        <v>293</v>
      </c>
      <c r="C162" s="2"/>
      <c r="D162" s="2"/>
      <c r="E162" s="2"/>
    </row>
    <row r="163" spans="1:6" ht="60" x14ac:dyDescent="0.2">
      <c r="A163" s="2" t="s">
        <v>1797</v>
      </c>
      <c r="B163" s="5" t="s">
        <v>533</v>
      </c>
      <c r="C163" s="7">
        <v>46</v>
      </c>
      <c r="D163" s="2" t="s">
        <v>89</v>
      </c>
      <c r="E163" s="8"/>
      <c r="F163" s="16">
        <f t="shared" ref="F163:F164" si="14">C163*E163</f>
        <v>0</v>
      </c>
    </row>
    <row r="164" spans="1:6" ht="50" x14ac:dyDescent="0.2">
      <c r="A164" s="2" t="s">
        <v>1798</v>
      </c>
      <c r="B164" s="5" t="s">
        <v>297</v>
      </c>
      <c r="C164" s="7">
        <v>6</v>
      </c>
      <c r="D164" s="2" t="s">
        <v>86</v>
      </c>
      <c r="E164" s="8"/>
      <c r="F164" s="16">
        <f t="shared" si="14"/>
        <v>0</v>
      </c>
    </row>
    <row r="165" spans="1:6" x14ac:dyDescent="0.2">
      <c r="A165" s="2"/>
      <c r="B165" s="5" t="s">
        <v>298</v>
      </c>
      <c r="C165" s="2"/>
      <c r="D165" s="2"/>
      <c r="E165" s="2"/>
    </row>
    <row r="166" spans="1:6" ht="30" x14ac:dyDescent="0.2">
      <c r="A166" s="2" t="s">
        <v>1799</v>
      </c>
      <c r="B166" s="5" t="s">
        <v>300</v>
      </c>
      <c r="C166" s="7">
        <v>4</v>
      </c>
      <c r="D166" s="2" t="s">
        <v>89</v>
      </c>
      <c r="E166" s="8"/>
      <c r="F166" s="16">
        <f>C166*E166</f>
        <v>0</v>
      </c>
    </row>
    <row r="167" spans="1:6" ht="13" x14ac:dyDescent="0.3">
      <c r="B167" s="20" t="s">
        <v>301</v>
      </c>
      <c r="C167" s="9"/>
      <c r="D167" s="3"/>
      <c r="E167" s="9"/>
      <c r="F167" s="18">
        <f>SUM(F163:F166)</f>
        <v>0</v>
      </c>
    </row>
    <row r="169" spans="1:6" ht="10.5" x14ac:dyDescent="0.25">
      <c r="A169" s="6" t="s">
        <v>1800</v>
      </c>
      <c r="B169" s="21" t="s">
        <v>303</v>
      </c>
    </row>
    <row r="170" spans="1:6" x14ac:dyDescent="0.2">
      <c r="A170" s="2"/>
      <c r="B170" s="5" t="s">
        <v>304</v>
      </c>
      <c r="C170" s="2"/>
      <c r="D170" s="2"/>
      <c r="E170" s="2"/>
    </row>
    <row r="171" spans="1:6" x14ac:dyDescent="0.2">
      <c r="A171" s="2"/>
      <c r="B171" s="5" t="s">
        <v>128</v>
      </c>
      <c r="C171" s="2"/>
      <c r="D171" s="2"/>
      <c r="E171" s="2"/>
    </row>
    <row r="172" spans="1:6" ht="40" x14ac:dyDescent="0.2">
      <c r="A172" s="2"/>
      <c r="B172" s="5" t="s">
        <v>305</v>
      </c>
      <c r="C172" s="2"/>
      <c r="D172" s="2" t="s">
        <v>73</v>
      </c>
      <c r="E172" s="2"/>
    </row>
    <row r="173" spans="1:6" ht="60" x14ac:dyDescent="0.2">
      <c r="A173" s="2"/>
      <c r="B173" s="5" t="s">
        <v>306</v>
      </c>
      <c r="C173" s="2"/>
      <c r="D173" s="2" t="s">
        <v>73</v>
      </c>
      <c r="E173" s="2"/>
    </row>
    <row r="174" spans="1:6" ht="50" x14ac:dyDescent="0.2">
      <c r="A174" s="2"/>
      <c r="B174" s="5" t="s">
        <v>307</v>
      </c>
      <c r="C174" s="2"/>
      <c r="D174" s="2" t="s">
        <v>73</v>
      </c>
      <c r="E174" s="2"/>
    </row>
    <row r="175" spans="1:6" ht="50" x14ac:dyDescent="0.2">
      <c r="A175" s="2"/>
      <c r="B175" s="5" t="s">
        <v>308</v>
      </c>
      <c r="C175" s="2"/>
      <c r="D175" s="2" t="s">
        <v>73</v>
      </c>
      <c r="E175" s="2"/>
    </row>
    <row r="176" spans="1:6" ht="40" x14ac:dyDescent="0.2">
      <c r="A176" s="2"/>
      <c r="B176" s="5" t="s">
        <v>309</v>
      </c>
      <c r="C176" s="2"/>
      <c r="D176" s="2" t="s">
        <v>73</v>
      </c>
      <c r="E176" s="2"/>
    </row>
    <row r="177" spans="1:6" x14ac:dyDescent="0.2">
      <c r="A177" s="2"/>
      <c r="B177" s="5" t="s">
        <v>310</v>
      </c>
      <c r="C177" s="2"/>
      <c r="D177" s="2"/>
      <c r="E177" s="2"/>
    </row>
    <row r="178" spans="1:6" ht="50" x14ac:dyDescent="0.2">
      <c r="A178" s="2" t="s">
        <v>1801</v>
      </c>
      <c r="B178" s="5" t="s">
        <v>312</v>
      </c>
      <c r="C178" s="7">
        <v>222</v>
      </c>
      <c r="D178" s="2" t="s">
        <v>89</v>
      </c>
      <c r="E178" s="7"/>
      <c r="F178" s="16">
        <f>C178*E178</f>
        <v>0</v>
      </c>
    </row>
    <row r="179" spans="1:6" ht="13" x14ac:dyDescent="0.3">
      <c r="B179" s="20" t="s">
        <v>313</v>
      </c>
      <c r="C179" s="9"/>
      <c r="D179" s="3"/>
      <c r="E179" s="9"/>
      <c r="F179" s="18">
        <f>SUM(F178)</f>
        <v>0</v>
      </c>
    </row>
    <row r="181" spans="1:6" ht="10.5" x14ac:dyDescent="0.25">
      <c r="A181" s="6" t="s">
        <v>1802</v>
      </c>
      <c r="B181" s="21" t="s">
        <v>315</v>
      </c>
    </row>
    <row r="182" spans="1:6" x14ac:dyDescent="0.2">
      <c r="A182" s="2"/>
      <c r="B182" s="5" t="s">
        <v>316</v>
      </c>
      <c r="C182" s="2"/>
      <c r="D182" s="2"/>
      <c r="E182" s="2"/>
    </row>
    <row r="183" spans="1:6" x14ac:dyDescent="0.2">
      <c r="A183" s="2"/>
      <c r="B183" s="5" t="s">
        <v>128</v>
      </c>
      <c r="C183" s="2"/>
      <c r="D183" s="2"/>
      <c r="E183" s="2"/>
    </row>
    <row r="184" spans="1:6" ht="60" x14ac:dyDescent="0.2">
      <c r="A184" s="2"/>
      <c r="B184" s="5" t="s">
        <v>317</v>
      </c>
      <c r="C184" s="2"/>
      <c r="D184" s="2" t="s">
        <v>73</v>
      </c>
      <c r="E184" s="2"/>
    </row>
    <row r="185" spans="1:6" ht="70" x14ac:dyDescent="0.2">
      <c r="A185" s="2"/>
      <c r="B185" s="5" t="s">
        <v>318</v>
      </c>
      <c r="C185" s="2"/>
      <c r="D185" s="2" t="s">
        <v>73</v>
      </c>
      <c r="E185" s="2"/>
    </row>
    <row r="186" spans="1:6" ht="90" x14ac:dyDescent="0.2">
      <c r="A186" s="2"/>
      <c r="B186" s="5" t="s">
        <v>319</v>
      </c>
      <c r="C186" s="2"/>
      <c r="D186" s="2" t="s">
        <v>73</v>
      </c>
      <c r="E186" s="2"/>
    </row>
    <row r="187" spans="1:6" ht="80" x14ac:dyDescent="0.2">
      <c r="A187" s="2"/>
      <c r="B187" s="5" t="s">
        <v>320</v>
      </c>
      <c r="C187" s="2"/>
      <c r="D187" s="2" t="s">
        <v>73</v>
      </c>
      <c r="E187" s="2"/>
    </row>
    <row r="188" spans="1:6" ht="70" x14ac:dyDescent="0.2">
      <c r="A188" s="2"/>
      <c r="B188" s="5" t="s">
        <v>321</v>
      </c>
      <c r="C188" s="2"/>
      <c r="D188" s="2" t="s">
        <v>73</v>
      </c>
      <c r="E188" s="2"/>
    </row>
    <row r="189" spans="1:6" ht="70" x14ac:dyDescent="0.2">
      <c r="A189" s="2"/>
      <c r="B189" s="5" t="s">
        <v>322</v>
      </c>
      <c r="C189" s="2"/>
      <c r="D189" s="2" t="s">
        <v>73</v>
      </c>
      <c r="E189" s="2"/>
    </row>
    <row r="190" spans="1:6" x14ac:dyDescent="0.2">
      <c r="A190" s="2"/>
      <c r="B190" s="5" t="s">
        <v>323</v>
      </c>
      <c r="C190" s="2"/>
      <c r="D190" s="2"/>
      <c r="E190" s="2"/>
    </row>
    <row r="191" spans="1:6" ht="50" x14ac:dyDescent="0.2">
      <c r="A191" s="2" t="s">
        <v>1803</v>
      </c>
      <c r="B191" s="5" t="s">
        <v>325</v>
      </c>
      <c r="C191" s="7">
        <v>222</v>
      </c>
      <c r="D191" s="2" t="s">
        <v>89</v>
      </c>
      <c r="E191" s="7"/>
      <c r="F191" s="16">
        <f>C191*E191</f>
        <v>0</v>
      </c>
    </row>
    <row r="192" spans="1:6" ht="13" x14ac:dyDescent="0.3">
      <c r="B192" s="20" t="s">
        <v>326</v>
      </c>
      <c r="C192" s="9"/>
      <c r="D192" s="3"/>
      <c r="E192" s="9"/>
      <c r="F192" s="18">
        <f>SUM(F191)</f>
        <v>0</v>
      </c>
    </row>
    <row r="194" spans="1:6" ht="10.5" x14ac:dyDescent="0.25">
      <c r="A194" s="6" t="s">
        <v>1804</v>
      </c>
      <c r="B194" s="21" t="s">
        <v>328</v>
      </c>
    </row>
    <row r="195" spans="1:6" ht="20" x14ac:dyDescent="0.2">
      <c r="A195" s="2"/>
      <c r="B195" s="5" t="s">
        <v>329</v>
      </c>
      <c r="C195" s="2"/>
      <c r="D195" s="2"/>
      <c r="E195" s="2"/>
    </row>
    <row r="196" spans="1:6" x14ac:dyDescent="0.2">
      <c r="A196" s="2"/>
      <c r="B196" s="5" t="s">
        <v>71</v>
      </c>
      <c r="C196" s="2"/>
      <c r="D196" s="2"/>
      <c r="E196" s="2"/>
    </row>
    <row r="197" spans="1:6" ht="70" x14ac:dyDescent="0.2">
      <c r="A197" s="2"/>
      <c r="B197" s="5" t="s">
        <v>330</v>
      </c>
      <c r="C197" s="2"/>
      <c r="D197" s="2" t="s">
        <v>73</v>
      </c>
      <c r="E197" s="2"/>
    </row>
    <row r="198" spans="1:6" ht="110" x14ac:dyDescent="0.2">
      <c r="A198" s="2"/>
      <c r="B198" s="5" t="s">
        <v>331</v>
      </c>
      <c r="C198" s="2"/>
      <c r="D198" s="2" t="s">
        <v>73</v>
      </c>
      <c r="E198" s="2"/>
    </row>
    <row r="199" spans="1:6" ht="180" x14ac:dyDescent="0.2">
      <c r="A199" s="2"/>
      <c r="B199" s="5" t="s">
        <v>332</v>
      </c>
      <c r="C199" s="2"/>
      <c r="D199" s="2" t="s">
        <v>73</v>
      </c>
      <c r="E199" s="2"/>
    </row>
    <row r="200" spans="1:6" ht="90" x14ac:dyDescent="0.2">
      <c r="A200" s="2"/>
      <c r="B200" s="5" t="s">
        <v>333</v>
      </c>
      <c r="C200" s="2"/>
      <c r="D200" s="2" t="s">
        <v>73</v>
      </c>
      <c r="E200" s="2"/>
    </row>
    <row r="201" spans="1:6" ht="80" x14ac:dyDescent="0.2">
      <c r="A201" s="2"/>
      <c r="B201" s="5" t="s">
        <v>334</v>
      </c>
      <c r="C201" s="2"/>
      <c r="D201" s="2" t="s">
        <v>73</v>
      </c>
      <c r="E201" s="2"/>
    </row>
    <row r="202" spans="1:6" ht="90" x14ac:dyDescent="0.2">
      <c r="A202" s="2"/>
      <c r="B202" s="5" t="s">
        <v>335</v>
      </c>
      <c r="C202" s="2"/>
      <c r="D202" s="2" t="s">
        <v>73</v>
      </c>
      <c r="E202" s="2"/>
    </row>
    <row r="203" spans="1:6" ht="60" x14ac:dyDescent="0.2">
      <c r="A203" s="2"/>
      <c r="B203" s="5" t="s">
        <v>336</v>
      </c>
      <c r="C203" s="2"/>
      <c r="D203" s="2" t="s">
        <v>73</v>
      </c>
      <c r="E203" s="2"/>
    </row>
    <row r="204" spans="1:6" ht="60" x14ac:dyDescent="0.2">
      <c r="A204" s="2"/>
      <c r="B204" s="5" t="s">
        <v>337</v>
      </c>
      <c r="C204" s="2"/>
      <c r="D204" s="2" t="s">
        <v>73</v>
      </c>
      <c r="E204" s="2"/>
    </row>
    <row r="205" spans="1:6" ht="80" x14ac:dyDescent="0.2">
      <c r="A205" s="2"/>
      <c r="B205" s="5" t="s">
        <v>338</v>
      </c>
      <c r="C205" s="2"/>
      <c r="D205" s="2" t="s">
        <v>73</v>
      </c>
      <c r="E205" s="2"/>
    </row>
    <row r="206" spans="1:6" x14ac:dyDescent="0.2">
      <c r="A206" s="2"/>
      <c r="B206" s="5" t="s">
        <v>339</v>
      </c>
      <c r="C206" s="2"/>
      <c r="D206" s="2"/>
      <c r="E206" s="2"/>
    </row>
    <row r="207" spans="1:6" ht="50" x14ac:dyDescent="0.2">
      <c r="A207" s="2" t="s">
        <v>1805</v>
      </c>
      <c r="B207" s="5" t="s">
        <v>341</v>
      </c>
      <c r="C207" s="7">
        <v>222</v>
      </c>
      <c r="D207" s="2" t="s">
        <v>89</v>
      </c>
      <c r="E207" s="7"/>
      <c r="F207" s="16">
        <f>C207*E207</f>
        <v>0</v>
      </c>
    </row>
    <row r="208" spans="1:6" ht="21.5" x14ac:dyDescent="0.3">
      <c r="B208" s="20" t="s">
        <v>342</v>
      </c>
      <c r="C208" s="9"/>
      <c r="D208" s="3"/>
      <c r="E208" s="9"/>
      <c r="F208" s="18">
        <f>SUM(F207)</f>
        <v>0</v>
      </c>
    </row>
    <row r="209" spans="2:6" ht="13" x14ac:dyDescent="0.3">
      <c r="B209" s="20" t="s">
        <v>1806</v>
      </c>
      <c r="C209" s="9"/>
      <c r="D209" s="3"/>
      <c r="E209" s="9"/>
      <c r="F209" s="17">
        <f>F208+F192+F179+F167+F155+F119+F91+F81+F74+F61+F39</f>
        <v>0</v>
      </c>
    </row>
  </sheetData>
  <mergeCells count="1">
    <mergeCell ref="A1:F1"/>
  </mergeCells>
  <phoneticPr fontId="13" type="noConversion"/>
  <pageMargins left="0.75" right="0.75" top="1" bottom="1" header="0.5" footer="0.5"/>
  <pageSetup fitToHeight="8" orientation="portrait" r:id="rId1"/>
  <headerFooter>
    <oddHeader>&amp;C&amp;"Aptos"&amp;12&amp;KFF0000 OFFICIAL&amp;1#_x000D_</oddHeader>
    <oddFooter>&amp;C_x000D_&amp;1#&amp;"Aptos"&amp;12&amp;KFF0000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2D6624E24D244FA0BA3D2D714ECD4D" ma:contentTypeVersion="19" ma:contentTypeDescription="Create a new document." ma:contentTypeScope="" ma:versionID="774392de775a86945a0b1879898b58a5">
  <xsd:schema xmlns:xsd="http://www.w3.org/2001/XMLSchema" xmlns:xs="http://www.w3.org/2001/XMLSchema" xmlns:p="http://schemas.microsoft.com/office/2006/metadata/properties" xmlns:ns2="2ea4b441-9895-4d98-9ea5-05f3860c60a6" xmlns:ns3="9ec36dd9-8e4b-4b34-8243-289dcb32b4e3" targetNamespace="http://schemas.microsoft.com/office/2006/metadata/properties" ma:root="true" ma:fieldsID="3ade800b15f00463123eb8f3a4b92c76" ns2:_="" ns3:_="">
    <xsd:import namespace="2ea4b441-9895-4d98-9ea5-05f3860c60a6"/>
    <xsd:import namespace="9ec36dd9-8e4b-4b34-8243-289dcb32b4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element ref="ns2:MediaServiceObjectDetectorVersions" minOccurs="0"/>
                <xsd:element ref="ns2:MediaServiceLocation" minOccurs="0"/>
                <xsd:element ref="ns2:EDRMSRefer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a4b441-9895-4d98-9ea5-05f3860c60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00eb7d5-ca27-4af2-baac-ce437925366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EDRMSReference" ma:index="25" nillable="true" ma:displayName="EDRMS Reference" ma:format="Dropdown" ma:internalName="EDRMSReference">
      <xsd:simpleType>
        <xsd:restriction base="dms:Note">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c36dd9-8e4b-4b34-8243-289dcb32b4e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b5b5ab3-631d-4419-967d-180e0431f381}" ma:internalName="TaxCatchAll" ma:showField="CatchAllData" ma:web="9ec36dd9-8e4b-4b34-8243-289dcb32b4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a4b441-9895-4d98-9ea5-05f3860c60a6">
      <Terms xmlns="http://schemas.microsoft.com/office/infopath/2007/PartnerControls"/>
    </lcf76f155ced4ddcb4097134ff3c332f>
    <TaxCatchAll xmlns="9ec36dd9-8e4b-4b34-8243-289dcb32b4e3" xsi:nil="true"/>
    <EDRMSReference xmlns="2ea4b441-9895-4d98-9ea5-05f3860c60a6" xsi:nil="true"/>
  </documentManagement>
</p:properties>
</file>

<file path=customXml/itemProps1.xml><?xml version="1.0" encoding="utf-8"?>
<ds:datastoreItem xmlns:ds="http://schemas.openxmlformats.org/officeDocument/2006/customXml" ds:itemID="{DDBB3793-A73A-480D-B34E-204539BC33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a4b441-9895-4d98-9ea5-05f3860c60a6"/>
    <ds:schemaRef ds:uri="9ec36dd9-8e4b-4b34-8243-289dcb32b4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9818F4-4C19-4058-A505-E6543A8CCEDD}">
  <ds:schemaRefs>
    <ds:schemaRef ds:uri="http://schemas.microsoft.com/sharepoint/v3/contenttype/forms"/>
  </ds:schemaRefs>
</ds:datastoreItem>
</file>

<file path=customXml/itemProps3.xml><?xml version="1.0" encoding="utf-8"?>
<ds:datastoreItem xmlns:ds="http://schemas.openxmlformats.org/officeDocument/2006/customXml" ds:itemID="{F072374D-4E27-4F2D-B06C-EAD52575481C}">
  <ds:schemaRefs>
    <ds:schemaRef ds:uri="http://purl.org/dc/elements/1.1/"/>
    <ds:schemaRef ds:uri="http://purl.org/dc/terms/"/>
    <ds:schemaRef ds:uri="http://schemas.microsoft.com/office/2006/documentManagement/types"/>
    <ds:schemaRef ds:uri="9ec36dd9-8e4b-4b34-8243-289dcb32b4e3"/>
    <ds:schemaRef ds:uri="2ea4b441-9895-4d98-9ea5-05f3860c60a6"/>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10a6645-df8a-461f-957a-aeb16698bd53}" enabled="1" method="Privileged" siteId="{9b7f23b3-0e83-47a5-8a40-ffa8a6fea53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Work Rates</vt:lpstr>
      <vt:lpstr>H1, H2, H7, H8</vt:lpstr>
      <vt:lpstr>H3</vt:lpstr>
      <vt:lpstr>H4, H14, H15, H36, H37, H38,H39</vt:lpstr>
      <vt:lpstr>H5</vt:lpstr>
      <vt:lpstr>H6</vt:lpstr>
      <vt:lpstr>H9, H11</vt:lpstr>
      <vt:lpstr>H10, H12</vt:lpstr>
      <vt:lpstr>H13, H16, H35</vt:lpstr>
      <vt:lpstr>H18, H23, H31</vt:lpstr>
      <vt:lpstr>H19, H30</vt:lpstr>
      <vt:lpstr>H20, H27</vt:lpstr>
      <vt:lpstr>H21, H34, H26</vt:lpstr>
      <vt:lpstr>H22, H33</vt:lpstr>
      <vt:lpstr>H24, H17</vt:lpstr>
      <vt:lpstr>H25, H29</vt:lpstr>
      <vt:lpstr>Preamble</vt:lpstr>
      <vt:lpstr>H28, H32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Edwards, Nony S</dc:creator>
  <cp:keywords/>
  <dc:description/>
  <cp:lastModifiedBy>Nony Edwards</cp:lastModifiedBy>
  <cp:revision/>
  <cp:lastPrinted>2026-06-10T04:49:28Z</cp:lastPrinted>
  <dcterms:created xsi:type="dcterms:W3CDTF">2026-05-04T14:28:29Z</dcterms:created>
  <dcterms:modified xsi:type="dcterms:W3CDTF">2026-06-10T04:51:19Z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0x010100262D6624E24D244FA0BA3D2D714ECD4D</vt:lpwstr>
  </property>
  <property fmtid="{D5CDD505-2E9C-101B-9397-08002B2CF9AE}" pid="3" name="MSIP_Label_31ddd334-ca25-4924-90fa-f2c60eaea2d7_Enabled">
    <vt:lpwstr>true</vt:lpwstr>
  </property>
  <property fmtid="{D5CDD505-2E9C-101B-9397-08002B2CF9AE}" pid="4" name="MSIP_Label_31ddd334-ca25-4924-90fa-f2c60eaea2d7_SetDate">
    <vt:lpwstr>2026-05-04T02:05:55Z</vt:lpwstr>
  </property>
  <property fmtid="{D5CDD505-2E9C-101B-9397-08002B2CF9AE}" pid="5" name="MSIP_Label_31ddd334-ca25-4924-90fa-f2c60eaea2d7_Method">
    <vt:lpwstr>Privileged</vt:lpwstr>
  </property>
  <property fmtid="{D5CDD505-2E9C-101B-9397-08002B2CF9AE}" pid="6" name="MSIP_Label_31ddd334-ca25-4924-90fa-f2c60eaea2d7_Name">
    <vt:lpwstr>Confidential-SupplierServices</vt:lpwstr>
  </property>
  <property fmtid="{D5CDD505-2E9C-101B-9397-08002B2CF9AE}" pid="7" name="MSIP_Label_31ddd334-ca25-4924-90fa-f2c60eaea2d7_SiteId">
    <vt:lpwstr>ca18acb0-3312-44f2-869d-5b01ed8bb47d</vt:lpwstr>
  </property>
  <property fmtid="{D5CDD505-2E9C-101B-9397-08002B2CF9AE}" pid="8" name="MSIP_Label_31ddd334-ca25-4924-90fa-f2c60eaea2d7_ActionId">
    <vt:lpwstr>ee026244-d6fb-4c1e-be26-c393528894cd</vt:lpwstr>
  </property>
  <property fmtid="{D5CDD505-2E9C-101B-9397-08002B2CF9AE}" pid="9" name="MSIP_Label_31ddd334-ca25-4924-90fa-f2c60eaea2d7_ContentBits">
    <vt:lpwstr>1</vt:lpwstr>
  </property>
  <property fmtid="{D5CDD505-2E9C-101B-9397-08002B2CF9AE}" pid="10" name="MSIP_Label_31ddd334-ca25-4924-90fa-f2c60eaea2d7_Tag">
    <vt:lpwstr>10, 0, 1, 1</vt:lpwstr>
  </property>
  <property fmtid="{D5CDD505-2E9C-101B-9397-08002B2CF9AE}" pid="11" name="MediaServiceImageTags">
    <vt:lpwstr/>
  </property>
</Properties>
</file>